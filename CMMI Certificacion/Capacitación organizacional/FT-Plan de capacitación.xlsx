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CMMI Certificacion\Capacitación organizacional\"/>
    </mc:Choice>
  </mc:AlternateContent>
  <xr:revisionPtr revIDLastSave="0" documentId="13_ncr:1_{85C42D0F-2B4A-420A-9D75-543139F3659A}" xr6:coauthVersionLast="47" xr6:coauthVersionMax="47" xr10:uidLastSave="{00000000-0000-0000-0000-000000000000}"/>
  <bookViews>
    <workbookView xWindow="-108" yWindow="-108" windowWidth="23256" windowHeight="13896" activeTab="3" xr2:uid="{00000000-000D-0000-FFFF-FFFF00000000}"/>
  </bookViews>
  <sheets>
    <sheet name="Información del documento" sheetId="1" r:id="rId1"/>
    <sheet name="1.-Progama capacitación" sheetId="2" r:id="rId2"/>
    <sheet name="2.-Desglose costos" sheetId="3" r:id="rId3"/>
    <sheet name="3.-Informe trimestral" sheetId="4" r:id="rId4"/>
    <sheet name="3.1.- Informe Cuatrimestral" sheetId="5" r:id="rId5"/>
    <sheet name="Listas" sheetId="6"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5" l="1"/>
  <c r="F18" i="5"/>
  <c r="C18" i="5"/>
  <c r="B18" i="5"/>
  <c r="G13" i="5"/>
  <c r="F13" i="5"/>
  <c r="C13" i="5"/>
  <c r="B13" i="5"/>
  <c r="G8" i="5"/>
  <c r="F8" i="5"/>
  <c r="C8" i="5"/>
  <c r="B8" i="5"/>
  <c r="H20" i="4"/>
  <c r="G20" i="4"/>
  <c r="D20" i="4"/>
  <c r="C20" i="4"/>
  <c r="H16" i="4"/>
  <c r="G16" i="4"/>
  <c r="D16" i="4"/>
  <c r="C16" i="4"/>
  <c r="H12" i="4"/>
  <c r="G12" i="4"/>
  <c r="D12" i="4"/>
  <c r="C12" i="4"/>
  <c r="H8" i="4"/>
  <c r="G8" i="4"/>
  <c r="D8" i="4"/>
  <c r="C8" i="4"/>
  <c r="I20" i="3"/>
  <c r="F20" i="3"/>
  <c r="C20" i="3"/>
  <c r="I11" i="3"/>
  <c r="F11" i="3"/>
  <c r="C11" i="3"/>
  <c r="F3" i="3"/>
  <c r="I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A2" authorId="0" shapeId="0" xr:uid="{00000000-0006-0000-0100-000001000000}">
      <text>
        <r>
          <rPr>
            <sz val="11"/>
            <color theme="1"/>
            <rFont val="Calibri"/>
            <family val="2"/>
            <scheme val="minor"/>
          </rPr>
          <t>Seleccionar opción de lista desplegable
-Estratégica→ Nivel organizacional, tiene alcance a toda la empresa
Proyecto→ corto plazo, se involucra solo al personal de un proyecto especifico.</t>
        </r>
      </text>
    </comment>
    <comment ref="B2" authorId="0" shapeId="0" xr:uid="{00000000-0006-0000-0100-000002000000}">
      <text>
        <r>
          <rPr>
            <sz val="11"/>
            <color theme="1"/>
            <rFont val="Calibri"/>
            <family val="2"/>
            <scheme val="minor"/>
          </rPr>
          <t>Plazo en que se debe de cumplir la capacitación del personal</t>
        </r>
      </text>
    </comment>
    <comment ref="D2" authorId="0" shapeId="0" xr:uid="{00000000-0006-0000-0100-000003000000}">
      <text>
        <r>
          <rPr>
            <sz val="11"/>
            <color theme="1"/>
            <rFont val="Calibri"/>
            <family val="2"/>
            <scheme val="minor"/>
          </rPr>
          <t>¿Qué se debe aprender en el curso? 
Son los objetivos que se espera alcanzar al finalizar la capacitación.</t>
        </r>
      </text>
    </comment>
    <comment ref="E2" authorId="0" shapeId="0" xr:uid="{00000000-0006-0000-0100-000004000000}">
      <text>
        <r>
          <rPr>
            <sz val="11"/>
            <color theme="1"/>
            <rFont val="Calibri"/>
            <family val="2"/>
            <scheme val="minor"/>
          </rPr>
          <t>Personas invitadas a la capacitación, registrar con número</t>
        </r>
      </text>
    </comment>
    <comment ref="F2" authorId="1" shapeId="0" xr:uid="{00000000-0006-0000-0100-000005000000}">
      <text>
        <r>
          <rPr>
            <sz val="11"/>
            <color theme="1"/>
            <rFont val="Calibri"/>
            <family val="2"/>
            <scheme val="minor"/>
          </rPr>
          <t xml:space="preserve">Nombre de las personas que tiene que asistir a la capacitación
</t>
        </r>
      </text>
    </comment>
    <comment ref="H2" authorId="0" shapeId="0" xr:uid="{00000000-0006-0000-0100-000006000000}">
      <text>
        <r>
          <rPr>
            <sz val="11"/>
            <color theme="1"/>
            <rFont val="Calibri"/>
            <family val="2"/>
            <scheme val="minor"/>
          </rPr>
          <t>Nombre completo de capacitador</t>
        </r>
      </text>
    </comment>
    <comment ref="I2" authorId="0" shapeId="0" xr:uid="{00000000-0006-0000-0100-000007000000}">
      <text>
        <r>
          <rPr>
            <sz val="11"/>
            <color theme="1"/>
            <rFont val="Calibri"/>
            <family val="2"/>
            <scheme val="minor"/>
          </rPr>
          <t>Temas que se verán o se espera que se vean durante el curso para cumplir con el objetivo</t>
        </r>
      </text>
    </comment>
    <comment ref="J2" authorId="0" shapeId="0" xr:uid="{00000000-0006-0000-0100-000008000000}">
      <text>
        <r>
          <rPr>
            <sz val="11"/>
            <color theme="1"/>
            <rFont val="Calibri"/>
            <family val="2"/>
            <scheme val="minor"/>
          </rPr>
          <t xml:space="preserve">Registrar el número de horas totales de la capacitación </t>
        </r>
      </text>
    </comment>
    <comment ref="K2" authorId="0" shapeId="0" xr:uid="{00000000-0006-0000-0100-000009000000}">
      <text>
        <r>
          <rPr>
            <sz val="11"/>
            <color theme="1"/>
            <rFont val="Calibri"/>
            <family val="2"/>
            <scheme val="minor"/>
          </rPr>
          <t>Elementos necesarios para la capacitación cómo herramientas o infraestructura</t>
        </r>
      </text>
    </comment>
    <comment ref="L2" authorId="0" shapeId="0" xr:uid="{00000000-0006-0000-0100-00000A000000}">
      <text>
        <r>
          <rPr>
            <sz val="11"/>
            <color theme="1"/>
            <rFont val="Calibri"/>
            <family val="2"/>
            <scheme val="minor"/>
          </rPr>
          <t>Definir la moneda que se utilizara</t>
        </r>
      </text>
    </comment>
    <comment ref="M2" authorId="0" shapeId="0" xr:uid="{00000000-0006-0000-0100-00000B000000}">
      <text>
        <r>
          <rPr>
            <sz val="11"/>
            <color theme="1"/>
            <rFont val="Calibri"/>
            <family val="2"/>
            <scheme val="minor"/>
          </rPr>
          <t>Presencial→ El personal se encuentra físicamente en la capacitación 
Virtual→ Se recibe la capacitación por medio de videoconferencias, plataformas, Webinar, etc.
Hibrido→ Una combinación entre presencial e hibrido</t>
        </r>
      </text>
    </comment>
    <comment ref="N2" authorId="0" shapeId="0" xr:uid="{00000000-0006-0000-0100-00000C000000}">
      <text>
        <r>
          <rPr>
            <sz val="11"/>
            <color theme="1"/>
            <rFont val="Calibri"/>
            <family val="2"/>
            <scheme val="minor"/>
          </rPr>
          <t>Determinar el material que se requiere</t>
        </r>
      </text>
    </comment>
    <comment ref="O2" authorId="0" shapeId="0" xr:uid="{00000000-0006-0000-0100-00000D000000}">
      <text>
        <r>
          <rPr>
            <sz val="11"/>
            <color theme="1"/>
            <rFont val="Calibri"/>
            <family val="2"/>
            <scheme val="minor"/>
          </rPr>
          <t>Ubicación donde se tomará la capacitación, ya sea dentro de las instalaciones de la organización, ubicaciones externas, enlaces o vínculos, etc.</t>
        </r>
      </text>
    </comment>
    <comment ref="P2" authorId="0" shapeId="0" xr:uid="{00000000-0006-0000-0100-00000E000000}">
      <text>
        <r>
          <rPr>
            <sz val="11"/>
            <color theme="1"/>
            <rFont val="Calibri"/>
            <family val="2"/>
            <scheme val="minor"/>
          </rPr>
          <t>Registrar fechas planeadas, en caso de tener este registro en un documento aparte, insertar el enlace al documento.</t>
        </r>
      </text>
    </comment>
    <comment ref="S2" authorId="0" shapeId="0" xr:uid="{00000000-0006-0000-0100-00000F000000}">
      <text>
        <r>
          <rPr>
            <sz val="11"/>
            <color theme="1"/>
            <rFont val="Calibri"/>
            <family val="2"/>
            <scheme val="minor"/>
          </rPr>
          <t>Estado en que se encuentra la capacitación</t>
        </r>
      </text>
    </comment>
    <comment ref="T2" authorId="0" shapeId="0" xr:uid="{00000000-0006-0000-0100-000010000000}">
      <text>
        <r>
          <rPr>
            <sz val="11"/>
            <color theme="1"/>
            <rFont val="Calibri"/>
            <family val="2"/>
            <scheme val="minor"/>
          </rPr>
          <t>Explicar el estado seleccionado, en caso de ser replanificada agregar la comparativa entre la fecha planeada y la nueva</t>
        </r>
      </text>
    </comment>
    <comment ref="U2" authorId="0" shapeId="0" xr:uid="{00000000-0006-0000-0100-000011000000}">
      <text>
        <r>
          <rPr>
            <sz val="11"/>
            <color theme="1"/>
            <rFont val="Calibri"/>
            <family val="2"/>
            <scheme val="minor"/>
          </rPr>
          <t>Personas que acudirán a la capacitación</t>
        </r>
      </text>
    </comment>
    <comment ref="V2" authorId="0" shapeId="0" xr:uid="{00000000-0006-0000-0100-000012000000}">
      <text>
        <r>
          <rPr>
            <sz val="11"/>
            <color theme="1"/>
            <rFont val="Calibri"/>
            <family val="2"/>
            <scheme val="minor"/>
          </rPr>
          <t>Número real de asistentes a la capacitación</t>
        </r>
      </text>
    </comment>
    <comment ref="W2" authorId="0" shapeId="0" xr:uid="{00000000-0006-0000-0100-000013000000}">
      <text>
        <r>
          <rPr>
            <sz val="11"/>
            <color theme="1"/>
            <rFont val="Calibri"/>
            <family val="2"/>
            <scheme val="minor"/>
          </rPr>
          <t>Ruta o enlace a los resultados de las evaluaciones sobre la capacitación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s>
  <commentList>
    <comment ref="C3" authorId="0" shapeId="0" xr:uid="{00000000-0006-0000-0200-000001000000}">
      <text>
        <r>
          <rPr>
            <sz val="11"/>
            <color theme="1"/>
            <rFont val="Calibri"/>
            <family val="2"/>
            <scheme val="minor"/>
          </rPr>
          <t xml:space="preserve">Cantidad total de presupuesto asignada para capacitar al personal </t>
        </r>
      </text>
    </comment>
    <comment ref="F3" authorId="0" shapeId="0" xr:uid="{00000000-0006-0000-0200-000002000000}">
      <text>
        <r>
          <rPr>
            <sz val="11"/>
            <color theme="1"/>
            <rFont val="Calibri"/>
            <family val="2"/>
            <scheme val="minor"/>
          </rPr>
          <t>Sumatoria de costos totales de capacitaciones. 
Nota: si se agregan más tablas el resultado total debe agregarse a la formula de sumatorias en esta celda.</t>
        </r>
      </text>
    </comment>
    <comment ref="I3" authorId="0" shapeId="0" xr:uid="{00000000-0006-0000-0200-000003000000}">
      <text>
        <r>
          <rPr>
            <sz val="11"/>
            <color theme="1"/>
            <rFont val="Calibri"/>
            <family val="2"/>
            <scheme val="minor"/>
          </rPr>
          <t>Este presupuesto es el que nos queda disponible, ya que la formula es una resta entre:
Presupuesto asignado - costos de capacitación.</t>
        </r>
      </text>
    </comment>
    <comment ref="B5" authorId="0" shapeId="0" xr:uid="{00000000-0006-0000-0200-000004000000}">
      <text>
        <r>
          <rPr>
            <sz val="11"/>
            <color theme="1"/>
            <rFont val="Calibri"/>
            <family val="2"/>
            <scheme val="minor"/>
          </rPr>
          <t xml:space="preserve">Cada tabla es para una capacitación especifica </t>
        </r>
      </text>
    </comment>
    <comment ref="B7" authorId="0" shapeId="0" xr:uid="{00000000-0006-0000-0200-000005000000}">
      <text>
        <r>
          <rPr>
            <sz val="11"/>
            <color theme="1"/>
            <rFont val="Calibri"/>
            <family val="2"/>
            <scheme val="minor"/>
          </rPr>
          <t>Modificar, quitar, agregar los conceptos necesarios para la capacitación tomada</t>
        </r>
      </text>
    </comment>
    <comment ref="C11" authorId="0" shapeId="0" xr:uid="{00000000-0006-0000-0200-000006000000}">
      <text>
        <r>
          <rPr>
            <sz val="11"/>
            <color theme="1"/>
            <rFont val="Calibri"/>
            <family val="2"/>
            <scheme val="minor"/>
          </rPr>
          <t>Sumatoria de costos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<sst xmlns="http://schemas.openxmlformats.org/spreadsheetml/2006/main" count="216" uniqueCount="92">
  <si>
    <t>Detalles</t>
  </si>
  <si>
    <t>Logística</t>
  </si>
  <si>
    <t>Ejecutada en la fecha planeada</t>
  </si>
  <si>
    <t>Seguimiento</t>
  </si>
  <si>
    <t>Capacitación</t>
  </si>
  <si>
    <t>Plazo</t>
  </si>
  <si>
    <t>Nombre de la capacitación</t>
  </si>
  <si>
    <t>Objetivos</t>
  </si>
  <si>
    <t>Quórum planeado</t>
  </si>
  <si>
    <t>Personas que deben asistir</t>
  </si>
  <si>
    <t>Tipo</t>
  </si>
  <si>
    <t>Capacitador</t>
  </si>
  <si>
    <t>Temario</t>
  </si>
  <si>
    <t>Duración</t>
  </si>
  <si>
    <t>Recursos</t>
  </si>
  <si>
    <t>Costo</t>
  </si>
  <si>
    <t>Formato</t>
  </si>
  <si>
    <t>Materiales</t>
  </si>
  <si>
    <t>Lugar</t>
  </si>
  <si>
    <t>Fecha planeada</t>
  </si>
  <si>
    <t>Sí</t>
  </si>
  <si>
    <t>No</t>
  </si>
  <si>
    <t>Estado</t>
  </si>
  <si>
    <t>Observaciones</t>
  </si>
  <si>
    <t>Asistentes</t>
  </si>
  <si>
    <t>Quórum real</t>
  </si>
  <si>
    <t>Evaluaciones</t>
  </si>
  <si>
    <t>N/A</t>
  </si>
  <si>
    <t>No aplica</t>
  </si>
  <si>
    <t>No se identificaron necesidades de capacitación para el proyecto Portabilidad de Derechos Pensionarios ISSSTE-IMSS (ver FT-Matriz de competencia y DNC).</t>
  </si>
  <si>
    <t>Nota: Modificar todo el texto que este en gris y eliminar este comentario cuando se utilice el documento</t>
  </si>
  <si>
    <t>Alcance a nivel organizacional</t>
  </si>
  <si>
    <t>Historial de versiones</t>
  </si>
  <si>
    <t>Fecha</t>
  </si>
  <si>
    <t>Versión</t>
  </si>
  <si>
    <t>Descripción</t>
  </si>
  <si>
    <t>Autor</t>
  </si>
  <si>
    <t>1.0</t>
  </si>
  <si>
    <t>Creación de la plantilla</t>
  </si>
  <si>
    <t>Carlos Quintero N.</t>
  </si>
  <si>
    <t>Si se tiene un sistema de gestión de versiones eliminar esta hoja.</t>
  </si>
  <si>
    <t xml:space="preserve">Presupuesto total </t>
  </si>
  <si>
    <t>Presupuesto asignado:</t>
  </si>
  <si>
    <t>Costos de capacitación</t>
  </si>
  <si>
    <t>Presupuesto actual:</t>
  </si>
  <si>
    <t>Nombre de la capacitación.</t>
  </si>
  <si>
    <t xml:space="preserve">Concepto </t>
  </si>
  <si>
    <t>Instructor</t>
  </si>
  <si>
    <t>$</t>
  </si>
  <si>
    <t>Materiales de capacitación</t>
  </si>
  <si>
    <t>Renta sala de juntas</t>
  </si>
  <si>
    <t>Coffe Break</t>
  </si>
  <si>
    <t>Total</t>
  </si>
  <si>
    <t xml:space="preserve">Nota: son ejemplos y los conceptos, pueden agregarse o eliminarse </t>
  </si>
  <si>
    <t>Capacitaciones planeadas contra las realizadas</t>
  </si>
  <si>
    <t>Estratégica</t>
  </si>
  <si>
    <t>Proyecto</t>
  </si>
  <si>
    <t>Mes</t>
  </si>
  <si>
    <t>Capacitaciones planeadas</t>
  </si>
  <si>
    <t>Capacitaciones realizadas</t>
  </si>
  <si>
    <t>Enero</t>
  </si>
  <si>
    <t>Febrero</t>
  </si>
  <si>
    <t>Marzo</t>
  </si>
  <si>
    <t>1er trimestre</t>
  </si>
  <si>
    <t>Abril</t>
  </si>
  <si>
    <t>Mayo</t>
  </si>
  <si>
    <t>Junio</t>
  </si>
  <si>
    <t>2do trimestre</t>
  </si>
  <si>
    <t>Julio</t>
  </si>
  <si>
    <t>Agosto</t>
  </si>
  <si>
    <t>Septiembre</t>
  </si>
  <si>
    <t>3er trimestre</t>
  </si>
  <si>
    <t>Octubre</t>
  </si>
  <si>
    <t>Noviembre</t>
  </si>
  <si>
    <t>Diciembre</t>
  </si>
  <si>
    <t>4to trimestre</t>
  </si>
  <si>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trimestres, pero pueden modificarse de acuerdo a la necesidad de la organización.</t>
  </si>
  <si>
    <t>1er cuatrimestre</t>
  </si>
  <si>
    <t>2do cuatrimestre</t>
  </si>
  <si>
    <t>3er cuatrimestre</t>
  </si>
  <si>
    <t>Ejemplo, eliminar y realizar registros reales</t>
  </si>
  <si>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cuatrimestres, pero pueden modificarse de acuerdo a la necesidad de la organización.</t>
  </si>
  <si>
    <t>Tipo de curso</t>
  </si>
  <si>
    <t>Interna</t>
  </si>
  <si>
    <t>Presencial</t>
  </si>
  <si>
    <t>Cancelada</t>
  </si>
  <si>
    <t>Externa</t>
  </si>
  <si>
    <t>Remoto</t>
  </si>
  <si>
    <t>Realizada</t>
  </si>
  <si>
    <t>Proveedor</t>
  </si>
  <si>
    <t>Hibrido</t>
  </si>
  <si>
    <t>Replanificada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</si>
</sst>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80A]* #,##0.00_-;\-[$$-80A]* #,##0.00_-;_-[$$-80A]* &quot;-&quot;??_-;_-@_-"/>
    <numFmt numFmtId="165" formatCode="_-[$$-409]* #,##0.00_ ;_-[$$-409]* \-#,##0.00\ ;_-[$$-409]* &quot;-&quot;??_ ;_-@_ "/>
    <numFmt numFmtId="166" formatCode="&quot;$&quot;#,##0.00"/>
  </numFmts>
  <fonts count="23" x14ac:knownFonts="1">
    <font>
      <sz val="11"/>
      <color theme="1"/>
      <name val="Calibri"/>
      <family val="2"/>
      <scheme val="minor"/>
    </font>
    <font>
      <sz val="11"/>
      <color theme="1"/>
      <name val="Calibri"/>
      <family val="2"/>
      <scheme val="minor"/>
    </font>
    <font>
      <sz val="12"/>
      <name val="Calibri"/>
      <family val="2"/>
    </font>
    <font>
      <b/>
      <sz val="14"/>
      <color theme="1"/>
      <name val="Calibri"/>
      <family val="2"/>
      <scheme val="minor"/>
    </font>
    <font>
      <sz val="11"/>
      <color theme="1"/>
      <name val="Calibri"/>
      <family val="2"/>
    </font>
    <font>
      <sz val="12"/>
      <color theme="1"/>
      <name val="Calibri"/>
      <family val="2"/>
    </font>
    <font>
      <b/>
      <sz val="11"/>
      <color theme="1"/>
      <name val="Calibri"/>
      <family val="2"/>
    </font>
    <font>
      <b/>
      <sz val="12"/>
      <color theme="1"/>
      <name val="Calibri"/>
      <family val="2"/>
    </font>
    <font>
      <b/>
      <sz val="14"/>
      <color theme="0"/>
      <name val="Calibri"/>
      <family val="2"/>
    </font>
    <font>
      <i/>
      <sz val="11"/>
      <color theme="1" tint="0.34998626667073579"/>
      <name val="Calibri"/>
      <family val="2"/>
    </font>
    <font>
      <b/>
      <sz val="12"/>
      <color rgb="FF000000"/>
      <name val="Calibri"/>
      <family val="2"/>
    </font>
    <font>
      <b/>
      <i/>
      <sz val="9"/>
      <color theme="1"/>
      <name val="Calibri"/>
      <family val="2"/>
    </font>
    <font>
      <i/>
      <sz val="12"/>
      <color theme="1" tint="0.249977111117893"/>
      <name val="Calibri"/>
      <family val="2"/>
    </font>
    <font>
      <b/>
      <sz val="16"/>
      <color theme="0"/>
      <name val="Calibri"/>
      <family val="2"/>
    </font>
    <font>
      <b/>
      <sz val="12"/>
      <name val="Calibri"/>
      <family val="2"/>
    </font>
    <font>
      <b/>
      <sz val="11"/>
      <name val="Calibri"/>
      <family val="2"/>
    </font>
    <font>
      <sz val="9"/>
      <color theme="1"/>
      <name val="Tahoma"/>
      <family val="2"/>
    </font>
    <font>
      <b/>
      <i/>
      <sz val="9"/>
      <color theme="1"/>
      <name val="Calibri"/>
      <family val="2"/>
      <scheme val="minor"/>
    </font>
    <font>
      <b/>
      <sz val="16"/>
      <color rgb="FFFFFFFF"/>
      <name val="Calibri"/>
      <family val="2"/>
    </font>
    <font>
      <sz val="9"/>
      <color theme="1" tint="0.34998626667073579"/>
      <name val="Calibri"/>
      <family val="2"/>
    </font>
    <font>
      <i/>
      <sz val="10"/>
      <color theme="1" tint="0.34998626667073579"/>
      <name val="Calibri"/>
      <family val="2"/>
    </font>
    <font>
      <sz val="11"/>
      <color theme="1" tint="0.34998626667073579"/>
      <name val="Calibri"/>
      <family val="2"/>
    </font>
    <font>
      <i/>
      <sz val="11"/>
      <color theme="1" tint="0.34998626667073579"/>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style="medium">
        <color indexed="64"/>
      </right>
      <top/>
      <bottom/>
      <diagonal/>
    </border>
    <border>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cellStyleXfs>
  <cellXfs count="97">
    <xf numFmtId="0" fontId="0" fillId="0" borderId="0" xfId="0"/>
    <xf numFmtId="0" fontId="0" fillId="0" borderId="0" xfId="0" applyAlignment="1">
      <alignment horizontal="center"/>
    </xf>
    <xf numFmtId="0" fontId="4" fillId="0" borderId="1" xfId="0" applyFont="1" applyBorder="1" applyAlignment="1">
      <alignment vertical="center"/>
    </xf>
    <xf numFmtId="0" fontId="4" fillId="0" borderId="1" xfId="0" applyFont="1" applyBorder="1"/>
    <xf numFmtId="0" fontId="4" fillId="0" borderId="1" xfId="0" applyFont="1" applyBorder="1" applyAlignment="1">
      <alignment horizontal="center" vertical="center"/>
    </xf>
    <xf numFmtId="0" fontId="4" fillId="0" borderId="1" xfId="0" applyFont="1" applyBorder="1" applyAlignment="1">
      <alignment horizontal="center"/>
    </xf>
    <xf numFmtId="0" fontId="4" fillId="0" borderId="11" xfId="0" applyFont="1" applyBorder="1"/>
    <xf numFmtId="0" fontId="4" fillId="0" borderId="11" xfId="0" applyFont="1" applyBorder="1" applyAlignment="1">
      <alignment horizontal="center"/>
    </xf>
    <xf numFmtId="0" fontId="4" fillId="0" borderId="2" xfId="0" applyFont="1" applyBorder="1"/>
    <xf numFmtId="0" fontId="4" fillId="0" borderId="2" xfId="0" applyFont="1" applyBorder="1" applyAlignment="1">
      <alignment horizontal="center"/>
    </xf>
    <xf numFmtId="0" fontId="4" fillId="0" borderId="0" xfId="0" applyFont="1"/>
    <xf numFmtId="0" fontId="4" fillId="0" borderId="2" xfId="0" applyFont="1" applyBorder="1" applyAlignment="1">
      <alignment horizontal="left"/>
    </xf>
    <xf numFmtId="0" fontId="4" fillId="0" borderId="1" xfId="0" applyFont="1" applyBorder="1" applyAlignment="1">
      <alignment vertical="top"/>
    </xf>
    <xf numFmtId="0" fontId="4" fillId="0" borderId="1" xfId="0" applyFont="1" applyBorder="1" applyAlignment="1">
      <alignment horizontal="left"/>
    </xf>
    <xf numFmtId="164" fontId="4" fillId="0" borderId="1" xfId="1" applyNumberFormat="1" applyFont="1" applyBorder="1"/>
    <xf numFmtId="44" fontId="4" fillId="0" borderId="1" xfId="1" applyFont="1" applyBorder="1"/>
    <xf numFmtId="0" fontId="4" fillId="0" borderId="1" xfId="0" applyFont="1" applyBorder="1" applyAlignment="1">
      <alignment vertical="center" wrapText="1"/>
    </xf>
    <xf numFmtId="0" fontId="4" fillId="0" borderId="1" xfId="0" applyFont="1" applyBorder="1" applyAlignment="1">
      <alignment wrapText="1"/>
    </xf>
    <xf numFmtId="14" fontId="4" fillId="0" borderId="1" xfId="0" applyNumberFormat="1" applyFont="1" applyBorder="1"/>
    <xf numFmtId="0" fontId="5" fillId="0" borderId="0" xfId="0" applyFont="1"/>
    <xf numFmtId="1" fontId="0" fillId="0" borderId="0" xfId="0" applyNumberFormat="1"/>
    <xf numFmtId="0" fontId="4" fillId="0" borderId="1" xfId="0" applyFont="1" applyBorder="1" applyAlignment="1">
      <alignment horizontal="center" vertical="center" wrapText="1"/>
    </xf>
    <xf numFmtId="0" fontId="6" fillId="3" borderId="3" xfId="0" applyFont="1" applyFill="1" applyBorder="1" applyAlignment="1">
      <alignment horizontal="left"/>
    </xf>
    <xf numFmtId="0" fontId="6" fillId="3" borderId="13" xfId="0" applyFont="1" applyFill="1" applyBorder="1" applyAlignment="1">
      <alignment horizontal="left"/>
    </xf>
    <xf numFmtId="0" fontId="6" fillId="3" borderId="3" xfId="0" applyFont="1" applyFill="1" applyBorder="1"/>
    <xf numFmtId="0" fontId="4" fillId="0" borderId="14" xfId="0" applyFont="1" applyBorder="1"/>
    <xf numFmtId="0" fontId="4" fillId="0" borderId="8" xfId="0" applyFont="1" applyBorder="1"/>
    <xf numFmtId="0" fontId="4" fillId="0" borderId="14" xfId="0" applyFont="1" applyBorder="1" applyAlignment="1">
      <alignment vertical="center"/>
    </xf>
    <xf numFmtId="0" fontId="4" fillId="0" borderId="8" xfId="0" applyFont="1" applyBorder="1" applyAlignment="1">
      <alignment vertical="center" wrapText="1"/>
    </xf>
    <xf numFmtId="165" fontId="4" fillId="0" borderId="1" xfId="0" applyNumberFormat="1" applyFont="1" applyBorder="1"/>
    <xf numFmtId="165" fontId="4" fillId="0" borderId="1" xfId="1" applyNumberFormat="1" applyFont="1" applyBorder="1" applyAlignment="1">
      <alignment vertical="center"/>
    </xf>
    <xf numFmtId="0" fontId="4" fillId="0" borderId="19" xfId="0" applyFont="1" applyBorder="1"/>
    <xf numFmtId="0" fontId="9" fillId="0" borderId="1" xfId="0" applyFont="1" applyBorder="1"/>
    <xf numFmtId="0" fontId="9" fillId="0" borderId="1" xfId="0" applyFont="1" applyBorder="1" applyAlignment="1">
      <alignment vertical="top" wrapText="1"/>
    </xf>
    <xf numFmtId="0" fontId="11" fillId="0" borderId="0" xfId="0" applyFont="1"/>
    <xf numFmtId="0" fontId="8"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4" xfId="0" applyFont="1" applyFill="1" applyBorder="1" applyAlignment="1">
      <alignment horizontal="center" vertical="center"/>
    </xf>
    <xf numFmtId="0" fontId="10" fillId="4" borderId="18" xfId="0" applyFont="1" applyFill="1" applyBorder="1" applyAlignment="1">
      <alignment horizontal="center" vertical="center"/>
    </xf>
    <xf numFmtId="0" fontId="7" fillId="4" borderId="1" xfId="0" applyFont="1" applyFill="1" applyBorder="1" applyAlignment="1">
      <alignment horizontal="center"/>
    </xf>
    <xf numFmtId="0" fontId="6" fillId="4" borderId="1" xfId="0" applyFont="1" applyFill="1" applyBorder="1" applyAlignment="1">
      <alignment horizontal="center"/>
    </xf>
    <xf numFmtId="44" fontId="4" fillId="4" borderId="1" xfId="1" applyFont="1" applyFill="1" applyBorder="1" applyAlignment="1">
      <alignment horizontal="center"/>
    </xf>
    <xf numFmtId="0" fontId="12"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0" fontId="7" fillId="4" borderId="1" xfId="0" applyFont="1" applyFill="1" applyBorder="1" applyAlignment="1">
      <alignment horizontal="center" wrapText="1"/>
    </xf>
    <xf numFmtId="44" fontId="7" fillId="4" borderId="1" xfId="0" applyNumberFormat="1" applyFont="1" applyFill="1" applyBorder="1" applyAlignment="1">
      <alignment horizontal="center"/>
    </xf>
    <xf numFmtId="44" fontId="7" fillId="5" borderId="1" xfId="1" applyFont="1" applyFill="1" applyBorder="1" applyAlignment="1">
      <alignment horizontal="center"/>
    </xf>
    <xf numFmtId="0" fontId="4" fillId="4" borderId="5" xfId="0" applyFont="1" applyFill="1" applyBorder="1"/>
    <xf numFmtId="0" fontId="4" fillId="4" borderId="12" xfId="0" applyFont="1" applyFill="1" applyBorder="1" applyAlignment="1">
      <alignment horizontal="center"/>
    </xf>
    <xf numFmtId="0" fontId="4" fillId="4" borderId="6" xfId="0" applyFont="1" applyFill="1" applyBorder="1" applyAlignment="1">
      <alignment horizontal="center"/>
    </xf>
    <xf numFmtId="0" fontId="4" fillId="4" borderId="5" xfId="0" applyFont="1" applyFill="1" applyBorder="1" applyAlignment="1">
      <alignment horizontal="center"/>
    </xf>
    <xf numFmtId="0" fontId="4" fillId="4" borderId="4" xfId="0" applyFont="1" applyFill="1" applyBorder="1" applyAlignment="1">
      <alignment horizont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16" fillId="0" borderId="0" xfId="0" applyFont="1"/>
    <xf numFmtId="0" fontId="17" fillId="0" borderId="0" xfId="0" applyFont="1"/>
    <xf numFmtId="0" fontId="9" fillId="0" borderId="1" xfId="0" applyFont="1" applyBorder="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166" fontId="9" fillId="0" borderId="1" xfId="1" applyNumberFormat="1" applyFont="1" applyBorder="1" applyAlignment="1">
      <alignment horizontal="center" vertical="center"/>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xf>
    <xf numFmtId="0" fontId="9" fillId="0" borderId="8" xfId="0" applyFont="1" applyBorder="1" applyAlignment="1">
      <alignment horizontal="center" vertical="center" wrapText="1"/>
    </xf>
    <xf numFmtId="0" fontId="9" fillId="0" borderId="17" xfId="0" applyFont="1" applyBorder="1" applyAlignment="1">
      <alignment horizontal="center" vertical="center" wrapText="1"/>
    </xf>
    <xf numFmtId="0" fontId="22" fillId="0" borderId="1" xfId="0" applyFont="1" applyBorder="1" applyAlignment="1">
      <alignment horizontal="center" vertical="center" wrapText="1"/>
    </xf>
    <xf numFmtId="0" fontId="18" fillId="2" borderId="15" xfId="0" applyFont="1" applyFill="1" applyBorder="1" applyAlignment="1">
      <alignment horizontal="center" vertical="center"/>
    </xf>
    <xf numFmtId="0" fontId="4" fillId="0" borderId="0" xfId="0" applyFont="1"/>
    <xf numFmtId="0" fontId="0" fillId="0" borderId="15" xfId="0" applyBorder="1"/>
    <xf numFmtId="0" fontId="13" fillId="2" borderId="0" xfId="0" applyFont="1" applyFill="1" applyAlignment="1">
      <alignment horizontal="center" vertical="center"/>
    </xf>
    <xf numFmtId="0" fontId="18" fillId="2" borderId="7" xfId="0" applyFont="1" applyFill="1" applyBorder="1" applyAlignment="1">
      <alignment horizontal="center" vertical="center" wrapText="1"/>
    </xf>
    <xf numFmtId="0" fontId="13" fillId="2" borderId="16" xfId="0" applyFont="1" applyFill="1" applyBorder="1" applyAlignment="1">
      <alignment horizontal="center" vertical="center"/>
    </xf>
    <xf numFmtId="0" fontId="0" fillId="0" borderId="16" xfId="0" applyBorder="1"/>
    <xf numFmtId="0" fontId="0" fillId="0" borderId="0" xfId="0" applyAlignment="1">
      <alignment horizontal="left" wrapText="1"/>
    </xf>
    <xf numFmtId="0" fontId="0" fillId="0" borderId="0" xfId="0"/>
    <xf numFmtId="0" fontId="3" fillId="0" borderId="0" xfId="0" applyFont="1" applyAlignment="1">
      <alignment horizontal="center"/>
    </xf>
    <xf numFmtId="0" fontId="2" fillId="0" borderId="1" xfId="0" applyFont="1" applyBorder="1" applyAlignment="1">
      <alignment horizontal="center" vertical="center" wrapText="1"/>
    </xf>
    <xf numFmtId="0" fontId="0" fillId="0" borderId="20" xfId="0" applyBorder="1"/>
    <xf numFmtId="0" fontId="0" fillId="0" borderId="21" xfId="0" applyBorder="1"/>
    <xf numFmtId="0" fontId="0" fillId="0" borderId="22" xfId="0" applyBorder="1"/>
    <xf numFmtId="0" fontId="0" fillId="0" borderId="1" xfId="0" applyBorder="1" applyAlignment="1">
      <alignment horizontal="center" vertical="center" wrapText="1"/>
    </xf>
    <xf numFmtId="0" fontId="0" fillId="0" borderId="10" xfId="0" applyBorder="1"/>
    <xf numFmtId="0" fontId="5" fillId="0" borderId="0" xfId="0" applyFont="1" applyAlignment="1">
      <alignment horizontal="left" vertical="center"/>
    </xf>
    <xf numFmtId="0" fontId="7" fillId="4" borderId="1" xfId="0" applyFont="1" applyFill="1" applyBorder="1" applyAlignment="1">
      <alignment horizontal="center"/>
    </xf>
    <xf numFmtId="0" fontId="13" fillId="2" borderId="0" xfId="0" applyFont="1" applyFill="1" applyAlignment="1">
      <alignment horizontal="center"/>
    </xf>
    <xf numFmtId="0" fontId="14" fillId="4" borderId="1" xfId="0" applyFont="1" applyFill="1" applyBorder="1" applyAlignment="1">
      <alignment horizontal="center" vertical="center"/>
    </xf>
    <xf numFmtId="0" fontId="0" fillId="0" borderId="9" xfId="0" applyBorder="1"/>
    <xf numFmtId="0" fontId="13" fillId="2" borderId="1" xfId="0" applyFont="1" applyFill="1" applyBorder="1" applyAlignment="1">
      <alignment horizontal="center" vertical="center"/>
    </xf>
    <xf numFmtId="0" fontId="16" fillId="0" borderId="0" xfId="0" applyFont="1" applyAlignment="1">
      <alignment horizontal="left" vertical="top" wrapText="1"/>
    </xf>
    <xf numFmtId="14" fontId="12" fillId="0" borderId="1" xfId="0" applyNumberFormat="1" applyFont="1" applyBorder="1" applyAlignment="1">
      <alignment horizontal="center"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ibri"/>
                <a:ea typeface="+mn-ea"/>
                <a:cs typeface="+mn-cs"/>
              </a:defRPr>
            </a:pPr>
            <a:r>
              <a:rPr lang="es-MX"/>
              <a:t>Plan de capacitación 1er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trimestral'!$F$3:$H$3</c:f>
              <c:strCache>
                <c:ptCount val="3"/>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trimestral'!$G$8:$H$8</c:f>
              <c:numCache>
                <c:formatCode>General</c:formatCode>
                <c:ptCount val="2"/>
                <c:pt idx="0">
                  <c:v>0</c:v>
                </c:pt>
                <c:pt idx="1">
                  <c:v>0</c:v>
                </c:pt>
              </c:numCache>
            </c:numRef>
          </c:val>
          <c:extLst>
            <c:ext xmlns:c16="http://schemas.microsoft.com/office/drawing/2014/chart" uri="{C3380CC4-5D6E-409C-BE32-E72D297353CC}">
              <c16:uniqueId val="{00000000-086A-4365-9461-1F5A839606E0}"/>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Pt>
            <c:idx val="0"/>
            <c:invertIfNegative val="0"/>
            <c:bubble3D val="0"/>
            <c:spPr>
              <a:ln>
                <a:prstDash val="solid"/>
              </a:ln>
            </c:spPr>
            <c:extLst>
              <c:ext xmlns:c16="http://schemas.microsoft.com/office/drawing/2014/chart" uri="{C3380CC4-5D6E-409C-BE32-E72D297353CC}">
                <c16:uniqueId val="{00000002-086A-4365-9461-1F5A839606E0}"/>
              </c:ext>
            </c:extLst>
          </c:dPt>
          <c:dPt>
            <c:idx val="1"/>
            <c:invertIfNegative val="0"/>
            <c:bubble3D val="0"/>
            <c:spPr>
              <a:ln>
                <a:prstDash val="solid"/>
              </a:ln>
            </c:spPr>
            <c:extLst>
              <c:ext xmlns:c16="http://schemas.microsoft.com/office/drawing/2014/chart" uri="{C3380CC4-5D6E-409C-BE32-E72D297353CC}">
                <c16:uniqueId val="{00000004-086A-4365-9461-1F5A839606E0}"/>
              </c:ext>
            </c:extLst>
          </c:dPt>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trimestral'!$C$8:$D$8</c:f>
              <c:numCache>
                <c:formatCode>General</c:formatCode>
                <c:ptCount val="2"/>
                <c:pt idx="0">
                  <c:v>0</c:v>
                </c:pt>
                <c:pt idx="1">
                  <c:v>0</c:v>
                </c:pt>
              </c:numCache>
            </c:numRef>
          </c:val>
          <c:extLst>
            <c:ext xmlns:c16="http://schemas.microsoft.com/office/drawing/2014/chart" uri="{C3380CC4-5D6E-409C-BE32-E72D297353CC}">
              <c16:uniqueId val="{00000005-086A-4365-9461-1F5A839606E0}"/>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ibri"/>
                <a:ea typeface="+mn-ea"/>
                <a:cs typeface="+mn-cs"/>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libri" panose="020F0502020204030204" pitchFamily="34" charset="0"/>
                <a:ea typeface="+mn-ea"/>
                <a:cs typeface="Calibri" panose="020F0502020204030204" pitchFamily="34" charset="0"/>
              </a:defRPr>
            </a:pPr>
            <a:r>
              <a:rPr lang="es-MX"/>
              <a:t>Plan de capacitación 2do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trimestral'!$G$12:$H$12</c:f>
              <c:numCache>
                <c:formatCode>General</c:formatCode>
                <c:ptCount val="2"/>
                <c:pt idx="0">
                  <c:v>0</c:v>
                </c:pt>
                <c:pt idx="1">
                  <c:v>0</c:v>
                </c:pt>
              </c:numCache>
            </c:numRef>
          </c:val>
          <c:extLst>
            <c:ext xmlns:c16="http://schemas.microsoft.com/office/drawing/2014/chart" uri="{C3380CC4-5D6E-409C-BE32-E72D297353CC}">
              <c16:uniqueId val="{00000000-4176-4029-8182-2E7F75A08108}"/>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trimestral'!$C$12:$D$12</c:f>
              <c:numCache>
                <c:formatCode>General</c:formatCode>
                <c:ptCount val="2"/>
                <c:pt idx="0">
                  <c:v>0</c:v>
                </c:pt>
                <c:pt idx="1">
                  <c:v>0</c:v>
                </c:pt>
              </c:numCache>
            </c:numRef>
          </c:val>
          <c:extLst>
            <c:ext xmlns:c16="http://schemas.microsoft.com/office/drawing/2014/chart" uri="{C3380CC4-5D6E-409C-BE32-E72D297353CC}">
              <c16:uniqueId val="{00000001-4176-4029-8182-2E7F75A08108}"/>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libri" panose="020F0502020204030204" pitchFamily="34" charset="0"/>
                <a:ea typeface="+mn-ea"/>
                <a:cs typeface="Calibri" panose="020F0502020204030204" pitchFamily="34" charset="0"/>
              </a:defRPr>
            </a:pPr>
            <a:r>
              <a:rPr lang="es-MX"/>
              <a:t>Plan de capacitación 3er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trimestral'!$G$16:$H$16</c:f>
              <c:numCache>
                <c:formatCode>General</c:formatCode>
                <c:ptCount val="2"/>
                <c:pt idx="0">
                  <c:v>0</c:v>
                </c:pt>
                <c:pt idx="1">
                  <c:v>0</c:v>
                </c:pt>
              </c:numCache>
            </c:numRef>
          </c:val>
          <c:extLst>
            <c:ext xmlns:c16="http://schemas.microsoft.com/office/drawing/2014/chart" uri="{C3380CC4-5D6E-409C-BE32-E72D297353CC}">
              <c16:uniqueId val="{00000000-F921-4B97-87E3-93255E55A1C2}"/>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trimestral'!$C$16:$D$16</c:f>
              <c:numCache>
                <c:formatCode>General</c:formatCode>
                <c:ptCount val="2"/>
                <c:pt idx="0">
                  <c:v>0</c:v>
                </c:pt>
                <c:pt idx="1">
                  <c:v>0</c:v>
                </c:pt>
              </c:numCache>
            </c:numRef>
          </c:val>
          <c:extLst>
            <c:ext xmlns:c16="http://schemas.microsoft.com/office/drawing/2014/chart" uri="{C3380CC4-5D6E-409C-BE32-E72D297353CC}">
              <c16:uniqueId val="{00000001-F921-4B97-87E3-93255E55A1C2}"/>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lgn="ctr">
              <a:defRPr sz="1260" b="1" i="0" strike="noStrike" kern="1200" spc="100" baseline="0">
                <a:solidFill>
                  <a:schemeClr val="lt1">
                    <a:lumMod val="95000"/>
                  </a:schemeClr>
                </a:solidFill>
                <a:latin typeface="Calibri" panose="020F0502020204030204" pitchFamily="34" charset="0"/>
                <a:ea typeface="+mn-ea"/>
                <a:cs typeface="Calibri" panose="020F0502020204030204" pitchFamily="34" charset="0"/>
              </a:defRPr>
            </a:pPr>
            <a:r>
              <a:rPr lang="es-MX"/>
              <a:t>Plan de capacitación 4to trimestre &lt;año&gt;</a:t>
            </a:r>
          </a:p>
        </c:rich>
      </c:tx>
      <c:layout>
        <c:manualLayout>
          <c:xMode val="edge"/>
          <c:yMode val="edge"/>
          <c:x val="0.11367344706911631"/>
          <c:y val="4.6296296296296287E-2"/>
        </c:manualLayout>
      </c:layout>
      <c:overlay val="0"/>
      <c:spPr>
        <a:noFill/>
        <a:ln>
          <a:noFill/>
          <a:prstDash val="solid"/>
        </a:ln>
      </c:sp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'3.-Informe trimestral'!$C$4:$D$4</c:f>
              <c:strCache>
                <c:ptCount val="2"/>
                <c:pt idx="0">
                  <c:v>Capacitaciones planeadas</c:v>
                </c:pt>
                <c:pt idx="1">
                  <c:v>Capacitaciones realizadas</c:v>
                </c:pt>
              </c:strCache>
            </c:strRef>
          </c:cat>
          <c:val>
            <c:numRef>
              <c:f>'3.-Informe trimestral'!$G$20:$H$20</c:f>
              <c:numCache>
                <c:formatCode>General</c:formatCode>
                <c:ptCount val="2"/>
                <c:pt idx="0">
                  <c:v>0</c:v>
                </c:pt>
                <c:pt idx="1">
                  <c:v>0</c:v>
                </c:pt>
              </c:numCache>
            </c:numRef>
          </c:val>
          <c:extLst>
            <c:ext xmlns:c16="http://schemas.microsoft.com/office/drawing/2014/chart" uri="{C3380CC4-5D6E-409C-BE32-E72D297353CC}">
              <c16:uniqueId val="{00000000-3ADE-4DB2-9940-F7F0B2C42D46}"/>
            </c:ext>
          </c:extLst>
        </c:ser>
        <c:ser>
          <c:idx val="1"/>
          <c:order val="1"/>
          <c:tx>
            <c:strRef>
              <c:f>'3.-Informe trimestral'!$B$3</c:f>
              <c:strCache>
                <c:ptCount val="1"/>
                <c:pt idx="0">
                  <c:v>Estratégica</c:v>
                </c:pt>
              </c:strCache>
            </c:strRef>
          </c:tx>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'3.-Informe trimestral'!$C$20:$D$20</c:f>
              <c:numCache>
                <c:formatCode>General</c:formatCode>
                <c:ptCount val="2"/>
                <c:pt idx="0">
                  <c:v>0</c:v>
                </c:pt>
                <c:pt idx="1">
                  <c:v>0</c:v>
                </c:pt>
              </c:numCache>
            </c:numRef>
          </c:val>
          <c:extLst>
            <c:ext xmlns:c16="http://schemas.microsoft.com/office/drawing/2014/chart" uri="{C3380CC4-5D6E-409C-BE32-E72D297353CC}">
              <c16:uniqueId val="{00000001-3ADE-4DB2-9940-F7F0B2C42D46}"/>
            </c:ext>
          </c:extLst>
        </c:ser>
        <c:dLbls>
          <c:dLblPos val="outEnd"/>
          <c:showLegendKey val="0"/>
          <c:showVal val="1"/>
          <c:showCatName val="0"/>
          <c:showSerName val="0"/>
          <c:showPercent val="0"/>
          <c:showBubbleSize val="0"/>
        </c:dLbls>
        <c:gapWidth val="100"/>
        <c:axId val="1952391135"/>
        <c:axId val="77747167"/>
      </c:barChart>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valAx>
        <c:axId val="77747167"/>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1050" b="0" i="0"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s-MX"/>
              <a:t>Estratégica</a:t>
            </a:r>
          </a:p>
        </c:rich>
      </c:tx>
      <c:overlay val="0"/>
      <c:spPr>
        <a:noFill/>
        <a:ln>
          <a:noFill/>
          <a:prstDash val="solid"/>
        </a:ln>
      </c:spPr>
    </c:title>
    <c:autoTitleDeleted val="0"/>
    <c:plotArea>
      <c:layout/>
      <c:barChart>
        <c:barDir val="bar"/>
        <c:grouping val="clustered"/>
        <c:varyColors val="0"/>
        <c:ser>
          <c:idx val="0"/>
          <c:order val="0"/>
          <c:tx>
            <c:strRef>
              <c:f>'3.1.- Informe Cuatrimestral'!$B$2:$B$3</c:f>
              <c:strCache>
                <c:ptCount val="2"/>
                <c:pt idx="0">
                  <c:v>Estratégica</c:v>
                </c:pt>
                <c:pt idx="1">
                  <c:v>Capacitaciones planeadas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Cuatrimestral'!$A$8,'3.1.- Informe Cuatrimestral'!$A$13,'3.1.- Informe Cuatrimestral'!$A$18)</c:f>
              <c:strCache>
                <c:ptCount val="3"/>
                <c:pt idx="0">
                  <c:v>1er cuatrimestre</c:v>
                </c:pt>
                <c:pt idx="1">
                  <c:v>2do cuatrimestre</c:v>
                </c:pt>
                <c:pt idx="2">
                  <c:v>3er cuatrimestre</c:v>
                </c:pt>
              </c:strCache>
            </c:strRef>
          </c:cat>
          <c:val>
            <c:numRef>
              <c:f>('3.1.- Informe Cuatrimestral'!$B$8,'3.1.- Informe Cuatrimestral'!$B$13,'3.1.- Informe Cuatrimestral'!$B$18)</c:f>
              <c:numCache>
                <c:formatCode>General</c:formatCode>
                <c:ptCount val="3"/>
                <c:pt idx="0">
                  <c:v>2</c:v>
                </c:pt>
                <c:pt idx="1">
                  <c:v>4</c:v>
                </c:pt>
                <c:pt idx="2">
                  <c:v>5</c:v>
                </c:pt>
              </c:numCache>
            </c:numRef>
          </c:val>
          <c:extLst>
            <c:ext xmlns:c16="http://schemas.microsoft.com/office/drawing/2014/chart" uri="{C3380CC4-5D6E-409C-BE32-E72D297353CC}">
              <c16:uniqueId val="{00000000-ADA8-4515-90C2-4DA9DAFD654C}"/>
            </c:ext>
          </c:extLst>
        </c:ser>
        <c:ser>
          <c:idx val="1"/>
          <c:order val="1"/>
          <c:tx>
            <c:strRef>
              <c:f>'3.1.- Informe Cuatrimestral'!$C$2:$C$3</c:f>
              <c:strCache>
                <c:ptCount val="2"/>
                <c:pt idx="0">
                  <c:v>Estratégica</c:v>
                </c:pt>
                <c:pt idx="1">
                  <c:v>Capacitaciones realizadas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Cuatrimestral'!$A$8,'3.1.- Informe Cuatrimestral'!$A$13,'3.1.- Informe Cuatrimestral'!$A$18)</c:f>
              <c:strCache>
                <c:ptCount val="3"/>
                <c:pt idx="0">
                  <c:v>1er cuatrimestre</c:v>
                </c:pt>
                <c:pt idx="1">
                  <c:v>2do cuatrimestre</c:v>
                </c:pt>
                <c:pt idx="2">
                  <c:v>3er cuatrimestre</c:v>
                </c:pt>
              </c:strCache>
            </c:strRef>
          </c:cat>
          <c:val>
            <c:numRef>
              <c:f>('3.1.- Informe Cuatrimestral'!$C$8,'3.1.- Informe Cuatrimestral'!$C$13,'3.1.- Informe Cuatrimestral'!$C$18)</c:f>
              <c:numCache>
                <c:formatCode>General</c:formatCode>
                <c:ptCount val="3"/>
                <c:pt idx="0">
                  <c:v>2</c:v>
                </c:pt>
                <c:pt idx="1">
                  <c:v>4</c:v>
                </c:pt>
                <c:pt idx="2">
                  <c:v>5</c:v>
                </c:pt>
              </c:numCache>
            </c:numRef>
          </c:val>
          <c:extLst>
            <c:ext xmlns:c16="http://schemas.microsoft.com/office/drawing/2014/chart" uri="{C3380CC4-5D6E-409C-BE32-E72D297353CC}">
              <c16:uniqueId val="{00000001-ADA8-4515-90C2-4DA9DAFD654C}"/>
            </c:ext>
          </c:extLst>
        </c:ser>
        <c:dLbls>
          <c:dLblPos val="outEnd"/>
          <c:showLegendKey val="0"/>
          <c:showVal val="1"/>
          <c:showCatName val="0"/>
          <c:showSerName val="0"/>
          <c:showPercent val="0"/>
          <c:showBubbleSize val="0"/>
        </c:dLbls>
        <c:gapWidth val="115"/>
        <c:overlap val="-20"/>
        <c:axId val="1019719504"/>
        <c:axId val="538424112"/>
      </c:barChart>
      <c:catAx>
        <c:axId val="1019719504"/>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538424112"/>
        <c:crosses val="autoZero"/>
        <c:auto val="1"/>
        <c:lblAlgn val="ctr"/>
        <c:lblOffset val="100"/>
        <c:noMultiLvlLbl val="0"/>
      </c:catAx>
      <c:valAx>
        <c:axId val="538424112"/>
        <c:scaling>
          <c:orientation val="minMax"/>
        </c:scaling>
        <c:delete val="0"/>
        <c:axPos val="b"/>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019719504"/>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s-MX"/>
              <a:t>Proyecto</a:t>
            </a:r>
          </a:p>
        </c:rich>
      </c:tx>
      <c:overlay val="0"/>
      <c:spPr>
        <a:noFill/>
        <a:ln>
          <a:noFill/>
          <a:prstDash val="solid"/>
        </a:ln>
      </c:spPr>
    </c:title>
    <c:autoTitleDeleted val="0"/>
    <c:plotArea>
      <c:layout/>
      <c:barChart>
        <c:barDir val="bar"/>
        <c:grouping val="clustered"/>
        <c:varyColors val="0"/>
        <c:ser>
          <c:idx val="0"/>
          <c:order val="0"/>
          <c:tx>
            <c:strRef>
              <c:f>'3.1.- Informe Cuatrimestral'!$F$2:$F$3</c:f>
              <c:strCache>
                <c:ptCount val="2"/>
                <c:pt idx="0">
                  <c:v>Proyecto</c:v>
                </c:pt>
                <c:pt idx="1">
                  <c:v>Capacitaciones planeadas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Cuatrimestral'!$E$8,'3.1.- Informe Cuatrimestral'!$E$13,'3.1.- Informe Cuatrimestral'!$E$18)</c:f>
              <c:strCache>
                <c:ptCount val="3"/>
                <c:pt idx="0">
                  <c:v>1er cuatrimestre</c:v>
                </c:pt>
                <c:pt idx="1">
                  <c:v>2do cuatrimestre</c:v>
                </c:pt>
                <c:pt idx="2">
                  <c:v>3er cuatrimestre</c:v>
                </c:pt>
              </c:strCache>
            </c:strRef>
          </c:cat>
          <c:val>
            <c:numRef>
              <c:f>('3.1.- Informe Cuatrimestral'!$F$8,'3.1.- Informe Cuatrimestral'!$F$13,'3.1.- Informe Cuatrimestral'!$F$18)</c:f>
              <c:numCache>
                <c:formatCode>General</c:formatCode>
                <c:ptCount val="3"/>
                <c:pt idx="0">
                  <c:v>6</c:v>
                </c:pt>
                <c:pt idx="1">
                  <c:v>8</c:v>
                </c:pt>
                <c:pt idx="2">
                  <c:v>2</c:v>
                </c:pt>
              </c:numCache>
            </c:numRef>
          </c:val>
          <c:extLst>
            <c:ext xmlns:c16="http://schemas.microsoft.com/office/drawing/2014/chart" uri="{C3380CC4-5D6E-409C-BE32-E72D297353CC}">
              <c16:uniqueId val="{00000000-45C6-4198-93E3-149E1D670638}"/>
            </c:ext>
          </c:extLst>
        </c:ser>
        <c:ser>
          <c:idx val="1"/>
          <c:order val="1"/>
          <c:tx>
            <c:strRef>
              <c:f>'3.1.- Informe Cuatrimestral'!$G$2:$G$3</c:f>
              <c:strCache>
                <c:ptCount val="2"/>
                <c:pt idx="0">
                  <c:v>Proyecto</c:v>
                </c:pt>
                <c:pt idx="1">
                  <c:v>Capacitaciones realizadas</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('3.1.- Informe Cuatrimestral'!$E$8,'3.1.- Informe Cuatrimestral'!$E$13,'3.1.- Informe Cuatrimestral'!$E$18)</c:f>
              <c:strCache>
                <c:ptCount val="3"/>
                <c:pt idx="0">
                  <c:v>1er cuatrimestre</c:v>
                </c:pt>
                <c:pt idx="1">
                  <c:v>2do cuatrimestre</c:v>
                </c:pt>
                <c:pt idx="2">
                  <c:v>3er cuatrimestre</c:v>
                </c:pt>
              </c:strCache>
            </c:strRef>
          </c:cat>
          <c:val>
            <c:numRef>
              <c:f>('3.1.- Informe Cuatrimestral'!$G$8,'3.1.- Informe Cuatrimestral'!$G$13,'3.1.- Informe Cuatrimestral'!$G$18)</c:f>
              <c:numCache>
                <c:formatCode>General</c:formatCode>
                <c:ptCount val="3"/>
                <c:pt idx="0">
                  <c:v>5</c:v>
                </c:pt>
                <c:pt idx="1">
                  <c:v>8</c:v>
                </c:pt>
                <c:pt idx="2">
                  <c:v>2</c:v>
                </c:pt>
              </c:numCache>
            </c:numRef>
          </c:val>
          <c:extLst>
            <c:ext xmlns:c16="http://schemas.microsoft.com/office/drawing/2014/chart" uri="{C3380CC4-5D6E-409C-BE32-E72D297353CC}">
              <c16:uniqueId val="{00000001-45C6-4198-93E3-149E1D670638}"/>
            </c:ext>
          </c:extLst>
        </c:ser>
        <c:dLbls>
          <c:dLblPos val="outEnd"/>
          <c:showLegendKey val="0"/>
          <c:showVal val="1"/>
          <c:showCatName val="0"/>
          <c:showSerName val="0"/>
          <c:showPercent val="0"/>
          <c:showBubbleSize val="0"/>
        </c:dLbls>
        <c:gapWidth val="115"/>
        <c:overlap val="-20"/>
        <c:axId val="1005482736"/>
        <c:axId val="542323712"/>
      </c:barChart>
      <c:catAx>
        <c:axId val="1005482736"/>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542323712"/>
        <c:crosses val="autoZero"/>
        <c:auto val="1"/>
        <c:lblAlgn val="ctr"/>
        <c:lblOffset val="100"/>
        <c:noMultiLvlLbl val="0"/>
      </c:catAx>
      <c:valAx>
        <c:axId val="542323712"/>
        <c:scaling>
          <c:orientation val="minMax"/>
        </c:scaling>
        <c:delete val="0"/>
        <c:axPos val="b"/>
        <c:majorGridlines>
          <c:spPr>
            <a:ln w="9525" cap="flat" cmpd="sng" algn="ctr">
              <a:solidFill>
                <a:schemeClr val="lt1">
                  <a:alpha val="10000"/>
                  <a:lumMod val="95000"/>
                </a:schemeClr>
              </a:solidFill>
              <a:prstDash val="solid"/>
              <a:round/>
            </a:ln>
          </c:spPr>
        </c:majorGridlines>
        <c:title>
          <c:tx>
            <c:rich>
              <a:bodyPr/>
              <a:lstStyle/>
              <a:p>
                <a:r>
                  <a:t>None</a:t>
                </a:r>
              </a:p>
            </c:rich>
          </c:tx>
          <c:overlay val="0"/>
          <c:spPr>
            <a:noFill/>
            <a:ln>
              <a:noFill/>
              <a:prstDash val="solid"/>
            </a:ln>
          </c:spPr>
        </c:title>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005482736"/>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428624</xdr:colOff>
      <xdr:row>2</xdr:row>
      <xdr:rowOff>33866</xdr:rowOff>
    </xdr:from>
    <xdr:to>
      <xdr:col>13</xdr:col>
      <xdr:colOff>253691</xdr:colOff>
      <xdr:row>15</xdr:row>
      <xdr:rowOff>147108</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419097</xdr:colOff>
      <xdr:row>2</xdr:row>
      <xdr:rowOff>42333</xdr:rowOff>
    </xdr:from>
    <xdr:to>
      <xdr:col>20</xdr:col>
      <xdr:colOff>158750</xdr:colOff>
      <xdr:row>15</xdr:row>
      <xdr:rowOff>156700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418041</xdr:colOff>
      <xdr:row>16</xdr:row>
      <xdr:rowOff>125941</xdr:rowOff>
    </xdr:from>
    <xdr:to>
      <xdr:col>13</xdr:col>
      <xdr:colOff>222249</xdr:colOff>
      <xdr:row>31</xdr:row>
      <xdr:rowOff>134474</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433917</xdr:colOff>
      <xdr:row>16</xdr:row>
      <xdr:rowOff>127001</xdr:rowOff>
    </xdr:from>
    <xdr:to>
      <xdr:col>20</xdr:col>
      <xdr:colOff>132292</xdr:colOff>
      <xdr:row>31</xdr:row>
      <xdr:rowOff>135534</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511491</xdr:colOff>
      <xdr:row>0</xdr:row>
      <xdr:rowOff>91440</xdr:rowOff>
    </xdr:from>
    <xdr:to>
      <xdr:col>13</xdr:col>
      <xdr:colOff>676275</xdr:colOff>
      <xdr:row>13</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516806</xdr:colOff>
      <xdr:row>13</xdr:row>
      <xdr:rowOff>168391</xdr:rowOff>
    </xdr:from>
    <xdr:to>
      <xdr:col>13</xdr:col>
      <xdr:colOff>674077</xdr:colOff>
      <xdr:row>30</xdr:row>
      <xdr:rowOff>7921</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showGridLines="0" zoomScaleNormal="100" workbookViewId="0">
      <selection sqref="A1:B2"/>
    </sheetView>
  </sheetViews>
  <sheetFormatPr baseColWidth="10" defaultColWidth="11.44140625" defaultRowHeight="30.75" customHeight="1" x14ac:dyDescent="0.3"/>
  <cols>
    <col min="1" max="1" width="20.21875" customWidth="1"/>
    <col min="2" max="2" width="23.44140625" customWidth="1"/>
    <col min="3" max="3" width="47.44140625" customWidth="1"/>
    <col min="4" max="4" width="26.44140625" customWidth="1"/>
  </cols>
  <sheetData>
    <row r="1" spans="1:4" ht="14.55" customHeight="1" x14ac:dyDescent="0.3">
      <c r="A1" s="83" t="e" vm="1">
        <v>#VALUE!</v>
      </c>
      <c r="B1" s="84"/>
    </row>
    <row r="2" spans="1:4" ht="54.75" customHeight="1" x14ac:dyDescent="0.3">
      <c r="A2" s="85"/>
      <c r="B2" s="86"/>
    </row>
    <row r="3" spans="1:4" ht="30.75" customHeight="1" x14ac:dyDescent="0.3">
      <c r="A3" s="87" t="s">
        <v>31</v>
      </c>
      <c r="B3" s="88"/>
    </row>
    <row r="4" spans="1:4" ht="14.55" customHeight="1" x14ac:dyDescent="0.3"/>
    <row r="5" spans="1:4" ht="30.75" customHeight="1" x14ac:dyDescent="0.3">
      <c r="A5" s="80"/>
      <c r="B5" s="81"/>
      <c r="C5" s="81"/>
      <c r="D5" s="81"/>
    </row>
    <row r="6" spans="1:4" ht="18.45" customHeight="1" x14ac:dyDescent="0.35">
      <c r="A6" s="82" t="s">
        <v>32</v>
      </c>
      <c r="B6" s="81"/>
      <c r="C6" s="81"/>
      <c r="D6" s="81"/>
    </row>
    <row r="7" spans="1:4" ht="14.55" customHeight="1" x14ac:dyDescent="0.3"/>
    <row r="8" spans="1:4" ht="18.45" customHeight="1" x14ac:dyDescent="0.3">
      <c r="A8" s="35" t="s">
        <v>33</v>
      </c>
      <c r="B8" s="35" t="s">
        <v>34</v>
      </c>
      <c r="C8" s="35" t="s">
        <v>35</v>
      </c>
      <c r="D8" s="35" t="s">
        <v>36</v>
      </c>
    </row>
    <row r="9" spans="1:4" ht="32.25" customHeight="1" x14ac:dyDescent="0.3">
      <c r="A9" s="96">
        <v>46047</v>
      </c>
      <c r="B9" s="48" t="s">
        <v>37</v>
      </c>
      <c r="C9" s="47" t="s">
        <v>38</v>
      </c>
      <c r="D9" s="47" t="s">
        <v>39</v>
      </c>
    </row>
    <row r="10" spans="1:4" ht="15.6" x14ac:dyDescent="0.3">
      <c r="A10" s="47"/>
      <c r="B10" s="48"/>
      <c r="C10" s="47"/>
      <c r="D10" s="47"/>
    </row>
    <row r="11" spans="1:4" ht="15.6" x14ac:dyDescent="0.3">
      <c r="A11" s="36"/>
      <c r="B11" s="37"/>
      <c r="C11" s="36"/>
      <c r="D11" s="36"/>
    </row>
    <row r="12" spans="1:4" ht="15.6" x14ac:dyDescent="0.3">
      <c r="A12" s="36"/>
      <c r="B12" s="37"/>
      <c r="C12" s="36"/>
      <c r="D12" s="36"/>
    </row>
    <row r="14" spans="1:4" ht="15.45" customHeight="1" x14ac:dyDescent="0.3">
      <c r="A14" s="89" t="s">
        <v>40</v>
      </c>
      <c r="B14" s="81"/>
      <c r="C14" s="81"/>
      <c r="D14" s="81"/>
    </row>
  </sheetData>
  <mergeCells count="5">
    <mergeCell ref="A5:D5"/>
    <mergeCell ref="A6:D6"/>
    <mergeCell ref="A1:B2"/>
    <mergeCell ref="A3:B3"/>
    <mergeCell ref="A14:D1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7"/>
  <sheetViews>
    <sheetView showGridLines="0" zoomScale="115" zoomScaleNormal="115" workbookViewId="0">
      <selection activeCell="A2" sqref="A2"/>
    </sheetView>
  </sheetViews>
  <sheetFormatPr baseColWidth="10" defaultColWidth="11.44140625" defaultRowHeight="14.4" x14ac:dyDescent="0.3"/>
  <cols>
    <col min="1" max="2" width="16.44140625" style="10" customWidth="1"/>
    <col min="3" max="3" width="28" style="10" customWidth="1"/>
    <col min="4" max="4" width="37.5546875" style="10" customWidth="1"/>
    <col min="5" max="6" width="18.21875" style="10" customWidth="1"/>
    <col min="7" max="7" width="15.21875" style="10" customWidth="1"/>
    <col min="8" max="8" width="20.77734375" style="10" customWidth="1"/>
    <col min="9" max="9" width="47.77734375" style="10" customWidth="1"/>
    <col min="10" max="10" width="16.5546875" style="10" customWidth="1"/>
    <col min="11" max="11" width="29.44140625" style="10" customWidth="1"/>
    <col min="12" max="12" width="14.44140625" style="10" customWidth="1"/>
    <col min="13" max="14" width="23" style="10" customWidth="1"/>
    <col min="15" max="15" width="17" style="10" customWidth="1"/>
    <col min="16" max="16" width="23.44140625" style="10" customWidth="1"/>
    <col min="17" max="17" width="8.44140625" style="10" customWidth="1"/>
    <col min="18" max="18" width="8.77734375" style="10" customWidth="1"/>
    <col min="19" max="19" width="13.77734375" style="10" customWidth="1"/>
    <col min="20" max="20" width="24.5546875" style="10" customWidth="1"/>
    <col min="21" max="21" width="23.77734375" style="10" customWidth="1"/>
    <col min="22" max="22" width="14.77734375" style="10" customWidth="1"/>
    <col min="23" max="23" width="23.21875" style="10" customWidth="1"/>
    <col min="24" max="24" width="36.21875" style="10" customWidth="1"/>
    <col min="25" max="25" width="14.21875" style="10" customWidth="1"/>
    <col min="26" max="26" width="39.21875" style="10" customWidth="1"/>
    <col min="27" max="30" width="11.44140625" style="10" customWidth="1"/>
    <col min="31" max="16384" width="11.44140625" style="10"/>
  </cols>
  <sheetData>
    <row r="1" spans="1:24" ht="38.25" customHeight="1" x14ac:dyDescent="0.3">
      <c r="A1" s="78" t="s">
        <v>0</v>
      </c>
      <c r="B1" s="79"/>
      <c r="C1" s="79"/>
      <c r="D1" s="79"/>
      <c r="E1" s="79"/>
      <c r="F1" s="79"/>
      <c r="G1" s="79"/>
      <c r="H1" s="79"/>
      <c r="I1" s="79"/>
      <c r="J1" s="79"/>
      <c r="K1" s="79"/>
      <c r="L1" s="79"/>
      <c r="M1" s="73" t="s">
        <v>1</v>
      </c>
      <c r="N1" s="74"/>
      <c r="O1" s="75"/>
      <c r="P1" s="77" t="s">
        <v>2</v>
      </c>
      <c r="Q1" s="74"/>
      <c r="R1" s="74"/>
      <c r="S1" s="76" t="s">
        <v>3</v>
      </c>
      <c r="T1" s="74"/>
      <c r="U1" s="74"/>
      <c r="V1" s="74"/>
      <c r="W1" s="74"/>
      <c r="X1" s="19"/>
    </row>
    <row r="2" spans="1:24" s="19" customFormat="1" ht="31.05" customHeight="1" x14ac:dyDescent="0.3">
      <c r="A2" s="38" t="s">
        <v>4</v>
      </c>
      <c r="B2" s="38" t="s">
        <v>5</v>
      </c>
      <c r="C2" s="39" t="s">
        <v>6</v>
      </c>
      <c r="D2" s="39" t="s">
        <v>7</v>
      </c>
      <c r="E2" s="38" t="s">
        <v>8</v>
      </c>
      <c r="F2" s="38" t="s">
        <v>9</v>
      </c>
      <c r="G2" s="39" t="s">
        <v>10</v>
      </c>
      <c r="H2" s="39" t="s">
        <v>11</v>
      </c>
      <c r="I2" s="39" t="s">
        <v>12</v>
      </c>
      <c r="J2" s="39" t="s">
        <v>13</v>
      </c>
      <c r="K2" s="39" t="s">
        <v>14</v>
      </c>
      <c r="L2" s="38" t="s">
        <v>15</v>
      </c>
      <c r="M2" s="40" t="s">
        <v>16</v>
      </c>
      <c r="N2" s="40" t="s">
        <v>17</v>
      </c>
      <c r="O2" s="40" t="s">
        <v>18</v>
      </c>
      <c r="P2" s="39" t="s">
        <v>19</v>
      </c>
      <c r="Q2" s="40" t="s">
        <v>20</v>
      </c>
      <c r="R2" s="40" t="s">
        <v>21</v>
      </c>
      <c r="S2" s="39" t="s">
        <v>22</v>
      </c>
      <c r="T2" s="39" t="s">
        <v>23</v>
      </c>
      <c r="U2" s="41" t="s">
        <v>24</v>
      </c>
      <c r="V2" s="42" t="s">
        <v>25</v>
      </c>
      <c r="W2" s="43" t="s">
        <v>26</v>
      </c>
      <c r="X2" s="10"/>
    </row>
    <row r="3" spans="1:24" ht="92.1" customHeight="1" x14ac:dyDescent="0.3">
      <c r="A3" s="63" t="s">
        <v>27</v>
      </c>
      <c r="B3" s="64"/>
      <c r="C3" s="65" t="s">
        <v>28</v>
      </c>
      <c r="D3" s="64" t="s">
        <v>29</v>
      </c>
      <c r="E3" s="65"/>
      <c r="F3" s="64"/>
      <c r="G3" s="65"/>
      <c r="H3" s="64"/>
      <c r="I3" s="64"/>
      <c r="J3" s="65"/>
      <c r="K3" s="64"/>
      <c r="L3" s="66"/>
      <c r="M3" s="65"/>
      <c r="N3" s="67"/>
      <c r="O3" s="64"/>
      <c r="P3" s="68"/>
      <c r="Q3" s="69"/>
      <c r="R3" s="65"/>
      <c r="S3" s="69" t="s">
        <v>28</v>
      </c>
      <c r="T3" s="64"/>
      <c r="U3" s="70"/>
      <c r="V3" s="71"/>
      <c r="W3" s="72"/>
    </row>
    <row r="4" spans="1:24" ht="43.5" customHeight="1" x14ac:dyDescent="0.3">
      <c r="A4" s="2"/>
      <c r="B4" s="21"/>
      <c r="C4" s="3"/>
      <c r="D4" s="16"/>
      <c r="E4" s="5"/>
      <c r="F4" s="5"/>
      <c r="G4" s="12"/>
      <c r="H4" s="3"/>
      <c r="I4" s="17"/>
      <c r="J4" s="3"/>
      <c r="K4" s="17"/>
      <c r="L4" s="29"/>
      <c r="M4" s="12"/>
      <c r="N4" s="12"/>
      <c r="O4" s="3"/>
      <c r="P4" s="18"/>
      <c r="Q4" s="4"/>
      <c r="R4" s="4"/>
      <c r="S4" s="4"/>
      <c r="T4" s="3"/>
      <c r="U4" s="26"/>
      <c r="V4" s="25"/>
      <c r="W4" s="31"/>
    </row>
    <row r="5" spans="1:24" ht="28.95" customHeight="1" x14ac:dyDescent="0.3">
      <c r="A5" s="2"/>
      <c r="B5" s="2"/>
      <c r="C5" s="16"/>
      <c r="D5" s="16"/>
      <c r="E5" s="4"/>
      <c r="F5" s="21"/>
      <c r="G5" s="2"/>
      <c r="H5" s="2"/>
      <c r="I5" s="2"/>
      <c r="J5" s="2"/>
      <c r="K5" s="17"/>
      <c r="L5" s="30"/>
      <c r="M5" s="12"/>
      <c r="N5" s="12"/>
      <c r="O5" s="2"/>
      <c r="P5" s="18"/>
      <c r="Q5" s="4"/>
      <c r="R5" s="4"/>
      <c r="S5" s="4"/>
      <c r="T5" s="2"/>
      <c r="U5" s="28"/>
      <c r="V5" s="27"/>
      <c r="W5" s="27"/>
    </row>
    <row r="6" spans="1:24" x14ac:dyDescent="0.3">
      <c r="A6" s="3"/>
      <c r="B6" s="3"/>
      <c r="C6" s="3"/>
      <c r="D6" s="3"/>
      <c r="E6" s="3"/>
      <c r="F6" s="3"/>
      <c r="G6" s="12"/>
      <c r="H6" s="3"/>
      <c r="I6" s="3"/>
      <c r="J6" s="3"/>
      <c r="K6" s="3"/>
      <c r="L6" s="29"/>
      <c r="M6" s="12"/>
      <c r="N6" s="12"/>
      <c r="O6" s="3"/>
      <c r="P6" s="3"/>
      <c r="Q6" s="4"/>
      <c r="R6" s="4"/>
      <c r="S6" s="4"/>
      <c r="T6" s="3"/>
      <c r="U6" s="26"/>
      <c r="V6" s="25"/>
      <c r="W6" s="25"/>
    </row>
    <row r="7" spans="1:24" x14ac:dyDescent="0.3">
      <c r="A7" s="3"/>
      <c r="B7" s="3"/>
      <c r="C7" s="3"/>
      <c r="D7" s="3"/>
      <c r="E7" s="3"/>
      <c r="F7" s="3"/>
      <c r="G7" s="12"/>
      <c r="H7" s="3"/>
      <c r="I7" s="3"/>
      <c r="J7" s="3"/>
      <c r="K7" s="3"/>
      <c r="L7" s="29"/>
      <c r="M7" s="12"/>
      <c r="N7" s="12"/>
      <c r="O7" s="3"/>
      <c r="P7" s="3"/>
      <c r="Q7" s="4"/>
      <c r="R7" s="4"/>
      <c r="S7" s="4"/>
      <c r="T7" s="3"/>
      <c r="U7" s="26"/>
      <c r="V7" s="25"/>
      <c r="W7" s="25"/>
    </row>
    <row r="8" spans="1:24" x14ac:dyDescent="0.3">
      <c r="A8" s="3"/>
      <c r="B8" s="3"/>
      <c r="C8" s="3"/>
      <c r="D8" s="3"/>
      <c r="E8" s="3"/>
      <c r="F8" s="3"/>
      <c r="G8" s="12"/>
      <c r="H8" s="3"/>
      <c r="I8" s="3"/>
      <c r="J8" s="3"/>
      <c r="K8" s="3"/>
      <c r="L8" s="29"/>
      <c r="M8" s="12"/>
      <c r="N8" s="12"/>
      <c r="O8" s="3"/>
      <c r="P8" s="3"/>
      <c r="Q8" s="4"/>
      <c r="R8" s="4"/>
      <c r="S8" s="4"/>
      <c r="T8" s="3"/>
      <c r="U8" s="26"/>
      <c r="V8" s="25"/>
      <c r="W8" s="25"/>
    </row>
    <row r="9" spans="1:24" x14ac:dyDescent="0.3">
      <c r="A9" s="3"/>
      <c r="B9" s="3"/>
      <c r="C9" s="3"/>
      <c r="D9" s="3"/>
      <c r="E9" s="3"/>
      <c r="F9" s="3"/>
      <c r="G9" s="12"/>
      <c r="H9" s="3"/>
      <c r="I9" s="3"/>
      <c r="J9" s="3"/>
      <c r="K9" s="3"/>
      <c r="L9" s="29"/>
      <c r="M9" s="12"/>
      <c r="N9" s="12"/>
      <c r="O9" s="3"/>
      <c r="P9" s="3"/>
      <c r="Q9" s="4"/>
      <c r="R9" s="4"/>
      <c r="S9" s="4"/>
      <c r="T9" s="3"/>
      <c r="U9" s="26"/>
      <c r="V9" s="25"/>
      <c r="W9" s="25"/>
    </row>
    <row r="10" spans="1:24" x14ac:dyDescent="0.3">
      <c r="A10" s="3"/>
      <c r="B10" s="3"/>
      <c r="C10" s="3"/>
      <c r="D10" s="3"/>
      <c r="E10" s="3"/>
      <c r="F10" s="3"/>
      <c r="G10" s="12"/>
      <c r="H10" s="3"/>
      <c r="I10" s="3"/>
      <c r="J10" s="3"/>
      <c r="K10" s="3"/>
      <c r="L10" s="29"/>
      <c r="M10" s="12"/>
      <c r="N10" s="12"/>
      <c r="O10" s="3"/>
      <c r="P10" s="3"/>
      <c r="Q10" s="4"/>
      <c r="R10" s="4"/>
      <c r="S10" s="4"/>
      <c r="T10" s="3"/>
      <c r="U10" s="26"/>
      <c r="V10" s="25"/>
      <c r="W10" s="25"/>
    </row>
    <row r="11" spans="1:24" x14ac:dyDescent="0.3">
      <c r="A11" s="3"/>
      <c r="B11" s="3"/>
      <c r="C11" s="3"/>
      <c r="D11" s="3"/>
      <c r="E11" s="3"/>
      <c r="F11" s="3"/>
      <c r="G11" s="12"/>
      <c r="H11" s="3"/>
      <c r="I11" s="3"/>
      <c r="J11" s="3"/>
      <c r="K11" s="3"/>
      <c r="L11" s="29"/>
      <c r="M11" s="12"/>
      <c r="N11" s="12"/>
      <c r="O11" s="3"/>
      <c r="P11" s="3"/>
      <c r="Q11" s="4"/>
      <c r="R11" s="4"/>
      <c r="S11" s="4"/>
      <c r="T11" s="3"/>
      <c r="U11" s="26"/>
      <c r="V11" s="25"/>
      <c r="W11" s="25"/>
    </row>
    <row r="12" spans="1:24" x14ac:dyDescent="0.3">
      <c r="A12" s="3"/>
      <c r="B12" s="3"/>
      <c r="C12" s="3"/>
      <c r="D12" s="3"/>
      <c r="E12" s="3"/>
      <c r="F12" s="3"/>
      <c r="G12" s="12"/>
      <c r="H12" s="3"/>
      <c r="I12" s="3"/>
      <c r="J12" s="3"/>
      <c r="K12" s="3"/>
      <c r="L12" s="29"/>
      <c r="M12" s="12"/>
      <c r="N12" s="12"/>
      <c r="O12" s="3"/>
      <c r="P12" s="3"/>
      <c r="Q12" s="4"/>
      <c r="R12" s="4"/>
      <c r="S12" s="4"/>
      <c r="T12" s="3"/>
      <c r="U12" s="26"/>
      <c r="V12" s="25"/>
      <c r="W12" s="25"/>
    </row>
    <row r="13" spans="1:24" x14ac:dyDescent="0.3">
      <c r="A13" s="3"/>
      <c r="B13" s="3"/>
      <c r="C13" s="3"/>
      <c r="D13" s="3"/>
      <c r="E13" s="3"/>
      <c r="F13" s="3"/>
      <c r="G13" s="12"/>
      <c r="H13" s="3"/>
      <c r="I13" s="3"/>
      <c r="J13" s="3"/>
      <c r="K13" s="3"/>
      <c r="L13" s="29"/>
      <c r="M13" s="12"/>
      <c r="N13" s="12"/>
      <c r="O13" s="3"/>
      <c r="P13" s="3"/>
      <c r="Q13" s="4"/>
      <c r="R13" s="4"/>
      <c r="S13" s="4"/>
      <c r="T13" s="3"/>
      <c r="U13" s="26"/>
      <c r="V13" s="25"/>
      <c r="W13" s="25"/>
    </row>
    <row r="14" spans="1:24" x14ac:dyDescent="0.3">
      <c r="A14" s="3"/>
      <c r="B14" s="3"/>
      <c r="C14" s="3"/>
      <c r="D14" s="3"/>
      <c r="E14" s="3"/>
      <c r="F14" s="3"/>
      <c r="G14" s="12"/>
      <c r="H14" s="3"/>
      <c r="I14" s="3"/>
      <c r="J14" s="3"/>
      <c r="K14" s="3"/>
      <c r="L14" s="29"/>
      <c r="M14" s="12"/>
      <c r="N14" s="12"/>
      <c r="O14" s="3"/>
      <c r="P14" s="3"/>
      <c r="Q14" s="4"/>
      <c r="R14" s="4"/>
      <c r="S14" s="4"/>
      <c r="T14" s="3"/>
      <c r="U14" s="26"/>
      <c r="V14" s="25"/>
      <c r="W14" s="25"/>
    </row>
    <row r="17" spans="1:1" x14ac:dyDescent="0.3">
      <c r="A17" s="34" t="s">
        <v>30</v>
      </c>
    </row>
  </sheetData>
  <mergeCells count="4">
    <mergeCell ref="M1:O1"/>
    <mergeCell ref="S1:W1"/>
    <mergeCell ref="P1:R1"/>
    <mergeCell ref="A1:L1"/>
  </mergeCells>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I22"/>
  <sheetViews>
    <sheetView showGridLines="0" zoomScale="130" zoomScaleNormal="130" workbookViewId="0"/>
  </sheetViews>
  <sheetFormatPr baseColWidth="10" defaultColWidth="11.44140625" defaultRowHeight="14.4" x14ac:dyDescent="0.3"/>
  <cols>
    <col min="1" max="1" width="2.77734375" style="10" customWidth="1"/>
    <col min="2" max="2" width="25" style="10" customWidth="1"/>
    <col min="3" max="3" width="11.44140625" style="10" customWidth="1"/>
    <col min="4" max="4" width="0.5546875" style="10" customWidth="1"/>
    <col min="5" max="5" width="25" style="10" customWidth="1"/>
    <col min="6" max="6" width="11.44140625" style="10" customWidth="1"/>
    <col min="7" max="7" width="0.44140625" style="10" customWidth="1"/>
    <col min="8" max="8" width="25" style="10" customWidth="1"/>
    <col min="9" max="9" width="11.44140625" style="10" customWidth="1"/>
    <col min="10" max="16384" width="11.44140625" style="10"/>
  </cols>
  <sheetData>
    <row r="2" spans="2:9" ht="21" customHeight="1" x14ac:dyDescent="0.4">
      <c r="B2" s="91" t="s">
        <v>41</v>
      </c>
      <c r="C2" s="74"/>
      <c r="D2" s="74"/>
      <c r="E2" s="74"/>
      <c r="F2" s="74"/>
      <c r="G2" s="74"/>
      <c r="H2" s="74"/>
      <c r="I2" s="74"/>
    </row>
    <row r="3" spans="2:9" ht="15.45" customHeight="1" x14ac:dyDescent="0.3">
      <c r="B3" s="49" t="s">
        <v>42</v>
      </c>
      <c r="C3" s="51">
        <v>0</v>
      </c>
      <c r="E3" s="44" t="s">
        <v>43</v>
      </c>
      <c r="F3" s="50">
        <f>C11+F11+I11+C20+F20+I20</f>
        <v>0</v>
      </c>
      <c r="H3" s="49" t="s">
        <v>44</v>
      </c>
      <c r="I3" s="50">
        <f>+C3-F3</f>
        <v>0</v>
      </c>
    </row>
    <row r="5" spans="2:9" ht="15.45" customHeight="1" x14ac:dyDescent="0.3">
      <c r="B5" s="90" t="s">
        <v>45</v>
      </c>
      <c r="C5" s="88"/>
      <c r="E5" s="90" t="s">
        <v>45</v>
      </c>
      <c r="F5" s="88"/>
      <c r="H5" s="90" t="s">
        <v>45</v>
      </c>
      <c r="I5" s="88"/>
    </row>
    <row r="6" spans="2:9" ht="15.45" customHeight="1" x14ac:dyDescent="0.3">
      <c r="B6" s="44" t="s">
        <v>46</v>
      </c>
      <c r="C6" s="44" t="s">
        <v>15</v>
      </c>
      <c r="E6" s="44" t="s">
        <v>46</v>
      </c>
      <c r="F6" s="44" t="s">
        <v>15</v>
      </c>
      <c r="H6" s="44" t="s">
        <v>46</v>
      </c>
      <c r="I6" s="44" t="s">
        <v>15</v>
      </c>
    </row>
    <row r="7" spans="2:9" x14ac:dyDescent="0.3">
      <c r="B7" s="32" t="s">
        <v>47</v>
      </c>
      <c r="C7" s="14">
        <v>0</v>
      </c>
      <c r="E7" s="32" t="s">
        <v>47</v>
      </c>
      <c r="F7" s="15" t="s">
        <v>48</v>
      </c>
      <c r="H7" s="32" t="s">
        <v>47</v>
      </c>
      <c r="I7" s="15" t="s">
        <v>48</v>
      </c>
    </row>
    <row r="8" spans="2:9" ht="15.6" customHeight="1" x14ac:dyDescent="0.3">
      <c r="B8" s="33" t="s">
        <v>49</v>
      </c>
      <c r="C8" s="15" t="s">
        <v>48</v>
      </c>
      <c r="E8" s="33" t="s">
        <v>49</v>
      </c>
      <c r="F8" s="15" t="s">
        <v>48</v>
      </c>
      <c r="H8" s="33" t="s">
        <v>49</v>
      </c>
      <c r="I8" s="15" t="s">
        <v>48</v>
      </c>
    </row>
    <row r="9" spans="2:9" ht="16.350000000000001" customHeight="1" x14ac:dyDescent="0.3">
      <c r="B9" s="32" t="s">
        <v>50</v>
      </c>
      <c r="C9" s="15" t="s">
        <v>48</v>
      </c>
      <c r="E9" s="32" t="s">
        <v>50</v>
      </c>
      <c r="F9" s="15" t="s">
        <v>48</v>
      </c>
      <c r="H9" s="32" t="s">
        <v>50</v>
      </c>
      <c r="I9" s="15" t="s">
        <v>48</v>
      </c>
    </row>
    <row r="10" spans="2:9" ht="15.6" customHeight="1" x14ac:dyDescent="0.3">
      <c r="B10" s="32" t="s">
        <v>51</v>
      </c>
      <c r="C10" s="14" t="s">
        <v>48</v>
      </c>
      <c r="E10" s="32" t="s">
        <v>51</v>
      </c>
      <c r="F10" s="15" t="s">
        <v>48</v>
      </c>
      <c r="H10" s="32" t="s">
        <v>51</v>
      </c>
      <c r="I10" s="15" t="s">
        <v>48</v>
      </c>
    </row>
    <row r="11" spans="2:9" x14ac:dyDescent="0.3">
      <c r="B11" s="45" t="s">
        <v>52</v>
      </c>
      <c r="C11" s="46">
        <f>SUM(C7:C10)</f>
        <v>0</v>
      </c>
      <c r="E11" s="45" t="s">
        <v>52</v>
      </c>
      <c r="F11" s="46">
        <f>SUM(F7:F10)</f>
        <v>0</v>
      </c>
      <c r="H11" s="45" t="s">
        <v>52</v>
      </c>
      <c r="I11" s="46">
        <f>SUM(I7:I10)</f>
        <v>0</v>
      </c>
    </row>
    <row r="14" spans="2:9" ht="15.45" customHeight="1" x14ac:dyDescent="0.3">
      <c r="B14" s="90" t="s">
        <v>45</v>
      </c>
      <c r="C14" s="88"/>
      <c r="E14" s="90" t="s">
        <v>45</v>
      </c>
      <c r="F14" s="88"/>
      <c r="H14" s="90" t="s">
        <v>45</v>
      </c>
      <c r="I14" s="88"/>
    </row>
    <row r="15" spans="2:9" ht="15.45" customHeight="1" x14ac:dyDescent="0.3">
      <c r="B15" s="44" t="s">
        <v>46</v>
      </c>
      <c r="C15" s="44" t="s">
        <v>15</v>
      </c>
      <c r="E15" s="44" t="s">
        <v>46</v>
      </c>
      <c r="F15" s="44" t="s">
        <v>15</v>
      </c>
      <c r="H15" s="44" t="s">
        <v>46</v>
      </c>
      <c r="I15" s="44" t="s">
        <v>15</v>
      </c>
    </row>
    <row r="16" spans="2:9" x14ac:dyDescent="0.3">
      <c r="B16" s="32" t="s">
        <v>47</v>
      </c>
      <c r="C16" s="15" t="s">
        <v>48</v>
      </c>
      <c r="E16" s="32" t="s">
        <v>47</v>
      </c>
      <c r="F16" s="15" t="s">
        <v>48</v>
      </c>
      <c r="H16" s="32" t="s">
        <v>47</v>
      </c>
      <c r="I16" s="15" t="s">
        <v>48</v>
      </c>
    </row>
    <row r="17" spans="2:9" x14ac:dyDescent="0.3">
      <c r="B17" s="33" t="s">
        <v>49</v>
      </c>
      <c r="C17" s="15" t="s">
        <v>48</v>
      </c>
      <c r="E17" s="33" t="s">
        <v>49</v>
      </c>
      <c r="F17" s="15" t="s">
        <v>48</v>
      </c>
      <c r="H17" s="33" t="s">
        <v>49</v>
      </c>
      <c r="I17" s="15" t="s">
        <v>48</v>
      </c>
    </row>
    <row r="18" spans="2:9" x14ac:dyDescent="0.3">
      <c r="B18" s="32" t="s">
        <v>50</v>
      </c>
      <c r="C18" s="15" t="s">
        <v>48</v>
      </c>
      <c r="E18" s="32" t="s">
        <v>50</v>
      </c>
      <c r="F18" s="15" t="s">
        <v>48</v>
      </c>
      <c r="H18" s="32" t="s">
        <v>50</v>
      </c>
      <c r="I18" s="15" t="s">
        <v>48</v>
      </c>
    </row>
    <row r="19" spans="2:9" x14ac:dyDescent="0.3">
      <c r="B19" s="32" t="s">
        <v>51</v>
      </c>
      <c r="C19" s="15" t="s">
        <v>48</v>
      </c>
      <c r="E19" s="32" t="s">
        <v>51</v>
      </c>
      <c r="F19" s="15" t="s">
        <v>48</v>
      </c>
      <c r="H19" s="32" t="s">
        <v>51</v>
      </c>
      <c r="I19" s="15" t="s">
        <v>48</v>
      </c>
    </row>
    <row r="20" spans="2:9" x14ac:dyDescent="0.3">
      <c r="B20" s="45" t="s">
        <v>52</v>
      </c>
      <c r="C20" s="46">
        <f>SUM(C16:C19)</f>
        <v>0</v>
      </c>
      <c r="E20" s="45" t="s">
        <v>52</v>
      </c>
      <c r="F20" s="46">
        <f>SUM(F16:F19)</f>
        <v>0</v>
      </c>
      <c r="H20" s="45" t="s">
        <v>52</v>
      </c>
      <c r="I20" s="46">
        <f>SUM(I16:I19)</f>
        <v>0</v>
      </c>
    </row>
    <row r="22" spans="2:9" x14ac:dyDescent="0.3">
      <c r="B22" s="34" t="s">
        <v>53</v>
      </c>
    </row>
  </sheetData>
  <mergeCells count="7">
    <mergeCell ref="B5:C5"/>
    <mergeCell ref="B2:I2"/>
    <mergeCell ref="E5:F5"/>
    <mergeCell ref="B14:C14"/>
    <mergeCell ref="H5:I5"/>
    <mergeCell ref="E14:F14"/>
    <mergeCell ref="H14:I14"/>
  </mergeCells>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tabSelected="1" zoomScale="85" zoomScaleNormal="85" workbookViewId="0">
      <selection activeCell="N37" sqref="N37"/>
    </sheetView>
  </sheetViews>
  <sheetFormatPr baseColWidth="10" defaultColWidth="11.44140625" defaultRowHeight="14.4" x14ac:dyDescent="0.3"/>
  <cols>
    <col min="1" max="1" width="3.21875" customWidth="1"/>
    <col min="2" max="2" width="12.44140625" customWidth="1"/>
    <col min="3" max="4" width="16" customWidth="1"/>
    <col min="5" max="5" width="5.21875" customWidth="1"/>
    <col min="6" max="6" width="13" customWidth="1"/>
    <col min="7" max="8" width="16" customWidth="1"/>
    <col min="9" max="9" width="26.44140625" customWidth="1"/>
    <col min="10" max="10" width="16.44140625" customWidth="1"/>
    <col min="11" max="11" width="12.44140625" customWidth="1"/>
  </cols>
  <sheetData>
    <row r="2" spans="2:9" ht="21" customHeight="1" x14ac:dyDescent="0.3">
      <c r="B2" s="94" t="s">
        <v>54</v>
      </c>
      <c r="C2" s="93"/>
      <c r="D2" s="93"/>
      <c r="E2" s="93"/>
      <c r="F2" s="93"/>
      <c r="G2" s="93"/>
      <c r="H2" s="88"/>
      <c r="I2" s="1"/>
    </row>
    <row r="3" spans="2:9" ht="15.45" customHeight="1" x14ac:dyDescent="0.3">
      <c r="B3" s="92" t="s">
        <v>55</v>
      </c>
      <c r="C3" s="93"/>
      <c r="D3" s="88"/>
      <c r="F3" s="92" t="s">
        <v>56</v>
      </c>
      <c r="G3" s="93"/>
      <c r="H3" s="88"/>
    </row>
    <row r="4" spans="2:9" ht="28.95" customHeight="1" x14ac:dyDescent="0.3">
      <c r="B4" s="57" t="s">
        <v>57</v>
      </c>
      <c r="C4" s="58" t="s">
        <v>58</v>
      </c>
      <c r="D4" s="58" t="s">
        <v>59</v>
      </c>
      <c r="F4" s="57" t="s">
        <v>57</v>
      </c>
      <c r="G4" s="58" t="s">
        <v>58</v>
      </c>
      <c r="H4" s="58" t="s">
        <v>59</v>
      </c>
    </row>
    <row r="5" spans="2:9" x14ac:dyDescent="0.3">
      <c r="B5" s="3" t="s">
        <v>60</v>
      </c>
      <c r="C5" s="4"/>
      <c r="D5" s="4"/>
      <c r="F5" s="3" t="s">
        <v>60</v>
      </c>
      <c r="G5" s="4"/>
      <c r="H5" s="4"/>
    </row>
    <row r="6" spans="2:9" x14ac:dyDescent="0.3">
      <c r="B6" s="3" t="s">
        <v>61</v>
      </c>
      <c r="C6" s="5"/>
      <c r="D6" s="5"/>
      <c r="F6" s="3" t="s">
        <v>61</v>
      </c>
      <c r="G6" s="5"/>
      <c r="H6" s="5"/>
    </row>
    <row r="7" spans="2:9" ht="15" customHeight="1" thickBot="1" x14ac:dyDescent="0.35">
      <c r="B7" s="6" t="s">
        <v>62</v>
      </c>
      <c r="C7" s="7"/>
      <c r="D7" s="7"/>
      <c r="F7" s="6" t="s">
        <v>62</v>
      </c>
      <c r="G7" s="7"/>
      <c r="H7" s="7"/>
    </row>
    <row r="8" spans="2:9" ht="15" customHeight="1" thickBot="1" x14ac:dyDescent="0.35">
      <c r="B8" s="52" t="s">
        <v>63</v>
      </c>
      <c r="C8" s="53">
        <f>SUM(C5:C7)</f>
        <v>0</v>
      </c>
      <c r="D8" s="54">
        <f>SUM(D5:D7)</f>
        <v>0</v>
      </c>
      <c r="F8" s="52" t="s">
        <v>63</v>
      </c>
      <c r="G8" s="53">
        <f>SUM(G5:G7)</f>
        <v>0</v>
      </c>
      <c r="H8" s="54">
        <f>SUM(H5:H7)</f>
        <v>0</v>
      </c>
    </row>
    <row r="9" spans="2:9" x14ac:dyDescent="0.3">
      <c r="B9" s="8" t="s">
        <v>64</v>
      </c>
      <c r="C9" s="9"/>
      <c r="D9" s="9"/>
      <c r="F9" s="8" t="s">
        <v>64</v>
      </c>
      <c r="G9" s="9"/>
      <c r="H9" s="9"/>
    </row>
    <row r="10" spans="2:9" x14ac:dyDescent="0.3">
      <c r="B10" s="3" t="s">
        <v>65</v>
      </c>
      <c r="C10" s="5"/>
      <c r="D10" s="5"/>
      <c r="F10" s="3" t="s">
        <v>65</v>
      </c>
      <c r="G10" s="5"/>
      <c r="H10" s="5"/>
    </row>
    <row r="11" spans="2:9" ht="15" customHeight="1" thickBot="1" x14ac:dyDescent="0.35">
      <c r="B11" s="6" t="s">
        <v>66</v>
      </c>
      <c r="C11" s="7"/>
      <c r="D11" s="7"/>
      <c r="F11" s="6" t="s">
        <v>66</v>
      </c>
      <c r="G11" s="7"/>
      <c r="H11" s="7"/>
    </row>
    <row r="12" spans="2:9" ht="15" customHeight="1" thickBot="1" x14ac:dyDescent="0.35">
      <c r="B12" s="52" t="s">
        <v>67</v>
      </c>
      <c r="C12" s="53">
        <f>SUM(C9:C11)</f>
        <v>0</v>
      </c>
      <c r="D12" s="54">
        <f>SUM(D9:D11)</f>
        <v>0</v>
      </c>
      <c r="F12" s="52" t="s">
        <v>67</v>
      </c>
      <c r="G12" s="53">
        <f>SUM(G9:G11)</f>
        <v>0</v>
      </c>
      <c r="H12" s="54">
        <f>SUM(H9:H11)</f>
        <v>0</v>
      </c>
    </row>
    <row r="13" spans="2:9" x14ac:dyDescent="0.3">
      <c r="B13" s="8" t="s">
        <v>68</v>
      </c>
      <c r="C13" s="9"/>
      <c r="D13" s="9"/>
      <c r="F13" s="8" t="s">
        <v>68</v>
      </c>
      <c r="G13" s="9"/>
      <c r="H13" s="9"/>
    </row>
    <row r="14" spans="2:9" x14ac:dyDescent="0.3">
      <c r="B14" s="3" t="s">
        <v>69</v>
      </c>
      <c r="C14" s="5"/>
      <c r="D14" s="5"/>
      <c r="F14" s="3" t="s">
        <v>69</v>
      </c>
      <c r="G14" s="5"/>
      <c r="H14" s="5"/>
    </row>
    <row r="15" spans="2:9" ht="15" customHeight="1" thickBot="1" x14ac:dyDescent="0.35">
      <c r="B15" s="6" t="s">
        <v>70</v>
      </c>
      <c r="C15" s="7"/>
      <c r="D15" s="7"/>
      <c r="F15" s="6" t="s">
        <v>70</v>
      </c>
      <c r="G15" s="7"/>
      <c r="H15" s="7"/>
    </row>
    <row r="16" spans="2:9" ht="15" customHeight="1" thickBot="1" x14ac:dyDescent="0.35">
      <c r="B16" s="52" t="s">
        <v>71</v>
      </c>
      <c r="C16" s="53">
        <f>SUM(C13:C15)</f>
        <v>0</v>
      </c>
      <c r="D16" s="54">
        <f>SUM(D13:D15)</f>
        <v>0</v>
      </c>
      <c r="F16" s="52" t="s">
        <v>71</v>
      </c>
      <c r="G16" s="53">
        <f>SUM(G13:G15)</f>
        <v>0</v>
      </c>
      <c r="H16" s="54">
        <f>SUM(H13:H15)</f>
        <v>0</v>
      </c>
    </row>
    <row r="17" spans="2:12" x14ac:dyDescent="0.3">
      <c r="B17" s="8" t="s">
        <v>72</v>
      </c>
      <c r="C17" s="9"/>
      <c r="D17" s="9"/>
      <c r="F17" s="8" t="s">
        <v>72</v>
      </c>
      <c r="G17" s="9"/>
      <c r="H17" s="9"/>
    </row>
    <row r="18" spans="2:12" x14ac:dyDescent="0.3">
      <c r="B18" s="3" t="s">
        <v>73</v>
      </c>
      <c r="C18" s="5"/>
      <c r="D18" s="5"/>
      <c r="F18" s="3" t="s">
        <v>73</v>
      </c>
      <c r="G18" s="5"/>
      <c r="H18" s="5"/>
    </row>
    <row r="19" spans="2:12" ht="15" customHeight="1" thickBot="1" x14ac:dyDescent="0.35">
      <c r="B19" s="6" t="s">
        <v>74</v>
      </c>
      <c r="C19" s="7"/>
      <c r="D19" s="7"/>
      <c r="F19" s="6" t="s">
        <v>74</v>
      </c>
      <c r="G19" s="7"/>
      <c r="H19" s="7"/>
    </row>
    <row r="20" spans="2:12" ht="15" customHeight="1" thickBot="1" x14ac:dyDescent="0.35">
      <c r="B20" s="55" t="s">
        <v>75</v>
      </c>
      <c r="C20" s="53">
        <f>SUM(C17:C19)</f>
        <v>0</v>
      </c>
      <c r="D20" s="56">
        <f>SUM(D17:D19)</f>
        <v>0</v>
      </c>
      <c r="F20" s="55" t="s">
        <v>75</v>
      </c>
      <c r="G20" s="53">
        <f>SUM(G17:G19)</f>
        <v>0</v>
      </c>
      <c r="H20" s="54">
        <f>SUM(H17:H19)</f>
        <v>0</v>
      </c>
    </row>
    <row r="23" spans="2:12" x14ac:dyDescent="0.3">
      <c r="B23" s="95" t="s">
        <v>76</v>
      </c>
      <c r="C23" s="81"/>
      <c r="D23" s="81"/>
      <c r="E23" s="81"/>
      <c r="F23" s="81"/>
      <c r="G23" s="81"/>
      <c r="H23" s="81"/>
    </row>
    <row r="24" spans="2:12" x14ac:dyDescent="0.3">
      <c r="B24" s="81"/>
      <c r="C24" s="81"/>
      <c r="D24" s="81"/>
      <c r="E24" s="81"/>
      <c r="F24" s="81"/>
      <c r="G24" s="81"/>
      <c r="H24" s="81"/>
    </row>
    <row r="25" spans="2:12" x14ac:dyDescent="0.3">
      <c r="B25" s="81"/>
      <c r="C25" s="81"/>
      <c r="D25" s="81"/>
      <c r="E25" s="81"/>
      <c r="F25" s="81"/>
      <c r="G25" s="81"/>
      <c r="H25" s="81"/>
    </row>
    <row r="26" spans="2:12" x14ac:dyDescent="0.3">
      <c r="B26" s="81"/>
      <c r="C26" s="81"/>
      <c r="D26" s="81"/>
      <c r="E26" s="81"/>
      <c r="F26" s="81"/>
      <c r="G26" s="81"/>
      <c r="H26" s="81"/>
    </row>
    <row r="27" spans="2:12" x14ac:dyDescent="0.3">
      <c r="B27" s="81"/>
      <c r="C27" s="81"/>
      <c r="D27" s="81"/>
      <c r="E27" s="81"/>
      <c r="F27" s="81"/>
      <c r="G27" s="81"/>
      <c r="H27" s="81"/>
    </row>
    <row r="28" spans="2:12" x14ac:dyDescent="0.3">
      <c r="B28" s="81"/>
      <c r="C28" s="81"/>
      <c r="D28" s="81"/>
      <c r="E28" s="81"/>
      <c r="F28" s="81"/>
      <c r="G28" s="81"/>
      <c r="H28" s="81"/>
    </row>
    <row r="30" spans="2:12" x14ac:dyDescent="0.3">
      <c r="D30" s="1"/>
      <c r="L30" s="20"/>
    </row>
    <row r="31" spans="2:12" x14ac:dyDescent="0.3">
      <c r="D31" s="1"/>
    </row>
  </sheetData>
  <mergeCells count="4">
    <mergeCell ref="F3:H3"/>
    <mergeCell ref="B2:H2"/>
    <mergeCell ref="B23:H28"/>
    <mergeCell ref="B3:D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9"/>
  <sheetViews>
    <sheetView showGridLines="0" zoomScale="115" zoomScaleNormal="115" workbookViewId="0">
      <selection activeCell="A25" sqref="A25:G30"/>
    </sheetView>
  </sheetViews>
  <sheetFormatPr baseColWidth="10" defaultColWidth="10.77734375" defaultRowHeight="14.4" x14ac:dyDescent="0.3"/>
  <cols>
    <col min="2" max="2" width="13.77734375" customWidth="1"/>
    <col min="3" max="3" width="13.5546875" customWidth="1"/>
    <col min="6" max="6" width="13.5546875" customWidth="1"/>
    <col min="7" max="7" width="14.77734375" customWidth="1"/>
  </cols>
  <sheetData>
    <row r="1" spans="1:8" ht="21" customHeight="1" x14ac:dyDescent="0.3">
      <c r="A1" s="94" t="s">
        <v>54</v>
      </c>
      <c r="B1" s="93"/>
      <c r="C1" s="93"/>
      <c r="D1" s="93"/>
      <c r="E1" s="93"/>
      <c r="F1" s="93"/>
      <c r="G1" s="88"/>
      <c r="H1" s="1"/>
    </row>
    <row r="2" spans="1:8" ht="15.45" customHeight="1" x14ac:dyDescent="0.3">
      <c r="A2" s="92" t="s">
        <v>55</v>
      </c>
      <c r="B2" s="93"/>
      <c r="C2" s="88"/>
      <c r="E2" s="92" t="s">
        <v>56</v>
      </c>
      <c r="F2" s="93"/>
      <c r="G2" s="88"/>
    </row>
    <row r="3" spans="1:8" ht="30" customHeight="1" x14ac:dyDescent="0.3">
      <c r="A3" s="59" t="s">
        <v>57</v>
      </c>
      <c r="B3" s="60" t="s">
        <v>58</v>
      </c>
      <c r="C3" s="60" t="s">
        <v>59</v>
      </c>
      <c r="E3" s="59" t="s">
        <v>57</v>
      </c>
      <c r="F3" s="60" t="s">
        <v>58</v>
      </c>
      <c r="G3" s="60" t="s">
        <v>59</v>
      </c>
    </row>
    <row r="4" spans="1:8" x14ac:dyDescent="0.3">
      <c r="A4" s="3" t="s">
        <v>60</v>
      </c>
      <c r="B4" s="4">
        <v>1</v>
      </c>
      <c r="C4" s="4">
        <v>1</v>
      </c>
      <c r="E4" s="3" t="s">
        <v>60</v>
      </c>
      <c r="F4" s="4">
        <v>3</v>
      </c>
      <c r="G4" s="4">
        <v>2</v>
      </c>
    </row>
    <row r="5" spans="1:8" x14ac:dyDescent="0.3">
      <c r="A5" s="3" t="s">
        <v>61</v>
      </c>
      <c r="B5" s="5">
        <v>0</v>
      </c>
      <c r="C5" s="5">
        <v>0</v>
      </c>
      <c r="E5" s="3" t="s">
        <v>61</v>
      </c>
      <c r="F5" s="5">
        <v>3</v>
      </c>
      <c r="G5" s="5">
        <v>3</v>
      </c>
    </row>
    <row r="6" spans="1:8" x14ac:dyDescent="0.3">
      <c r="A6" s="3" t="s">
        <v>62</v>
      </c>
      <c r="B6" s="5">
        <v>0</v>
      </c>
      <c r="C6" s="5">
        <v>0</v>
      </c>
      <c r="E6" s="3" t="s">
        <v>62</v>
      </c>
      <c r="F6" s="5">
        <v>0</v>
      </c>
      <c r="G6" s="5">
        <v>0</v>
      </c>
    </row>
    <row r="7" spans="1:8" ht="15" customHeight="1" thickBot="1" x14ac:dyDescent="0.35">
      <c r="A7" s="6" t="s">
        <v>64</v>
      </c>
      <c r="B7" s="7">
        <v>1</v>
      </c>
      <c r="C7" s="7">
        <v>1</v>
      </c>
      <c r="E7" s="6" t="s">
        <v>64</v>
      </c>
      <c r="F7" s="7">
        <v>0</v>
      </c>
      <c r="G7" s="7">
        <v>0</v>
      </c>
    </row>
    <row r="8" spans="1:8" ht="15" customHeight="1" thickBot="1" x14ac:dyDescent="0.35">
      <c r="A8" s="52" t="s">
        <v>77</v>
      </c>
      <c r="B8" s="53">
        <f>SUM(B4:B7)</f>
        <v>2</v>
      </c>
      <c r="C8" s="54">
        <f>SUM(C4:C7)</f>
        <v>2</v>
      </c>
      <c r="E8" s="52" t="s">
        <v>77</v>
      </c>
      <c r="F8" s="53">
        <f>SUM(F4:F7)</f>
        <v>6</v>
      </c>
      <c r="G8" s="54">
        <f>SUM(G4:G7)</f>
        <v>5</v>
      </c>
    </row>
    <row r="9" spans="1:8" x14ac:dyDescent="0.3">
      <c r="A9" s="8" t="s">
        <v>65</v>
      </c>
      <c r="B9" s="9">
        <v>2</v>
      </c>
      <c r="C9" s="9">
        <v>1</v>
      </c>
      <c r="E9" s="8" t="s">
        <v>65</v>
      </c>
      <c r="F9" s="9">
        <v>3</v>
      </c>
      <c r="G9" s="9">
        <v>3</v>
      </c>
    </row>
    <row r="10" spans="1:8" x14ac:dyDescent="0.3">
      <c r="A10" s="3" t="s">
        <v>66</v>
      </c>
      <c r="B10" s="5">
        <v>1</v>
      </c>
      <c r="C10" s="5">
        <v>1</v>
      </c>
      <c r="E10" s="3" t="s">
        <v>66</v>
      </c>
      <c r="F10" s="5">
        <v>2</v>
      </c>
      <c r="G10" s="5">
        <v>2</v>
      </c>
    </row>
    <row r="11" spans="1:8" x14ac:dyDescent="0.3">
      <c r="A11" s="3" t="s">
        <v>68</v>
      </c>
      <c r="B11" s="5">
        <v>1</v>
      </c>
      <c r="C11" s="5">
        <v>1</v>
      </c>
      <c r="E11" s="3" t="s">
        <v>68</v>
      </c>
      <c r="F11" s="5">
        <v>2</v>
      </c>
      <c r="G11" s="5">
        <v>2</v>
      </c>
    </row>
    <row r="12" spans="1:8" ht="15" customHeight="1" thickBot="1" x14ac:dyDescent="0.35">
      <c r="A12" s="6" t="s">
        <v>69</v>
      </c>
      <c r="B12" s="7">
        <v>0</v>
      </c>
      <c r="C12" s="7">
        <v>1</v>
      </c>
      <c r="E12" s="6" t="s">
        <v>69</v>
      </c>
      <c r="F12" s="7">
        <v>1</v>
      </c>
      <c r="G12" s="7">
        <v>1</v>
      </c>
    </row>
    <row r="13" spans="1:8" ht="15" customHeight="1" thickBot="1" x14ac:dyDescent="0.35">
      <c r="A13" s="52" t="s">
        <v>78</v>
      </c>
      <c r="B13" s="53">
        <f>SUM(B9:B12)</f>
        <v>4</v>
      </c>
      <c r="C13" s="54">
        <f>SUM(C9:C12)</f>
        <v>4</v>
      </c>
      <c r="E13" s="52" t="s">
        <v>78</v>
      </c>
      <c r="F13" s="53">
        <f>SUM(F9:F12)</f>
        <v>8</v>
      </c>
      <c r="G13" s="54">
        <f>SUM(G9:G12)</f>
        <v>8</v>
      </c>
    </row>
    <row r="14" spans="1:8" x14ac:dyDescent="0.3">
      <c r="A14" s="8" t="s">
        <v>70</v>
      </c>
      <c r="B14" s="9">
        <v>2</v>
      </c>
      <c r="C14" s="9">
        <v>2</v>
      </c>
      <c r="E14" s="8" t="s">
        <v>70</v>
      </c>
      <c r="F14" s="9">
        <v>1</v>
      </c>
      <c r="G14" s="9">
        <v>1</v>
      </c>
    </row>
    <row r="15" spans="1:8" x14ac:dyDescent="0.3">
      <c r="A15" s="3" t="s">
        <v>72</v>
      </c>
      <c r="B15" s="5">
        <v>2</v>
      </c>
      <c r="C15" s="5">
        <v>2</v>
      </c>
      <c r="E15" s="3" t="s">
        <v>72</v>
      </c>
      <c r="F15" s="5">
        <v>1</v>
      </c>
      <c r="G15" s="5">
        <v>1</v>
      </c>
    </row>
    <row r="16" spans="1:8" x14ac:dyDescent="0.3">
      <c r="A16" s="3" t="s">
        <v>73</v>
      </c>
      <c r="B16" s="5">
        <v>1</v>
      </c>
      <c r="C16" s="5">
        <v>1</v>
      </c>
      <c r="E16" s="3" t="s">
        <v>73</v>
      </c>
      <c r="F16" s="5">
        <v>0</v>
      </c>
      <c r="G16" s="5">
        <v>0</v>
      </c>
    </row>
    <row r="17" spans="1:11" ht="15" customHeight="1" thickBot="1" x14ac:dyDescent="0.35">
      <c r="A17" s="6" t="s">
        <v>74</v>
      </c>
      <c r="B17" s="7">
        <v>0</v>
      </c>
      <c r="C17" s="7">
        <v>0</v>
      </c>
      <c r="E17" s="6" t="s">
        <v>74</v>
      </c>
      <c r="F17" s="7">
        <v>0</v>
      </c>
      <c r="G17" s="7">
        <v>0</v>
      </c>
    </row>
    <row r="18" spans="1:11" ht="15" customHeight="1" thickBot="1" x14ac:dyDescent="0.35">
      <c r="A18" s="52" t="s">
        <v>79</v>
      </c>
      <c r="B18" s="53">
        <f>SUM(B14:B17)</f>
        <v>5</v>
      </c>
      <c r="C18" s="54">
        <f>SUM(C14:C17)</f>
        <v>5</v>
      </c>
      <c r="E18" s="52" t="s">
        <v>79</v>
      </c>
      <c r="F18" s="53">
        <f>SUM(F14:F17)</f>
        <v>2</v>
      </c>
      <c r="G18" s="54">
        <f>SUM(G14:G17)</f>
        <v>2</v>
      </c>
    </row>
    <row r="20" spans="1:11" x14ac:dyDescent="0.3">
      <c r="A20" s="62" t="s">
        <v>80</v>
      </c>
    </row>
    <row r="25" spans="1:11" x14ac:dyDescent="0.3">
      <c r="A25" s="95" t="s">
        <v>81</v>
      </c>
      <c r="B25" s="81"/>
      <c r="C25" s="81"/>
      <c r="D25" s="81"/>
      <c r="E25" s="81"/>
      <c r="F25" s="81"/>
      <c r="G25" s="81"/>
    </row>
    <row r="26" spans="1:11" x14ac:dyDescent="0.3">
      <c r="A26" s="81"/>
      <c r="B26" s="81"/>
      <c r="C26" s="81"/>
      <c r="D26" s="81"/>
      <c r="E26" s="81"/>
      <c r="F26" s="81"/>
      <c r="G26" s="81"/>
    </row>
    <row r="27" spans="1:11" x14ac:dyDescent="0.3">
      <c r="A27" s="81"/>
      <c r="B27" s="81"/>
      <c r="C27" s="81"/>
      <c r="D27" s="81"/>
      <c r="E27" s="81"/>
      <c r="F27" s="81"/>
      <c r="G27" s="81"/>
    </row>
    <row r="28" spans="1:11" x14ac:dyDescent="0.3">
      <c r="A28" s="81"/>
      <c r="B28" s="81"/>
      <c r="C28" s="81"/>
      <c r="D28" s="81"/>
      <c r="E28" s="81"/>
      <c r="F28" s="81"/>
      <c r="G28" s="81"/>
    </row>
    <row r="29" spans="1:11" x14ac:dyDescent="0.3">
      <c r="A29" s="81"/>
      <c r="B29" s="81"/>
      <c r="C29" s="81"/>
      <c r="D29" s="81"/>
      <c r="E29" s="81"/>
      <c r="F29" s="81"/>
      <c r="G29" s="81"/>
    </row>
    <row r="30" spans="1:11" x14ac:dyDescent="0.3">
      <c r="A30" s="81"/>
      <c r="B30" s="81"/>
      <c r="C30" s="81"/>
      <c r="D30" s="81"/>
      <c r="E30" s="81"/>
      <c r="F30" s="81"/>
      <c r="G30" s="81"/>
    </row>
    <row r="32" spans="1:11" x14ac:dyDescent="0.3">
      <c r="C32" s="1"/>
      <c r="K32" s="20"/>
    </row>
    <row r="33" spans="3:7" x14ac:dyDescent="0.3">
      <c r="C33" s="1"/>
    </row>
    <row r="39" spans="3:7" x14ac:dyDescent="0.3">
      <c r="G39" s="61"/>
    </row>
  </sheetData>
  <mergeCells count="4">
    <mergeCell ref="A1:G1"/>
    <mergeCell ref="E2:G2"/>
    <mergeCell ref="A2:C2"/>
    <mergeCell ref="A25:G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
  <sheetViews>
    <sheetView showGridLines="0" workbookViewId="0"/>
  </sheetViews>
  <sheetFormatPr baseColWidth="10" defaultColWidth="11.44140625" defaultRowHeight="14.4" x14ac:dyDescent="0.3"/>
  <cols>
    <col min="1" max="1" width="19" style="10" customWidth="1"/>
    <col min="2" max="2" width="2.44140625" style="10" customWidth="1"/>
    <col min="3" max="3" width="12.77734375" style="10" customWidth="1"/>
    <col min="4" max="4" width="14.21875" style="10" customWidth="1"/>
    <col min="5" max="5" width="12.77734375" style="10" customWidth="1"/>
    <col min="6" max="6" width="1.77734375" style="10" customWidth="1"/>
    <col min="7" max="7" width="17.44140625" style="10" customWidth="1"/>
    <col min="8" max="8" width="10.44140625" style="10" customWidth="1"/>
    <col min="9" max="9" width="13.77734375" style="10" customWidth="1"/>
    <col min="10" max="10" width="2" style="10" customWidth="1"/>
    <col min="11" max="11" width="13.77734375" style="10" customWidth="1"/>
    <col min="12" max="12" width="11.44140625" style="10" customWidth="1"/>
    <col min="13" max="16384" width="11.44140625" style="10"/>
  </cols>
  <sheetData>
    <row r="1" spans="1:9" ht="15" customHeight="1" thickBot="1" x14ac:dyDescent="0.35"/>
    <row r="2" spans="1:9" ht="15" customHeight="1" thickBot="1" x14ac:dyDescent="0.35">
      <c r="A2" s="22" t="s">
        <v>4</v>
      </c>
      <c r="D2" s="24" t="s">
        <v>82</v>
      </c>
      <c r="G2" s="23" t="s">
        <v>16</v>
      </c>
      <c r="I2" s="22" t="s">
        <v>22</v>
      </c>
    </row>
    <row r="3" spans="1:9" x14ac:dyDescent="0.3">
      <c r="A3" s="11" t="s">
        <v>55</v>
      </c>
      <c r="D3" s="8" t="s">
        <v>83</v>
      </c>
      <c r="G3" s="3" t="s">
        <v>84</v>
      </c>
      <c r="I3" s="12" t="s">
        <v>85</v>
      </c>
    </row>
    <row r="4" spans="1:9" x14ac:dyDescent="0.3">
      <c r="A4" s="13" t="s">
        <v>56</v>
      </c>
      <c r="D4" s="3" t="s">
        <v>86</v>
      </c>
      <c r="G4" s="3" t="s">
        <v>87</v>
      </c>
      <c r="I4" s="3" t="s">
        <v>88</v>
      </c>
    </row>
    <row r="5" spans="1:9" x14ac:dyDescent="0.3">
      <c r="D5" s="3" t="s">
        <v>89</v>
      </c>
      <c r="G5" s="3" t="s">
        <v>90</v>
      </c>
      <c r="I5" s="3"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 del documento</vt:lpstr>
      <vt:lpstr>1.-Progama capacitación</vt:lpstr>
      <vt:lpstr>2.-Desglose costos</vt:lpstr>
      <vt:lpstr>3.-Informe trimestral</vt:lpstr>
      <vt:lpstr>3.1.- Informe Cuatrimestral</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dcterms:created xsi:type="dcterms:W3CDTF">2019-10-02T22:37:43Z</dcterms:created>
  <dcterms:modified xsi:type="dcterms:W3CDTF">2026-09-18T00:30:44Z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1329400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y fmtid="{D5CDD505-2E9C-101B-9397-08002B2CF9AE}" pid="9" name="Email">
    <vt:lpwstr>carlos.quintero@4js.com</vt:lpwstr>
  </property>
</Properties>
</file>