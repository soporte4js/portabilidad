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50" yWindow="0" windowWidth="33570" windowHeight="20970" tabRatio="600" firstSheet="1" activeTab="1" autoFilterDateGrouping="1"/>
  </bookViews>
  <sheets>
    <sheet xmlns:r="http://schemas.openxmlformats.org/officeDocument/2006/relationships" name="Información del documento" sheetId="1" state="visible" r:id="rId1"/>
    <sheet xmlns:r="http://schemas.openxmlformats.org/officeDocument/2006/relationships" name="1.-Resumen general" sheetId="2" state="visible" r:id="rId2"/>
    <sheet xmlns:r="http://schemas.openxmlformats.org/officeDocument/2006/relationships" name="2.-Auditoría_inicio" sheetId="3" state="visible" r:id="rId3"/>
    <sheet xmlns:r="http://schemas.openxmlformats.org/officeDocument/2006/relationships" name="3.1-Auditoría_ejecución" sheetId="4" state="visible" r:id="rId4"/>
    <sheet xmlns:r="http://schemas.openxmlformats.org/officeDocument/2006/relationships" name="3.2-Auditoría_ejecución 2vuelta" sheetId="5" state="visible" r:id="rId5"/>
    <sheet xmlns:r="http://schemas.openxmlformats.org/officeDocument/2006/relationships" name="3.3-Auditoría_ejecución 3vuelta" sheetId="6" state="visible" r:id="rId6"/>
    <sheet xmlns:r="http://schemas.openxmlformats.org/officeDocument/2006/relationships" name="4.-Auditoría cierre" sheetId="7" state="visible" r:id="rId7"/>
    <sheet xmlns:r="http://schemas.openxmlformats.org/officeDocument/2006/relationships" name="5.-Auditoría_Gestión de cambios" sheetId="8" state="visible" r:id="rId8"/>
  </sheets>
  <definedNames/>
  <calcPr calcId="191028" fullCalcOnLoad="1"/>
</workbook>
</file>

<file path=xl/styles.xml><?xml version="1.0" encoding="utf-8"?>
<styleSheet xmlns="http://schemas.openxmlformats.org/spreadsheetml/2006/main">
  <numFmts count="0"/>
  <fonts count="26">
    <font>
      <name val="Calibri"/>
      <family val="2"/>
      <color theme="1"/>
      <sz val="11"/>
      <scheme val="minor"/>
    </font>
    <font>
      <name val="Calibri"/>
      <family val="2"/>
      <b val="1"/>
      <sz val="12"/>
      <scheme val="minor"/>
    </font>
    <font>
      <name val="Calibri"/>
      <family val="2"/>
      <b val="1"/>
      <color theme="1"/>
      <sz val="11"/>
      <scheme val="minor"/>
    </font>
    <font>
      <name val="Tahoma"/>
      <family val="2"/>
      <color indexed="81"/>
      <sz val="9"/>
    </font>
    <font>
      <name val="Tahoma"/>
      <family val="2"/>
      <b val="1"/>
      <color indexed="81"/>
      <sz val="9"/>
    </font>
    <font>
      <name val="Calibri"/>
      <family val="2"/>
      <sz val="12"/>
    </font>
    <font>
      <name val="Calibri"/>
      <family val="2"/>
      <color theme="1"/>
      <sz val="11"/>
    </font>
    <font>
      <name val="Calibri"/>
      <family val="2"/>
      <b val="1"/>
      <color rgb="FF000000"/>
      <sz val="14"/>
    </font>
    <font>
      <name val="Calibri"/>
      <family val="2"/>
      <color rgb="FF000000"/>
      <sz val="12"/>
    </font>
    <font>
      <name val="Calibri"/>
      <family val="2"/>
      <color theme="1"/>
      <sz val="11"/>
      <scheme val="minor"/>
    </font>
    <font>
      <name val="Calibri"/>
      <family val="2"/>
      <color theme="1"/>
      <sz val="10"/>
      <scheme val="minor"/>
    </font>
    <font>
      <name val="Calibri"/>
      <family val="2"/>
      <sz val="10"/>
      <scheme val="minor"/>
    </font>
    <font>
      <name val="Calibri"/>
      <family val="2"/>
      <b val="1"/>
      <color theme="0"/>
      <sz val="11"/>
      <scheme val="minor"/>
    </font>
    <font>
      <name val="Calibri"/>
      <family val="2"/>
      <b val="1"/>
      <color theme="0"/>
      <sz val="14"/>
      <scheme val="minor"/>
    </font>
    <font>
      <name val="Calibri"/>
      <family val="2"/>
      <b val="1"/>
      <color theme="0"/>
      <sz val="14"/>
    </font>
    <font>
      <name val="Calibri"/>
      <family val="2"/>
      <b val="1"/>
      <color theme="0"/>
      <sz val="12"/>
      <scheme val="minor"/>
    </font>
    <font>
      <name val="Calibri"/>
      <family val="2"/>
      <b val="1"/>
      <sz val="11"/>
      <scheme val="minor"/>
    </font>
    <font>
      <name val="Calibri"/>
      <family val="2"/>
      <b val="1"/>
      <color theme="1"/>
      <sz val="10"/>
      <scheme val="minor"/>
    </font>
    <font>
      <name val="Calibri"/>
      <family val="2"/>
      <b val="1"/>
      <color theme="1"/>
      <sz val="9"/>
      <scheme val="minor"/>
    </font>
    <font>
      <name val="Calibri"/>
      <family val="2"/>
      <sz val="8"/>
      <scheme val="minor"/>
    </font>
    <font>
      <name val="Calibri"/>
      <family val="2"/>
      <b val="1"/>
      <i val="1"/>
      <color theme="1"/>
      <sz val="9"/>
      <scheme val="minor"/>
    </font>
    <font>
      <name val="Calibri"/>
      <family val="2"/>
      <sz val="11"/>
      <scheme val="minor"/>
    </font>
    <font>
      <name val="Calibri"/>
      <family val="2"/>
      <i val="1"/>
      <color theme="1"/>
      <sz val="11"/>
      <scheme val="minor"/>
    </font>
    <font>
      <name val="Calibri"/>
      <family val="2"/>
      <b val="1"/>
      <color theme="0"/>
      <sz val="16"/>
      <scheme val="minor"/>
    </font>
    <font>
      <name val="Calibri"/>
      <family val="2"/>
      <b val="1"/>
      <sz val="11"/>
    </font>
    <font>
      <name val="Calibri"/>
      <family val="2"/>
      <color theme="1" tint="0.499984740745262"/>
      <sz val="10"/>
      <scheme val="minor"/>
    </font>
  </fonts>
  <fills count="5">
    <fill>
      <patternFill/>
    </fill>
    <fill>
      <patternFill patternType="gray125"/>
    </fill>
    <fill>
      <patternFill patternType="solid">
        <fgColor theme="1" tint="0.249977111117893"/>
        <bgColor indexed="64"/>
      </patternFill>
    </fill>
    <fill>
      <patternFill patternType="solid">
        <fgColor theme="0" tint="-0.1499984740745262"/>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diagonal/>
    </border>
  </borders>
  <cellStyleXfs count="2">
    <xf numFmtId="0" fontId="9" fillId="0" borderId="0"/>
    <xf numFmtId="9" fontId="9" fillId="0" borderId="0"/>
  </cellStyleXfs>
  <cellXfs count="121">
    <xf numFmtId="0" fontId="0" fillId="0" borderId="0" pivotButton="0" quotePrefix="0" xfId="0"/>
    <xf numFmtId="0" fontId="0" fillId="0" borderId="1" pivotButton="0" quotePrefix="0" xfId="0"/>
    <xf numFmtId="0" fontId="0" fillId="0" borderId="1" applyAlignment="1" pivotButton="0" quotePrefix="0" xfId="0">
      <alignment horizontal="center" vertical="center"/>
    </xf>
    <xf numFmtId="0" fontId="6" fillId="0" borderId="0" pivotButton="0" quotePrefix="0" xfId="0"/>
    <xf numFmtId="0" fontId="0" fillId="0" borderId="0" applyAlignment="1" pivotButton="0" quotePrefix="0" xfId="0">
      <alignment horizontal="left"/>
    </xf>
    <xf numFmtId="0" fontId="10" fillId="0" borderId="0" applyAlignment="1" pivotButton="0" quotePrefix="0" xfId="0">
      <alignment horizontal="left" vertical="top" wrapText="1"/>
    </xf>
    <xf numFmtId="0" fontId="10" fillId="0" borderId="1" applyAlignment="1" pivotButton="0" quotePrefix="0" xfId="0">
      <alignment horizontal="center"/>
    </xf>
    <xf numFmtId="0" fontId="11" fillId="0" borderId="1" applyAlignment="1" pivotButton="0" quotePrefix="0" xfId="0">
      <alignment horizontal="center" vertical="top" wrapText="1"/>
    </xf>
    <xf numFmtId="0" fontId="1" fillId="3" borderId="1" applyAlignment="1" pivotButton="0" quotePrefix="0" xfId="0">
      <alignment horizontal="center" vertical="top" wrapText="1"/>
    </xf>
    <xf numFmtId="0" fontId="0" fillId="0" borderId="1" applyAlignment="1" pivotButton="0" quotePrefix="0" xfId="0">
      <alignment horizontal="center"/>
    </xf>
    <xf numFmtId="9" fontId="0" fillId="0" borderId="1" applyAlignment="1" pivotButton="0" quotePrefix="0" xfId="1">
      <alignment horizontal="center"/>
    </xf>
    <xf numFmtId="0" fontId="1" fillId="3" borderId="1" applyAlignment="1" pivotButton="0" quotePrefix="0" xfId="0">
      <alignment horizontal="right" vertical="center"/>
    </xf>
    <xf numFmtId="0" fontId="0" fillId="3" borderId="1" pivotButton="0" quotePrefix="0" xfId="0"/>
    <xf numFmtId="0" fontId="10" fillId="3" borderId="1" applyAlignment="1" pivotButton="0" quotePrefix="0" xfId="0">
      <alignment horizontal="center"/>
    </xf>
    <xf numFmtId="14" fontId="0" fillId="0" borderId="1" pivotButton="0" quotePrefix="0" xfId="0"/>
    <xf numFmtId="14" fontId="10" fillId="3" borderId="1" applyAlignment="1" pivotButton="0" quotePrefix="0" xfId="0">
      <alignment horizontal="center"/>
    </xf>
    <xf numFmtId="0" fontId="10" fillId="3" borderId="1" applyAlignment="1" pivotButton="0" quotePrefix="0" xfId="0">
      <alignment horizontal="center" vertical="top" wrapText="1"/>
    </xf>
    <xf numFmtId="0" fontId="2" fillId="3" borderId="1" applyAlignment="1" pivotButton="0" quotePrefix="0" xfId="0">
      <alignment horizontal="right"/>
    </xf>
    <xf numFmtId="0" fontId="1" fillId="3" borderId="1" applyAlignment="1" pivotButton="0" quotePrefix="0" xfId="0">
      <alignment horizontal="center" vertical="center"/>
    </xf>
    <xf numFmtId="0" fontId="2" fillId="3" borderId="1" applyAlignment="1" pivotButton="0" quotePrefix="0" xfId="0">
      <alignment horizontal="center"/>
    </xf>
    <xf numFmtId="0" fontId="17" fillId="3" borderId="1" applyAlignment="1" pivotButton="0" quotePrefix="0" xfId="0">
      <alignment horizontal="center" vertical="center" wrapText="1"/>
    </xf>
    <xf numFmtId="0" fontId="11" fillId="3" borderId="1" applyAlignment="1" pivotButton="0" quotePrefix="0" xfId="0">
      <alignment horizontal="center" vertical="top" wrapText="1"/>
    </xf>
    <xf numFmtId="0" fontId="0" fillId="3" borderId="9" pivotButton="0" quotePrefix="0" xfId="0"/>
    <xf numFmtId="9" fontId="11" fillId="4" borderId="1" applyAlignment="1" pivotButton="0" quotePrefix="0" xfId="0">
      <alignment horizontal="center" vertical="top" wrapText="1"/>
    </xf>
    <xf numFmtId="9" fontId="10" fillId="4" borderId="1" applyAlignment="1" pivotButton="0" quotePrefix="0" xfId="0">
      <alignment horizontal="center"/>
    </xf>
    <xf numFmtId="9" fontId="11" fillId="3" borderId="1" applyAlignment="1" pivotButton="0" quotePrefix="0" xfId="0">
      <alignment horizontal="center" vertical="top" wrapText="1"/>
    </xf>
    <xf numFmtId="9" fontId="11" fillId="4" borderId="1" applyAlignment="1" pivotButton="0" quotePrefix="0" xfId="0">
      <alignment horizontal="center" vertical="center" wrapText="1"/>
    </xf>
    <xf numFmtId="0" fontId="0" fillId="0" borderId="1" applyAlignment="1" pivotButton="0" quotePrefix="0" xfId="0">
      <alignment wrapText="1"/>
    </xf>
    <xf numFmtId="0" fontId="21" fillId="4" borderId="1" applyAlignment="1" pivotButton="0" quotePrefix="0" xfId="0">
      <alignment horizontal="center" vertical="center" wrapText="1"/>
    </xf>
    <xf numFmtId="0" fontId="21" fillId="4" borderId="1" applyAlignment="1" pivotButton="0" quotePrefix="0" xfId="0">
      <alignment vertical="center" wrapText="1"/>
    </xf>
    <xf numFmtId="0" fontId="1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justify" vertical="center" wrapText="1"/>
    </xf>
    <xf numFmtId="0" fontId="2" fillId="3" borderId="1" applyAlignment="1" pivotButton="0" quotePrefix="0" xfId="0">
      <alignment horizontal="center" vertical="center" wrapText="1"/>
    </xf>
    <xf numFmtId="0" fontId="2" fillId="3" borderId="1" applyAlignment="1" pivotButton="0" quotePrefix="0" xfId="0">
      <alignment horizontal="center" vertical="center"/>
    </xf>
    <xf numFmtId="0" fontId="24" fillId="3" borderId="1" applyAlignment="1" pivotButton="0" quotePrefix="0" xfId="0">
      <alignment horizontal="center" vertical="center" wrapText="1"/>
    </xf>
    <xf numFmtId="0" fontId="11" fillId="4" borderId="1" applyAlignment="1" pivotButton="0" quotePrefix="0" xfId="0">
      <alignment horizontal="center" vertical="top" wrapText="1"/>
    </xf>
    <xf numFmtId="0" fontId="25" fillId="0" borderId="1" applyAlignment="1" pivotButton="0" quotePrefix="0" xfId="0">
      <alignment vertical="center" wrapText="1"/>
    </xf>
    <xf numFmtId="0" fontId="5" fillId="0" borderId="1" applyAlignment="1" pivotButton="0" quotePrefix="0" xfId="0">
      <alignment horizontal="center" vertical="center" wrapText="1"/>
    </xf>
    <xf numFmtId="0" fontId="7" fillId="0" borderId="0" applyAlignment="1" pivotButton="0" quotePrefix="0" xfId="0">
      <alignment horizontal="center"/>
    </xf>
    <xf numFmtId="0" fontId="8" fillId="0" borderId="0" applyAlignment="1" pivotButton="0" quotePrefix="0" xfId="0">
      <alignment horizontal="left" vertical="center"/>
    </xf>
    <xf numFmtId="0" fontId="6" fillId="0" borderId="0" applyAlignment="1" pivotButton="0" quotePrefix="0" xfId="0">
      <alignment horizontal="center"/>
    </xf>
    <xf numFmtId="0" fontId="0" fillId="3" borderId="7" applyAlignment="1" pivotButton="0" quotePrefix="0" xfId="0">
      <alignment horizontal="center" vertical="center"/>
    </xf>
    <xf numFmtId="0" fontId="0" fillId="3" borderId="9" applyAlignment="1" pivotButton="0" quotePrefix="0" xfId="0">
      <alignment horizontal="center" vertical="center"/>
    </xf>
    <xf numFmtId="0" fontId="0" fillId="3" borderId="8" applyAlignment="1" pivotButton="0" quotePrefix="0" xfId="0">
      <alignment horizontal="center" vertical="center"/>
    </xf>
    <xf numFmtId="0" fontId="12" fillId="2" borderId="6" applyAlignment="1" pivotButton="0" quotePrefix="0" xfId="0">
      <alignment horizontal="center"/>
    </xf>
    <xf numFmtId="0" fontId="23" fillId="2" borderId="6" applyAlignment="1" pivotButton="0" quotePrefix="0" xfId="0">
      <alignment horizontal="center"/>
    </xf>
    <xf numFmtId="0" fontId="20" fillId="0" borderId="13" applyAlignment="1" pivotButton="0" quotePrefix="0" xfId="0">
      <alignment horizontal="left" vertical="center" wrapText="1"/>
    </xf>
    <xf numFmtId="0" fontId="20" fillId="0" borderId="0" applyAlignment="1" pivotButton="0" quotePrefix="0" xfId="0">
      <alignment horizontal="left" vertical="center" wrapText="1"/>
    </xf>
    <xf numFmtId="0" fontId="18" fillId="0" borderId="13" applyAlignment="1" pivotButton="0" quotePrefix="0" xfId="0">
      <alignment horizontal="center"/>
    </xf>
    <xf numFmtId="0" fontId="18" fillId="0" borderId="0" applyAlignment="1" pivotButton="0" quotePrefix="0" xfId="0">
      <alignment horizontal="center"/>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13" fillId="2" borderId="4" applyAlignment="1" pivotButton="0" quotePrefix="0" xfId="0">
      <alignment horizontal="center" vertical="center"/>
    </xf>
    <xf numFmtId="0" fontId="13" fillId="2" borderId="12" applyAlignment="1" pivotButton="0" quotePrefix="0" xfId="0">
      <alignment horizontal="center" vertical="center"/>
    </xf>
    <xf numFmtId="0" fontId="13" fillId="2" borderId="13" applyAlignment="1" pivotButton="0" quotePrefix="0" xfId="0">
      <alignment horizontal="center" vertical="center"/>
    </xf>
    <xf numFmtId="0" fontId="13" fillId="2" borderId="14" applyAlignment="1" pivotButton="0" quotePrefix="0" xfId="0">
      <alignment horizontal="center" vertical="center"/>
    </xf>
    <xf numFmtId="0" fontId="13" fillId="2" borderId="10" applyAlignment="1" pivotButton="0" quotePrefix="0" xfId="0">
      <alignment horizontal="center" vertical="center"/>
    </xf>
    <xf numFmtId="0" fontId="13" fillId="2" borderId="11" applyAlignment="1" pivotButton="0" quotePrefix="0" xfId="0">
      <alignment horizontal="center" vertical="center"/>
    </xf>
    <xf numFmtId="0" fontId="1" fillId="3" borderId="2" applyAlignment="1" pivotButton="0" quotePrefix="0" xfId="0">
      <alignment horizontal="center" vertical="center"/>
    </xf>
    <xf numFmtId="0" fontId="1" fillId="3" borderId="3" applyAlignment="1" pivotButton="0" quotePrefix="0" xfId="0">
      <alignment horizontal="center" vertical="center"/>
    </xf>
    <xf numFmtId="0" fontId="1" fillId="3" borderId="2" applyAlignment="1" pivotButton="0" quotePrefix="0" xfId="0">
      <alignment horizontal="center" vertical="center" wrapText="1"/>
    </xf>
    <xf numFmtId="0" fontId="1" fillId="3" borderId="5" applyAlignment="1" pivotButton="0" quotePrefix="0" xfId="0">
      <alignment horizontal="center" vertical="center" wrapText="1"/>
    </xf>
    <xf numFmtId="0" fontId="1" fillId="3" borderId="3" applyAlignment="1" pivotButton="0" quotePrefix="0" xfId="0">
      <alignment horizontal="center" vertical="center" wrapText="1"/>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1" fillId="3" borderId="2" applyAlignment="1" pivotButton="0" quotePrefix="0" xfId="0">
      <alignment horizontal="center" vertical="top" wrapText="1"/>
    </xf>
    <xf numFmtId="0" fontId="1" fillId="3" borderId="3" applyAlignment="1" pivotButton="0" quotePrefix="0" xfId="0">
      <alignment horizontal="center" vertical="top" wrapText="1"/>
    </xf>
    <xf numFmtId="0" fontId="1" fillId="3" borderId="1" applyAlignment="1" pivotButton="0" quotePrefix="0" xfId="0">
      <alignment horizontal="center" wrapText="1"/>
    </xf>
    <xf numFmtId="0" fontId="1" fillId="3" borderId="1" applyAlignment="1" pivotButton="0" quotePrefix="0" xfId="0">
      <alignment horizontal="center" vertical="top" wrapText="1"/>
    </xf>
    <xf numFmtId="0" fontId="13" fillId="2" borderId="1" applyAlignment="1" pivotButton="0" quotePrefix="0" xfId="0">
      <alignment horizontal="center" vertical="center"/>
    </xf>
    <xf numFmtId="0" fontId="1" fillId="3" borderId="2" applyAlignment="1" pivotButton="0" quotePrefix="0" xfId="0">
      <alignment horizontal="center" wrapText="1"/>
    </xf>
    <xf numFmtId="0" fontId="1" fillId="3" borderId="5" applyAlignment="1" pivotButton="0" quotePrefix="0" xfId="0">
      <alignment horizontal="center" wrapText="1"/>
    </xf>
    <xf numFmtId="0" fontId="1" fillId="3" borderId="3" applyAlignment="1" pivotButton="0" quotePrefix="0" xfId="0">
      <alignment horizontal="center" wrapText="1"/>
    </xf>
    <xf numFmtId="0" fontId="1" fillId="3" borderId="5" applyAlignment="1" pivotButton="0" quotePrefix="0" xfId="0">
      <alignment horizontal="center" vertical="top" wrapText="1"/>
    </xf>
    <xf numFmtId="0" fontId="1" fillId="3" borderId="7" applyAlignment="1" pivotButton="0" quotePrefix="0" xfId="0">
      <alignment horizontal="center" vertical="center" wrapText="1"/>
    </xf>
    <xf numFmtId="0" fontId="1" fillId="3" borderId="8" applyAlignment="1" pivotButton="0" quotePrefix="0" xfId="0">
      <alignment horizontal="center" vertical="center" wrapText="1"/>
    </xf>
    <xf numFmtId="0" fontId="21" fillId="4" borderId="2" applyAlignment="1" pivotButton="0" quotePrefix="0" xfId="0">
      <alignment horizontal="left" vertical="center" wrapText="1"/>
    </xf>
    <xf numFmtId="0" fontId="21" fillId="4" borderId="3" applyAlignment="1" pivotButton="0" quotePrefix="0" xfId="0">
      <alignment horizontal="left" vertical="center" wrapText="1"/>
    </xf>
    <xf numFmtId="0" fontId="12" fillId="2" borderId="4" applyAlignment="1" pivotButton="0" quotePrefix="0" xfId="0">
      <alignment horizontal="center" vertical="center"/>
    </xf>
    <xf numFmtId="0" fontId="12" fillId="2" borderId="12" applyAlignment="1" pivotButton="0" quotePrefix="0" xfId="0">
      <alignment horizontal="center" vertical="center"/>
    </xf>
    <xf numFmtId="0" fontId="12" fillId="2" borderId="13" applyAlignment="1" pivotButton="0" quotePrefix="0" xfId="0">
      <alignment horizontal="center" vertical="center"/>
    </xf>
    <xf numFmtId="0" fontId="12" fillId="2" borderId="14" applyAlignment="1" pivotButton="0" quotePrefix="0" xfId="0">
      <alignment horizontal="center" vertical="center"/>
    </xf>
    <xf numFmtId="0" fontId="12" fillId="2" borderId="10" applyAlignment="1" pivotButton="0" quotePrefix="0" xfId="0">
      <alignment horizontal="center" vertical="center"/>
    </xf>
    <xf numFmtId="0" fontId="12" fillId="2" borderId="11" applyAlignment="1" pivotButton="0" quotePrefix="0" xfId="0">
      <alignment horizontal="center" vertical="center"/>
    </xf>
    <xf numFmtId="0" fontId="2" fillId="3" borderId="2" applyAlignment="1" pivotButton="0" quotePrefix="0" xfId="0">
      <alignment horizontal="center" vertical="center"/>
    </xf>
    <xf numFmtId="0" fontId="2" fillId="3" borderId="5" applyAlignment="1" pivotButton="0" quotePrefix="0" xfId="0">
      <alignment horizontal="center" vertical="center"/>
    </xf>
    <xf numFmtId="0" fontId="2" fillId="3" borderId="3" applyAlignment="1" pivotButton="0" quotePrefix="0" xfId="0">
      <alignment horizontal="center" vertical="center"/>
    </xf>
    <xf numFmtId="0" fontId="1" fillId="3" borderId="10" applyAlignment="1" pivotButton="0" quotePrefix="0" xfId="0">
      <alignment horizontal="center" vertical="top" wrapText="1"/>
    </xf>
    <xf numFmtId="0" fontId="1" fillId="3" borderId="11" applyAlignment="1" pivotButton="0" quotePrefix="0" xfId="0">
      <alignment horizontal="center" vertical="top" wrapText="1"/>
    </xf>
    <xf numFmtId="0" fontId="1" fillId="3" borderId="4" applyAlignment="1" pivotButton="0" quotePrefix="0" xfId="0">
      <alignment horizontal="center" vertical="top" wrapText="1"/>
    </xf>
    <xf numFmtId="0" fontId="1" fillId="3" borderId="12" applyAlignment="1" pivotButton="0" quotePrefix="0" xfId="0">
      <alignment horizontal="center" vertical="top" wrapText="1"/>
    </xf>
    <xf numFmtId="0" fontId="16" fillId="3" borderId="2" applyAlignment="1" pivotButton="0" quotePrefix="0" xfId="0">
      <alignment horizontal="center" vertical="center" wrapText="1"/>
    </xf>
    <xf numFmtId="0" fontId="16" fillId="3" borderId="5" applyAlignment="1" pivotButton="0" quotePrefix="0" xfId="0">
      <alignment horizontal="center" vertical="center" wrapText="1"/>
    </xf>
    <xf numFmtId="0" fontId="16" fillId="3" borderId="3" applyAlignment="1" pivotButton="0" quotePrefix="0" xfId="0">
      <alignment horizontal="center" vertical="center" wrapText="1"/>
    </xf>
    <xf numFmtId="0" fontId="15" fillId="2" borderId="4" applyAlignment="1" pivotButton="0" quotePrefix="0" xfId="0">
      <alignment horizontal="center" vertical="center"/>
    </xf>
    <xf numFmtId="0" fontId="15" fillId="2" borderId="12" applyAlignment="1" pivotButton="0" quotePrefix="0" xfId="0">
      <alignment horizontal="center" vertical="center"/>
    </xf>
    <xf numFmtId="0" fontId="15" fillId="2" borderId="13" applyAlignment="1" pivotButton="0" quotePrefix="0" xfId="0">
      <alignment horizontal="center" vertical="center"/>
    </xf>
    <xf numFmtId="0" fontId="15" fillId="2" borderId="14" applyAlignment="1" pivotButton="0" quotePrefix="0" xfId="0">
      <alignment horizontal="center" vertical="center"/>
    </xf>
    <xf numFmtId="0" fontId="15" fillId="2" borderId="10" applyAlignment="1" pivotButton="0" quotePrefix="0" xfId="0">
      <alignment horizontal="center" vertical="center"/>
    </xf>
    <xf numFmtId="0" fontId="15" fillId="2" borderId="11" applyAlignment="1" pivotButton="0" quotePrefix="0" xfId="0">
      <alignment horizontal="center" vertical="center"/>
    </xf>
    <xf numFmtId="0" fontId="1" fillId="3" borderId="1" applyAlignment="1" pivotButton="0" quotePrefix="0" xfId="0">
      <alignment horizontal="center" vertical="center" wrapText="1"/>
    </xf>
    <xf numFmtId="0" fontId="0" fillId="0" borderId="12" pivotButton="0" quotePrefix="0" xfId="0"/>
    <xf numFmtId="0" fontId="0" fillId="0" borderId="10" pivotButton="0" quotePrefix="0" xfId="0"/>
    <xf numFmtId="0" fontId="0" fillId="0" borderId="11" pivotButton="0" quotePrefix="0" xfId="0"/>
    <xf numFmtId="0" fontId="0" fillId="0" borderId="6" pivotButton="0" quotePrefix="0" xfId="0"/>
    <xf numFmtId="0" fontId="0" fillId="3" borderId="1" applyAlignment="1" pivotButton="0" quotePrefix="0" xfId="0">
      <alignment horizontal="center" vertical="center"/>
    </xf>
    <xf numFmtId="0" fontId="0" fillId="0" borderId="9" pivotButton="0" quotePrefix="0" xfId="0"/>
    <xf numFmtId="0" fontId="0" fillId="0" borderId="8" pivotButton="0" quotePrefix="0" xfId="0"/>
    <xf numFmtId="0" fontId="0" fillId="0" borderId="13" pivotButton="0" quotePrefix="0" xfId="0"/>
    <xf numFmtId="0" fontId="0" fillId="0" borderId="3" pivotButton="0" quotePrefix="0" xfId="0"/>
    <xf numFmtId="0" fontId="0" fillId="0" borderId="14" pivotButton="0" quotePrefix="0" xfId="0"/>
    <xf numFmtId="0" fontId="0" fillId="0" borderId="5" pivotButton="0" quotePrefix="0" xfId="0"/>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21" fillId="4" borderId="1" applyAlignment="1" pivotButton="0" quotePrefix="0" xfId="0">
      <alignment horizontal="left" vertical="center" wrapText="1"/>
    </xf>
    <xf numFmtId="0" fontId="12" fillId="2" borderId="1" applyAlignment="1" pivotButton="0" quotePrefix="0" xfId="0">
      <alignment horizontal="center" vertical="center"/>
    </xf>
    <xf numFmtId="0" fontId="1" fillId="3" borderId="8" applyAlignment="1" pivotButton="0" quotePrefix="0" xfId="0">
      <alignment horizontal="center" vertical="top" wrapText="1"/>
    </xf>
    <xf numFmtId="0" fontId="1" fillId="3" borderId="7" applyAlignment="1" pivotButton="0" quotePrefix="0" xfId="0">
      <alignment horizontal="center" vertical="top" wrapText="1"/>
    </xf>
    <xf numFmtId="0" fontId="16" fillId="3" borderId="1" applyAlignment="1" pivotButton="0" quotePrefix="0" xfId="0">
      <alignment horizontal="center" vertical="center" wrapText="1"/>
    </xf>
    <xf numFmtId="0" fontId="15" fillId="2" borderId="1" applyAlignment="1" pivotButton="0" quotePrefix="0" xfId="0">
      <alignment horizontal="center" vertical="center"/>
    </xf>
  </cellXfs>
  <cellStyles count="2">
    <cellStyle name="Normal" xfId="0" builtinId="0"/>
    <cellStyle name="Porcentaje"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Tania López</author>
  </authors>
  <commentList>
    <comment ref="F7" authorId="0" shapeId="0">
      <text>
        <t>Registrar comentarios que aporten a valor, sobre los resultados de las auditorías.
Si no hay comentarios registrar el siguiente texto: no aplica.</t>
      </text>
    </comment>
  </commentList>
</comments>
</file>

<file path=xl/comments/comment2.xml><?xml version="1.0" encoding="utf-8"?>
<comments xmlns="http://schemas.openxmlformats.org/spreadsheetml/2006/main">
  <authors>
    <author>Documentación Innevo</author>
    <author>Tania López</author>
  </authors>
  <commentList>
    <comment ref="A10" authorId="0" shapeId="0">
      <text>
        <t>Registrar el nombre del proyecto</t>
      </text>
    </comment>
    <comment ref="G11" authorId="1" shapeId="0">
      <text>
        <t>Registrar los errores encontrados en la revisión de los criterios.</t>
      </text>
    </comment>
    <comment ref="A13" authorId="1" shapeId="0">
      <text>
        <t xml:space="preserve">Nombre del proceso que se va a auditar
</t>
      </text>
    </comment>
    <comment ref="A24" authorId="1" shapeId="0">
      <text>
        <t xml:space="preserve">Nombre del proceso que se va a auditar
</t>
      </text>
    </comment>
  </commentList>
</comments>
</file>

<file path=xl/comments/comment3.xml><?xml version="1.0" encoding="utf-8"?>
<comments xmlns="http://schemas.openxmlformats.org/spreadsheetml/2006/main">
  <authors>
    <author>Tania López</author>
  </authors>
  <commentList>
    <comment ref="G11" authorId="0" shapeId="0">
      <text>
        <t>Registrar los errores encontrados en la revisión de los criterios.</t>
      </text>
    </comment>
  </commentList>
</comments>
</file>

<file path=xl/comments/comment4.xml><?xml version="1.0" encoding="utf-8"?>
<comments xmlns="http://schemas.openxmlformats.org/spreadsheetml/2006/main">
  <authors>
    <author>Tania López</author>
  </authors>
  <commentList>
    <comment ref="G11" authorId="0" shapeId="0">
      <text>
        <t>Registrar los errores encontrados en la revisión de los criterios.</t>
      </text>
    </comment>
  </commentList>
</comments>
</file>

<file path=xl/comments/comment5.xml><?xml version="1.0" encoding="utf-8"?>
<comments xmlns="http://schemas.openxmlformats.org/spreadsheetml/2006/main">
  <authors>
    <author>Tania López</author>
  </authors>
  <commentList>
    <comment ref="G11" authorId="0" shapeId="0">
      <text>
        <t>Registrar los errores encontrados en la revisión de los criterios.</t>
      </text>
    </comment>
  </commentList>
</comments>
</file>

<file path=xl/comments/comment6.xml><?xml version="1.0" encoding="utf-8"?>
<comments xmlns="http://schemas.openxmlformats.org/spreadsheetml/2006/main">
  <authors>
    <author>Tania López</author>
  </authors>
  <commentList>
    <comment ref="G11" authorId="0" shapeId="0">
      <text>
        <t>Registrar los errores encontrados en la revisión de los criterios.</t>
      </text>
    </comment>
  </commentList>
</comments>
</file>

<file path=xl/comments/comment7.xml><?xml version="1.0" encoding="utf-8"?>
<comments xmlns="http://schemas.openxmlformats.org/spreadsheetml/2006/main">
  <authors>
    <author>Tania López</author>
  </authors>
  <commentList>
    <comment ref="G5" authorId="0" shapeId="0">
      <text>
        <t>Registrar los errores encontrados en la revisión de los criterios.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D14"/>
  <sheetViews>
    <sheetView showGridLines="0" workbookViewId="0">
      <selection activeCell="D16" sqref="D16"/>
    </sheetView>
  </sheetViews>
  <sheetFormatPr baseColWidth="8" defaultColWidth="11.42578125" defaultRowHeight="30.75" customHeight="1"/>
  <cols>
    <col width="20.42578125" bestFit="1" customWidth="1" style="3" min="1" max="1"/>
    <col width="23.5703125" customWidth="1" style="3" min="2" max="2"/>
    <col width="47.42578125" customWidth="1" style="3" min="3" max="3"/>
    <col width="26.5703125" customWidth="1" style="3" min="4" max="4"/>
    <col width="11.42578125" customWidth="1" style="3" min="5" max="16384"/>
  </cols>
  <sheetData>
    <row r="1" ht="14.45" customHeight="1">
      <c r="A1" s="38" t="inlineStr">
        <is>
          <t>Logo de la empresa</t>
        </is>
      </c>
      <c r="B1" s="102" t="n"/>
    </row>
    <row r="2" ht="55.5" customHeight="1">
      <c r="A2" s="103" t="n"/>
      <c r="B2" s="104" t="n"/>
    </row>
    <row r="3" ht="30.75" customHeight="1">
      <c r="A3" s="41" t="inlineStr">
        <is>
          <t>Alcance a nivel proyecto</t>
        </is>
      </c>
    </row>
    <row r="4" ht="15.75" customHeight="1"/>
    <row r="5" ht="14.45" customHeight="1"/>
    <row r="6" ht="18.6" customHeight="1">
      <c r="A6" s="39" t="inlineStr">
        <is>
          <t>Historial de versiones</t>
        </is>
      </c>
    </row>
    <row r="7" ht="14.45" customHeight="1"/>
    <row r="8" ht="18.6" customHeight="1">
      <c r="A8" s="30" t="inlineStr">
        <is>
          <t>Fecha</t>
        </is>
      </c>
      <c r="B8" s="30" t="inlineStr">
        <is>
          <t>Versión</t>
        </is>
      </c>
      <c r="C8" s="30" t="inlineStr">
        <is>
          <t>Descripción</t>
        </is>
      </c>
      <c r="D8" s="30" t="inlineStr">
        <is>
          <t>Autor</t>
        </is>
      </c>
    </row>
    <row r="9" ht="32.25" customHeight="1">
      <c r="A9" s="38" t="inlineStr">
        <is>
          <t>dd/mm/aaaa.</t>
        </is>
      </c>
      <c r="B9" s="38" t="inlineStr">
        <is>
          <t>Número de la versión v.v.</t>
        </is>
      </c>
      <c r="C9" s="38" t="inlineStr">
        <is>
          <t>Descripción de los cambios realizados en el documento.</t>
        </is>
      </c>
      <c r="D9" s="38" t="inlineStr">
        <is>
          <t>Nombre y apellido.</t>
        </is>
      </c>
    </row>
    <row r="10" ht="45" customHeight="1">
      <c r="A10" s="38" t="inlineStr">
        <is>
          <t>27/07/2026</t>
        </is>
      </c>
      <c r="B10" s="38" t="inlineStr">
        <is>
          <t>1.1</t>
        </is>
      </c>
      <c r="C10" s="32" t="inlineStr">
        <is>
          <t>Se registra la auditoría real al proyecto Portabilidad ISSSTE-IMSS (fases de inicio, ejecución y cierre) realizada por Miguel A. López Hernández, con varios hallazgos genuinos sobre el cierre formal pendiente; se corrige "está hoja".</t>
        </is>
      </c>
      <c r="D10" s="38" t="inlineStr">
        <is>
          <t>Carlos Quintero N.</t>
        </is>
      </c>
    </row>
    <row r="11" ht="45" customHeight="1">
      <c r="A11" s="38" t="inlineStr">
        <is>
          <t>27/07/2026</t>
        </is>
      </c>
      <c r="B11" s="38" t="inlineStr">
        <is>
          <t>1.2</t>
        </is>
      </c>
      <c r="C11" s="32" t="inlineStr">
        <is>
          <t>Se corrige el criterio "¿Se realiza una revisión entre pares del enunciado de trabajo?": confirmado mediante evidencia de Jira (tarea IP-15) que sí se realizó; se cambia de "No" a "Sí".</t>
        </is>
      </c>
      <c r="D11" s="38" t="inlineStr">
        <is>
          <t>Carlos Quintero N.</t>
        </is>
      </c>
    </row>
    <row r="12" ht="32.25" customHeight="1">
      <c r="A12" s="38" t="n"/>
      <c r="B12" s="38" t="n"/>
      <c r="C12" s="32" t="n"/>
      <c r="D12" s="38" t="n"/>
    </row>
    <row r="13" ht="32.25" customHeight="1"/>
    <row r="14" ht="15.6" customHeight="1">
      <c r="A14" s="40" t="inlineStr">
        <is>
          <t>Si se tiene un sistema de gestión de versiones eliminar esta hoja.</t>
        </is>
      </c>
    </row>
  </sheetData>
  <mergeCells count="4">
    <mergeCell ref="A1:B2"/>
    <mergeCell ref="A3:B3"/>
    <mergeCell ref="A14:D14"/>
    <mergeCell ref="A6:D6"/>
  </mergeCells>
  <pageMargins left="0.7" right="0.7" top="0.75" bottom="0.75" header="0.3" footer="0.3"/>
  <pageSetup orientation="landscape" paperSize="9" horizontalDpi="0" verticalDpi="0"/>
</worksheet>
</file>

<file path=xl/worksheets/sheet2.xml><?xml version="1.0" encoding="utf-8"?>
<worksheet xmlns="http://schemas.openxmlformats.org/spreadsheetml/2006/main">
  <sheetPr>
    <outlinePr summaryBelow="1" summaryRight="1"/>
    <pageSetUpPr fitToPage="1"/>
  </sheetPr>
  <dimension ref="A1:I23"/>
  <sheetViews>
    <sheetView showGridLines="0" tabSelected="1" zoomScale="115" zoomScaleNormal="115" workbookViewId="0">
      <selection activeCell="C27" sqref="C27"/>
    </sheetView>
  </sheetViews>
  <sheetFormatPr baseColWidth="8" defaultColWidth="10.85546875" defaultRowHeight="14.45"/>
  <cols>
    <col width="19.5703125" customWidth="1" min="1" max="1"/>
    <col width="21.140625" customWidth="1" min="2" max="2"/>
    <col width="19.5703125" customWidth="1" min="3" max="3"/>
    <col width="18" bestFit="1" customWidth="1" min="4" max="4"/>
    <col width="17.5703125" customWidth="1" min="5" max="5"/>
    <col width="44.85546875" customWidth="1" min="6" max="6"/>
    <col width="24" customWidth="1" min="10" max="10"/>
  </cols>
  <sheetData>
    <row r="1">
      <c r="A1" s="45" t="inlineStr">
        <is>
          <t>Datos generales</t>
        </is>
      </c>
      <c r="B1" s="105" t="n"/>
    </row>
    <row r="2">
      <c r="A2" s="20" t="inlineStr">
        <is>
          <t>Proyecto:</t>
        </is>
      </c>
      <c r="B2" s="37" t="inlineStr">
        <is>
          <t>Portabilidad de Derechos Pensionarios entre ISSSTE e IMSS</t>
        </is>
      </c>
    </row>
    <row r="3" ht="26.1" customHeight="1">
      <c r="A3" s="20" t="inlineStr">
        <is>
          <t>Nombre del Líder de Proyecto</t>
        </is>
      </c>
      <c r="B3" s="37" t="inlineStr">
        <is>
          <t>Carlos Quintero Nava</t>
        </is>
      </c>
    </row>
    <row r="4">
      <c r="A4" s="20" t="inlineStr">
        <is>
          <t>Fase del proyecto:</t>
        </is>
      </c>
      <c r="B4" s="37" t="inlineStr">
        <is>
          <t>Cierre (Entrega Final v2.0)</t>
        </is>
      </c>
    </row>
    <row r="5">
      <c r="A5" s="5" t="n"/>
      <c r="B5" s="5" t="n"/>
      <c r="C5" s="5" t="n"/>
    </row>
    <row r="6" ht="18.75" customHeight="1">
      <c r="A6" s="46" t="inlineStr">
        <is>
          <t>Resumen general</t>
        </is>
      </c>
      <c r="B6" s="105" t="n"/>
      <c r="C6" s="105" t="n"/>
      <c r="D6" s="105" t="n"/>
      <c r="E6" s="105" t="n"/>
      <c r="F6" s="105" t="n"/>
    </row>
    <row r="7" ht="29.45" customHeight="1">
      <c r="A7" s="33" t="inlineStr">
        <is>
          <t>Nombre de la auditoría</t>
        </is>
      </c>
      <c r="B7" s="33" t="inlineStr">
        <is>
          <t>Procedimientos</t>
        </is>
      </c>
      <c r="C7" s="34" t="inlineStr">
        <is>
          <t>Fecha de la auditoría</t>
        </is>
      </c>
      <c r="D7" s="34" t="inlineStr">
        <is>
          <t>% apego</t>
        </is>
      </c>
      <c r="E7" s="35" t="inlineStr">
        <is>
          <t>Auditor</t>
        </is>
      </c>
      <c r="F7" s="35" t="inlineStr">
        <is>
          <t>Observaciones</t>
        </is>
      </c>
    </row>
    <row r="8" ht="14.45" customHeight="1">
      <c r="A8" s="106" t="inlineStr">
        <is>
          <t>Inicio</t>
        </is>
      </c>
      <c r="B8" s="12" t="inlineStr">
        <is>
          <t>Estimación</t>
        </is>
      </c>
      <c r="C8" s="15">
        <f>'2.-Auditoría_inicio'!D1</f>
        <v/>
      </c>
      <c r="D8" s="23">
        <f>'2.-Auditoría_inicio'!G2</f>
        <v/>
      </c>
      <c r="E8" s="21">
        <f>'2.-Auditoría_inicio'!D2</f>
        <v/>
      </c>
      <c r="F8" s="7" t="n"/>
    </row>
    <row r="9" ht="14.45" customHeight="1">
      <c r="A9" s="107" t="n"/>
      <c r="B9" s="12" t="inlineStr">
        <is>
          <t>Planeación</t>
        </is>
      </c>
      <c r="C9" s="15">
        <f>'2.-Auditoría_inicio'!D4</f>
        <v/>
      </c>
      <c r="D9" s="23">
        <f>'2.-Auditoría_inicio'!G5</f>
        <v/>
      </c>
      <c r="E9" s="21">
        <f>'2.-Auditoría_inicio'!D5</f>
        <v/>
      </c>
      <c r="F9" s="7" t="n"/>
    </row>
    <row r="10" ht="14.45" customHeight="1">
      <c r="A10" s="108" t="n"/>
      <c r="B10" s="12" t="inlineStr">
        <is>
          <t>Gestión de requisitos</t>
        </is>
      </c>
      <c r="C10" s="15">
        <f>'2.-Auditoría_inicio'!D7</f>
        <v/>
      </c>
      <c r="D10" s="23">
        <f>'2.-Auditoría_inicio'!G8</f>
        <v/>
      </c>
      <c r="E10" s="21">
        <f>'2.-Auditoría_inicio'!D8</f>
        <v/>
      </c>
      <c r="F10" s="7" t="n"/>
    </row>
    <row r="11" ht="14.45" customHeight="1">
      <c r="A11" s="106" t="inlineStr">
        <is>
          <t>Ejecución 1</t>
        </is>
      </c>
      <c r="B11" s="12" t="inlineStr">
        <is>
          <t>Diseño de software</t>
        </is>
      </c>
      <c r="C11" s="13">
        <f>'3.1-Auditoría_ejecución'!D1</f>
        <v/>
      </c>
      <c r="D11" s="23">
        <f>'3.1-Auditoría_ejecución'!G2</f>
        <v/>
      </c>
      <c r="E11" s="21">
        <f>'3.1-Auditoría_ejecución'!D2</f>
        <v/>
      </c>
      <c r="F11" s="7" t="n"/>
    </row>
    <row r="12" ht="14.45" customHeight="1">
      <c r="A12" s="107" t="n"/>
      <c r="B12" s="12" t="inlineStr">
        <is>
          <t>Construcción</t>
        </is>
      </c>
      <c r="C12" s="13">
        <f>'3.1-Auditoría_ejecución'!D4</f>
        <v/>
      </c>
      <c r="D12" s="23">
        <f>'3.1-Auditoría_ejecución'!G5</f>
        <v/>
      </c>
      <c r="E12" s="21">
        <f>'3.1-Auditoría_ejecución'!D5</f>
        <v/>
      </c>
      <c r="F12" s="7" t="n"/>
    </row>
    <row r="13" ht="14.45" customHeight="1">
      <c r="A13" s="108" t="n"/>
      <c r="B13" s="12" t="inlineStr">
        <is>
          <t>Revisión por pares</t>
        </is>
      </c>
      <c r="C13" s="13">
        <f>'3.1-Auditoría_ejecución'!D7</f>
        <v/>
      </c>
      <c r="D13" s="23">
        <f>'3.1-Auditoría_ejecución'!G8</f>
        <v/>
      </c>
      <c r="E13" s="21">
        <f>'3.1-Auditoría_ejecución'!D8</f>
        <v/>
      </c>
      <c r="F13" s="7" t="n"/>
    </row>
    <row r="14" ht="14.45" customHeight="1">
      <c r="A14" s="106" t="inlineStr">
        <is>
          <t>Ejecución 2</t>
        </is>
      </c>
      <c r="B14" s="12" t="inlineStr">
        <is>
          <t>Diseño de software</t>
        </is>
      </c>
      <c r="C14" s="13">
        <f>'3.2-Auditoría_ejecución 2vuelta'!D1</f>
        <v/>
      </c>
      <c r="D14" s="26">
        <f>'3.2-Auditoría_ejecución 2vuelta'!G2</f>
        <v/>
      </c>
      <c r="E14" s="21">
        <f>'3.2-Auditoría_ejecución 2vuelta'!D2</f>
        <v/>
      </c>
      <c r="F14" s="7" t="n"/>
    </row>
    <row r="15" ht="14.45" customHeight="1">
      <c r="A15" s="107" t="n"/>
      <c r="B15" s="12" t="inlineStr">
        <is>
          <t>Construcción</t>
        </is>
      </c>
      <c r="C15" s="13">
        <f>'3.2-Auditoría_ejecución 2vuelta'!D4</f>
        <v/>
      </c>
      <c r="D15" s="26">
        <f>'3.2-Auditoría_ejecución 2vuelta'!G5</f>
        <v/>
      </c>
      <c r="E15" s="21">
        <f>'3.2-Auditoría_ejecución 2vuelta'!D5</f>
        <v/>
      </c>
      <c r="F15" s="7" t="n"/>
    </row>
    <row r="16" ht="14.45" customHeight="1">
      <c r="A16" s="108" t="n"/>
      <c r="B16" s="12" t="inlineStr">
        <is>
          <t>Revisión por pares</t>
        </is>
      </c>
      <c r="C16" s="13">
        <f>'3.2-Auditoría_ejecución 2vuelta'!D7</f>
        <v/>
      </c>
      <c r="D16" s="26">
        <f>'3.2-Auditoría_ejecución 2vuelta'!G8</f>
        <v/>
      </c>
      <c r="E16" s="25">
        <f>'3.2-Auditoría_ejecución 2vuelta'!D8</f>
        <v/>
      </c>
      <c r="F16" s="7" t="n"/>
      <c r="G16" s="49" t="n"/>
    </row>
    <row r="17" ht="14.45" customHeight="1">
      <c r="A17" s="106" t="inlineStr">
        <is>
          <t>Ejecución 3</t>
        </is>
      </c>
      <c r="B17" s="12" t="inlineStr">
        <is>
          <t>Diseño de software</t>
        </is>
      </c>
      <c r="C17" s="13">
        <f>'3.3-Auditoría_ejecución 3vuelta'!D1</f>
        <v/>
      </c>
      <c r="D17" s="26">
        <f>'3.3-Auditoría_ejecución 3vuelta'!G2</f>
        <v/>
      </c>
      <c r="E17" s="21">
        <f>'3.3-Auditoría_ejecución 3vuelta'!D2</f>
        <v/>
      </c>
      <c r="F17" s="7" t="n"/>
      <c r="G17" s="47" t="n"/>
    </row>
    <row r="18" ht="14.45" customHeight="1">
      <c r="A18" s="107" t="n"/>
      <c r="B18" s="12" t="inlineStr">
        <is>
          <t>Construcción</t>
        </is>
      </c>
      <c r="C18" s="13">
        <f>'3.3-Auditoría_ejecución 3vuelta'!D4</f>
        <v/>
      </c>
      <c r="D18" s="26">
        <f>'3.3-Auditoría_ejecución 3vuelta'!G5</f>
        <v/>
      </c>
      <c r="E18" s="21">
        <f>'3.3-Auditoría_ejecución 3vuelta'!D5</f>
        <v/>
      </c>
      <c r="F18" s="7" t="n"/>
      <c r="G18" s="109" t="n"/>
    </row>
    <row r="19" ht="14.45" customHeight="1">
      <c r="A19" s="108" t="n"/>
      <c r="B19" s="12" t="inlineStr">
        <is>
          <t>Revisión por pares</t>
        </is>
      </c>
      <c r="C19" s="13">
        <f>'3.3-Auditoría_ejecución 3vuelta'!D7</f>
        <v/>
      </c>
      <c r="D19" s="26">
        <f>'3.3-Auditoría_ejecución 3vuelta'!G8</f>
        <v/>
      </c>
      <c r="E19" s="21">
        <f>'3.3-Auditoría_ejecución 3vuelta'!D8</f>
        <v/>
      </c>
      <c r="F19" s="7" t="n"/>
      <c r="G19" s="109" t="n"/>
    </row>
    <row r="20" ht="14.45" customHeight="1">
      <c r="A20" s="106" t="inlineStr">
        <is>
          <t>Cierre</t>
        </is>
      </c>
      <c r="B20" s="12" t="inlineStr">
        <is>
          <t>Pruebas</t>
        </is>
      </c>
      <c r="C20" s="13">
        <f>'4.-Auditoría cierre'!D1</f>
        <v/>
      </c>
      <c r="D20" s="23">
        <f>'4.-Auditoría cierre'!G2</f>
        <v/>
      </c>
      <c r="E20" s="21">
        <f>'4.-Auditoría cierre'!D2</f>
        <v/>
      </c>
      <c r="F20" s="7" t="n"/>
    </row>
    <row r="21">
      <c r="A21" s="107" t="n"/>
      <c r="B21" s="22" t="inlineStr">
        <is>
          <t>Entrega del producto</t>
        </is>
      </c>
      <c r="C21" s="16">
        <f>'4.-Auditoría cierre'!D4</f>
        <v/>
      </c>
      <c r="D21" s="23">
        <f>'4.-Auditoría cierre'!G5</f>
        <v/>
      </c>
      <c r="E21" s="21">
        <f>'4.-Auditoría cierre'!D5</f>
        <v/>
      </c>
      <c r="F21" s="7" t="n"/>
    </row>
    <row r="22">
      <c r="A22" s="108" t="n"/>
      <c r="B22" s="12" t="inlineStr">
        <is>
          <t>Cierre</t>
        </is>
      </c>
      <c r="C22" s="16">
        <f>'4.-Auditoría cierre'!D7</f>
        <v/>
      </c>
      <c r="D22" s="23">
        <f>'4.-Auditoría cierre'!G8</f>
        <v/>
      </c>
      <c r="E22" s="21">
        <f>'4.-Auditoría cierre'!D8</f>
        <v/>
      </c>
      <c r="F22" s="36" t="n"/>
    </row>
    <row r="23">
      <c r="A23" s="12" t="inlineStr">
        <is>
          <t>Gestión de cambios</t>
        </is>
      </c>
      <c r="B23" s="12" t="inlineStr">
        <is>
          <t>Monitoreo</t>
        </is>
      </c>
      <c r="C23" s="13">
        <f>'5.-Auditoría_Gestión de cambios'!D1</f>
        <v/>
      </c>
      <c r="D23" s="24">
        <f>'5.-Auditoría_Gestión de cambios'!G2</f>
        <v/>
      </c>
      <c r="E23" s="13">
        <f>'5.-Auditoría_Gestión de cambios'!D2</f>
        <v/>
      </c>
      <c r="F23" s="6" t="n"/>
    </row>
    <row r="31" ht="15" customHeight="1"/>
  </sheetData>
  <mergeCells count="9">
    <mergeCell ref="G16:I16"/>
    <mergeCell ref="A8:A10"/>
    <mergeCell ref="A17:A19"/>
    <mergeCell ref="A20:A22"/>
    <mergeCell ref="A11:A13"/>
    <mergeCell ref="A6:F6"/>
    <mergeCell ref="A1:B1"/>
    <mergeCell ref="A14:A16"/>
    <mergeCell ref="G17:I19"/>
  </mergeCells>
  <pageMargins left="0.7" right="0.7" top="0.75" bottom="0.75" header="0.3" footer="0.3"/>
  <pageSetup orientation="landscape" paperSize="9" scale="75" horizontalDpi="0" verticalDpi="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G50"/>
  <sheetViews>
    <sheetView showGridLines="0" zoomScale="85" zoomScaleNormal="85" workbookViewId="0">
      <selection activeCell="A10" sqref="A10:G10"/>
    </sheetView>
  </sheetViews>
  <sheetFormatPr baseColWidth="8" defaultColWidth="10.85546875" defaultRowHeight="14.45"/>
  <cols>
    <col width="24.5703125" customWidth="1" min="2" max="2"/>
    <col width="25.85546875" customWidth="1" min="3" max="3"/>
    <col width="20.5703125" customWidth="1" min="4" max="4"/>
    <col width="21" customWidth="1" min="5" max="5"/>
    <col width="13.85546875" customWidth="1" min="6" max="6"/>
    <col width="49.42578125" customWidth="1" min="7" max="7"/>
  </cols>
  <sheetData>
    <row r="1" ht="15.75" customHeight="1">
      <c r="A1" s="70" t="inlineStr">
        <is>
          <t>Estimación</t>
        </is>
      </c>
      <c r="B1" s="102" t="n"/>
      <c r="C1" s="11" t="inlineStr">
        <is>
          <t>Fecha auditoría</t>
        </is>
      </c>
      <c r="D1" s="14" t="inlineStr">
        <is>
          <t>25/07/2026</t>
        </is>
      </c>
      <c r="E1" s="18" t="inlineStr">
        <is>
          <t>Preguntas aprobadas</t>
        </is>
      </c>
      <c r="F1" s="110" t="n"/>
      <c r="G1" s="9">
        <f>COUNTA(D14:D23)+COUNTA(F14:F23)</f>
        <v/>
      </c>
    </row>
    <row r="2" ht="15.6" customHeight="1">
      <c r="A2" s="109" t="n"/>
      <c r="B2" s="111" t="n"/>
      <c r="C2" s="11" t="inlineStr">
        <is>
          <t>Auditor</t>
        </is>
      </c>
      <c r="D2" s="1" t="inlineStr">
        <is>
          <t>Miguel A. López Hernández</t>
        </is>
      </c>
      <c r="E2" s="18" t="inlineStr">
        <is>
          <t>% de apego</t>
        </is>
      </c>
      <c r="F2" s="110" t="n"/>
      <c r="G2" s="10">
        <f>G1/COUNT(A14:A23)</f>
        <v/>
      </c>
    </row>
    <row r="3" ht="15.6" customHeight="1">
      <c r="A3" s="103" t="n"/>
      <c r="B3" s="104" t="n"/>
      <c r="C3" s="11" t="inlineStr">
        <is>
          <t>Auditado</t>
        </is>
      </c>
      <c r="D3" s="1" t="inlineStr">
        <is>
          <t>Carlos Quintero Nava</t>
        </is>
      </c>
    </row>
    <row r="4" ht="15.75" customHeight="1">
      <c r="A4" s="70" t="inlineStr">
        <is>
          <t>Planeación</t>
        </is>
      </c>
      <c r="B4" s="102" t="n"/>
      <c r="C4" s="11" t="inlineStr">
        <is>
          <t>Fecha auditoría</t>
        </is>
      </c>
      <c r="D4" s="14" t="inlineStr">
        <is>
          <t>25/07/2026</t>
        </is>
      </c>
      <c r="E4" s="18" t="inlineStr">
        <is>
          <t>Preguntas aprobadas</t>
        </is>
      </c>
      <c r="F4" s="110" t="n"/>
      <c r="G4" s="9">
        <f>COUNTA(D25:D35)+COUNTA(F25:F35)</f>
        <v/>
      </c>
    </row>
    <row r="5" ht="15.6" customHeight="1">
      <c r="A5" s="109" t="n"/>
      <c r="B5" s="111" t="n"/>
      <c r="C5" s="11" t="inlineStr">
        <is>
          <t>Auditor</t>
        </is>
      </c>
      <c r="D5" s="1" t="inlineStr">
        <is>
          <t>Miguel A. López Hernández</t>
        </is>
      </c>
      <c r="E5" s="18" t="inlineStr">
        <is>
          <t>% de apego</t>
        </is>
      </c>
      <c r="F5" s="110" t="n"/>
      <c r="G5" s="10">
        <f>G4/COUNT(A25:A35)</f>
        <v/>
      </c>
    </row>
    <row r="6" ht="15.6" customHeight="1">
      <c r="A6" s="103" t="n"/>
      <c r="B6" s="104" t="n"/>
      <c r="C6" s="11" t="inlineStr">
        <is>
          <t>Auditado</t>
        </is>
      </c>
      <c r="D6" s="1" t="inlineStr">
        <is>
          <t>Carlos Quintero Nava</t>
        </is>
      </c>
    </row>
    <row r="7" ht="18" customHeight="1">
      <c r="A7" s="70" t="inlineStr">
        <is>
          <t>Gestión de requisitos</t>
        </is>
      </c>
      <c r="B7" s="102" t="n"/>
      <c r="C7" s="11" t="inlineStr">
        <is>
          <t>Fecha auditoría</t>
        </is>
      </c>
      <c r="D7" s="1" t="inlineStr">
        <is>
          <t>25/07/2026</t>
        </is>
      </c>
      <c r="E7" s="18" t="inlineStr">
        <is>
          <t>Preguntas aprobadas</t>
        </is>
      </c>
      <c r="F7" s="110" t="n"/>
      <c r="G7" s="9">
        <f>COUNTA(D38:D47)+COUNTA(F38:F47)</f>
        <v/>
      </c>
    </row>
    <row r="8" ht="18" customHeight="1">
      <c r="A8" s="109" t="n"/>
      <c r="B8" s="111" t="n"/>
      <c r="C8" s="11" t="inlineStr">
        <is>
          <t>Auditor</t>
        </is>
      </c>
      <c r="D8" s="1" t="inlineStr">
        <is>
          <t>Miguel A. López Hernández</t>
        </is>
      </c>
      <c r="E8" s="18" t="inlineStr">
        <is>
          <t>% de apego</t>
        </is>
      </c>
      <c r="F8" s="110" t="n"/>
      <c r="G8" s="10">
        <f>G7/COUNT(A38:A47)</f>
        <v/>
      </c>
    </row>
    <row r="9" ht="18" customHeight="1">
      <c r="A9" s="103" t="n"/>
      <c r="B9" s="104" t="n"/>
      <c r="C9" s="17" t="inlineStr">
        <is>
          <t>Auditado</t>
        </is>
      </c>
      <c r="D9" s="1" t="inlineStr">
        <is>
          <t>Carlos Quintero Nava</t>
        </is>
      </c>
    </row>
    <row r="10" ht="21" customHeight="1">
      <c r="A10" s="46" t="inlineStr">
        <is>
          <t>Auditoria de proyecto</t>
        </is>
      </c>
      <c r="B10" s="105" t="n"/>
      <c r="C10" s="105" t="n"/>
      <c r="D10" s="105" t="n"/>
      <c r="E10" s="105" t="n"/>
      <c r="F10" s="105" t="n"/>
      <c r="G10" s="105" t="n"/>
    </row>
    <row r="11" ht="15.75" customHeight="1">
      <c r="A11" s="101" t="inlineStr">
        <is>
          <t>No.</t>
        </is>
      </c>
      <c r="B11" s="69" t="inlineStr">
        <is>
          <t>Verificación</t>
        </is>
      </c>
      <c r="C11" s="110" t="n"/>
      <c r="D11" s="68" t="inlineStr">
        <is>
          <t>Condiciones</t>
        </is>
      </c>
      <c r="E11" s="112" t="n"/>
      <c r="F11" s="110" t="n"/>
      <c r="G11" s="69" t="inlineStr">
        <is>
          <t>Observaciones</t>
        </is>
      </c>
    </row>
    <row r="12" ht="15.6" customHeight="1">
      <c r="A12" s="108" t="n"/>
      <c r="B12" s="69" t="inlineStr">
        <is>
          <t>Criterio a verificar</t>
        </is>
      </c>
      <c r="C12" s="110" t="n"/>
      <c r="D12" s="69" t="inlineStr">
        <is>
          <t>Sí</t>
        </is>
      </c>
      <c r="E12" s="69" t="inlineStr">
        <is>
          <t>No</t>
        </is>
      </c>
      <c r="F12" s="69" t="inlineStr">
        <is>
          <t>No aplica</t>
        </is>
      </c>
      <c r="G12" s="108" t="n"/>
    </row>
    <row r="13" ht="15.6" customHeight="1">
      <c r="A13" s="69" t="inlineStr">
        <is>
          <t>Estimaciones</t>
        </is>
      </c>
      <c r="B13" s="112" t="n"/>
      <c r="C13" s="112" t="n"/>
      <c r="D13" s="112" t="n"/>
      <c r="E13" s="112" t="n"/>
      <c r="F13" s="112" t="n"/>
      <c r="G13" s="110" t="n"/>
    </row>
    <row r="14" ht="40.35" customHeight="1">
      <c r="A14" s="2" t="n">
        <v>1</v>
      </c>
      <c r="B14" s="113" t="inlineStr">
        <is>
          <t>¿Se revisa el alcance y requisitos con ayuda del enunciado de trabajo?</t>
        </is>
      </c>
      <c r="C14" s="110" t="n"/>
      <c r="D14" s="2" t="inlineStr">
        <is>
          <t>X</t>
        </is>
      </c>
      <c r="E14" s="2" t="n"/>
      <c r="F14" s="2" t="n"/>
      <c r="G14" s="1" t="n"/>
    </row>
    <row r="15" ht="28.7" customHeight="1">
      <c r="A15" s="2" t="n">
        <v>2</v>
      </c>
      <c r="B15" s="113" t="inlineStr">
        <is>
          <t>¿Se utilizan históricos para realizar estimaciones?</t>
        </is>
      </c>
      <c r="C15" s="110" t="n"/>
      <c r="D15" s="2" t="inlineStr">
        <is>
          <t>X</t>
        </is>
      </c>
      <c r="E15" s="2" t="n"/>
      <c r="F15" s="2" t="n"/>
      <c r="G15" s="1" t="n"/>
    </row>
    <row r="16" ht="77.09999999999999" customHeight="1">
      <c r="A16" s="2" t="n">
        <v>3</v>
      </c>
      <c r="B16" s="113" t="inlineStr">
        <is>
          <t>¿Los históricos presentan la siguiente información
Dominio de la aplicación
Dominio de la tecnología
Complejidad del proyecto
Cantidad y nivel de conocimiento de las personas?</t>
        </is>
      </c>
      <c r="C16" s="110" t="n"/>
      <c r="D16" s="2" t="n"/>
      <c r="E16" s="2" t="inlineStr">
        <is>
          <t>X</t>
        </is>
      </c>
      <c r="F16" s="2" t="n"/>
      <c r="G16" s="1" t="inlineStr">
        <is>
          <t>El histórico (RG-Estimación) no desglosa explícitamente las 4 dimensiones solicitadas (dominio de aplicación, tecnología, complejidad, conocimiento del equipo).</t>
        </is>
      </c>
    </row>
    <row r="17" ht="29.45" customHeight="1">
      <c r="A17" s="2" t="n">
        <v>4</v>
      </c>
      <c r="B17" s="113" t="inlineStr">
        <is>
          <t>¿Se estimó el tamaño con un método establecido por la organización?</t>
        </is>
      </c>
      <c r="C17" s="110" t="n"/>
      <c r="D17" s="2" t="inlineStr">
        <is>
          <t>X</t>
        </is>
      </c>
      <c r="E17" s="2" t="n"/>
      <c r="F17" s="2" t="n"/>
      <c r="G17" s="1" t="n"/>
    </row>
    <row r="18" ht="28.7" customHeight="1">
      <c r="A18" s="2" t="n">
        <v>5</v>
      </c>
      <c r="B18" s="113" t="inlineStr">
        <is>
          <t>¿Se estimó el esfuerzo  con un método establecido por la organización?</t>
        </is>
      </c>
      <c r="C18" s="110" t="n"/>
      <c r="D18" s="2" t="inlineStr">
        <is>
          <t>X</t>
        </is>
      </c>
      <c r="E18" s="2" t="n"/>
      <c r="F18" s="2" t="n"/>
      <c r="G18" s="1" t="n"/>
    </row>
    <row r="19" ht="28.7" customHeight="1">
      <c r="A19" s="2" t="n">
        <v>6</v>
      </c>
      <c r="B19" s="113" t="inlineStr">
        <is>
          <t>¿Se estimó el tiempo con un método establecido por la organización?</t>
        </is>
      </c>
      <c r="C19" s="110" t="n"/>
      <c r="D19" s="2" t="inlineStr">
        <is>
          <t>X</t>
        </is>
      </c>
      <c r="E19" s="2" t="n"/>
      <c r="F19" s="2" t="n"/>
      <c r="G19" s="1" t="n"/>
    </row>
    <row r="20" ht="33" customHeight="1">
      <c r="A20" s="2" t="n">
        <v>7</v>
      </c>
      <c r="B20" s="113" t="inlineStr">
        <is>
          <t>¿El costo incluye la evaluación de recursos humanos  y materiales necesarios para llevar a cabo el proyecto?</t>
        </is>
      </c>
      <c r="C20" s="110" t="n"/>
      <c r="D20" s="2" t="inlineStr">
        <is>
          <t>X</t>
        </is>
      </c>
      <c r="E20" s="2" t="n"/>
      <c r="F20" s="2" t="n"/>
      <c r="G20" s="1" t="n"/>
    </row>
    <row r="21" ht="21.6" customHeight="1">
      <c r="A21" s="2" t="n">
        <v>8</v>
      </c>
      <c r="B21" s="113" t="inlineStr">
        <is>
          <t>¿Se identificaron riesgos?</t>
        </is>
      </c>
      <c r="C21" s="110" t="n"/>
      <c r="D21" s="2" t="inlineStr">
        <is>
          <t>X</t>
        </is>
      </c>
      <c r="E21" s="2" t="n"/>
      <c r="F21" s="2" t="n"/>
      <c r="G21" s="1" t="n"/>
    </row>
    <row r="22" ht="21.6" customHeight="1">
      <c r="A22" s="2" t="n">
        <v>3</v>
      </c>
      <c r="B22" s="114" t="inlineStr">
        <is>
          <t>¿Se utiliza una herramienta (Plantilla) para estimar?</t>
        </is>
      </c>
      <c r="C22" s="110" t="n"/>
      <c r="D22" s="2" t="inlineStr">
        <is>
          <t>X</t>
        </is>
      </c>
      <c r="E22" s="2" t="n"/>
      <c r="F22" s="2" t="n"/>
      <c r="G22" s="1" t="n"/>
    </row>
    <row r="23" ht="21.6" customHeight="1">
      <c r="A23" s="2" t="n">
        <v>10</v>
      </c>
      <c r="B23" s="114" t="inlineStr">
        <is>
          <t>¿Existen registros de las reuniones con el equipo estimador?</t>
        </is>
      </c>
      <c r="C23" s="110" t="n"/>
      <c r="D23" s="2" t="inlineStr">
        <is>
          <t>X</t>
        </is>
      </c>
      <c r="E23" s="2" t="n"/>
      <c r="F23" s="2" t="n"/>
      <c r="G23" s="1" t="n"/>
    </row>
    <row r="24" ht="15.6" customHeight="1">
      <c r="A24" s="68" t="inlineStr">
        <is>
          <t>Gestión de requisitos</t>
        </is>
      </c>
      <c r="B24" s="112" t="n"/>
      <c r="C24" s="112" t="n"/>
      <c r="D24" s="112" t="n"/>
      <c r="E24" s="112" t="n"/>
      <c r="F24" s="112" t="n"/>
      <c r="G24" s="110" t="n"/>
    </row>
    <row r="25" ht="22.35" customHeight="1">
      <c r="A25" s="2" t="n">
        <v>1</v>
      </c>
      <c r="B25" s="115" t="inlineStr">
        <is>
          <t>¿Se identificó quiénes son proveedores de requisitos?</t>
        </is>
      </c>
      <c r="C25" s="110" t="n"/>
      <c r="D25" s="2" t="inlineStr">
        <is>
          <t>X</t>
        </is>
      </c>
      <c r="E25" s="2" t="n"/>
      <c r="F25" s="2" t="n"/>
      <c r="G25" s="1" t="n"/>
    </row>
    <row r="26" ht="30.6" customHeight="1">
      <c r="A26" s="2" t="n">
        <v>2</v>
      </c>
      <c r="B26" s="113" t="inlineStr">
        <is>
          <t xml:space="preserve">¿Se utilizaron técnicas de levantamiento de requisitos establecidas por la organización? </t>
        </is>
      </c>
      <c r="C26" s="110" t="n"/>
      <c r="D26" s="2" t="inlineStr">
        <is>
          <t>X</t>
        </is>
      </c>
      <c r="E26" s="2" t="n"/>
      <c r="F26" s="2" t="n"/>
      <c r="G26" s="1" t="n"/>
    </row>
    <row r="27" ht="20.45" customHeight="1">
      <c r="A27" s="2" t="n">
        <v>3</v>
      </c>
      <c r="B27" s="114" t="inlineStr">
        <is>
          <t>¿Se identificaron claramente NERI´s?</t>
        </is>
      </c>
      <c r="C27" s="110" t="n"/>
      <c r="D27" s="2" t="inlineStr">
        <is>
          <t>X</t>
        </is>
      </c>
      <c r="E27" s="2" t="n"/>
      <c r="F27" s="2" t="n"/>
      <c r="G27" s="1" t="n"/>
    </row>
    <row r="28" ht="29.1" customHeight="1">
      <c r="A28" s="2" t="n">
        <v>4</v>
      </c>
      <c r="B28" s="113" t="inlineStr">
        <is>
          <t>¿Se cuenta con un Enunciado de trabajo que mencione Requisitos funcionales y no funcionales e interfaces de manera clara y sin ambigüedades?</t>
        </is>
      </c>
      <c r="C28" s="110" t="n"/>
      <c r="D28" s="2" t="inlineStr">
        <is>
          <t>X</t>
        </is>
      </c>
      <c r="E28" s="2" t="n"/>
      <c r="F28" s="2" t="n"/>
      <c r="G28" s="1" t="n"/>
    </row>
    <row r="29" ht="27.6" customHeight="1">
      <c r="A29" s="2" t="n">
        <v>5</v>
      </c>
      <c r="B29" s="113" t="inlineStr">
        <is>
          <t>¿Se revisa el enunciado de trabajo con los stakeholder para validar que los requisitos sean todos y estén correctos?</t>
        </is>
      </c>
      <c r="C29" s="110" t="n"/>
      <c r="D29" s="2" t="inlineStr">
        <is>
          <t>X</t>
        </is>
      </c>
      <c r="E29" s="2" t="n"/>
      <c r="F29" s="2" t="n"/>
      <c r="G29" s="1" t="n"/>
    </row>
    <row r="30" ht="27" customHeight="1">
      <c r="A30" s="2" t="n">
        <v>6</v>
      </c>
      <c r="B30" s="113" t="inlineStr">
        <is>
          <t xml:space="preserve">¿Se realiza una revisión entre pares del enunciado de trabajo? </t>
        </is>
      </c>
      <c r="C30" s="110" t="n"/>
      <c r="D30" s="2" t="inlineStr">
        <is>
          <t>X</t>
        </is>
      </c>
      <c r="E30" s="2" t="n"/>
      <c r="F30" s="2" t="n"/>
      <c r="G30" s="1" t="n"/>
    </row>
    <row r="31" ht="30.6" customHeight="1">
      <c r="A31" s="2" t="n">
        <v>7</v>
      </c>
      <c r="B31" s="113" t="inlineStr">
        <is>
          <t>¿Se validaron los requisitos utilizando el documento validación de requisitos?</t>
        </is>
      </c>
      <c r="C31" s="110" t="n"/>
      <c r="D31" s="2" t="inlineStr">
        <is>
          <t>X</t>
        </is>
      </c>
      <c r="E31" s="2" t="n"/>
      <c r="F31" s="2" t="n"/>
      <c r="G31" s="1" t="n"/>
    </row>
    <row r="32" ht="42" customHeight="1">
      <c r="A32" s="2" t="n">
        <v>8</v>
      </c>
      <c r="B32" s="113" t="inlineStr">
        <is>
          <t>¿Se encuentran estos documentos de insumo y validación almacenados correctamente en el repositorio?</t>
        </is>
      </c>
      <c r="C32" s="110" t="n"/>
      <c r="D32" s="2" t="inlineStr">
        <is>
          <t>X</t>
        </is>
      </c>
      <c r="E32" s="2" t="n"/>
      <c r="F32" s="2" t="n"/>
      <c r="G32" s="1" t="n"/>
    </row>
    <row r="33" ht="42" customHeight="1">
      <c r="A33" s="2" t="n">
        <v>9</v>
      </c>
      <c r="B33" s="113" t="inlineStr">
        <is>
          <t>¿Se puede comenzar el manual de usuario una vez que tenemos requisitos e historias de usuario o casos de uso?</t>
        </is>
      </c>
      <c r="C33" s="110" t="n"/>
      <c r="D33" s="2" t="inlineStr">
        <is>
          <t>X</t>
        </is>
      </c>
      <c r="E33" s="2" t="n"/>
      <c r="F33" s="2" t="n"/>
      <c r="G33" s="1" t="n"/>
    </row>
    <row r="34" ht="32.45" customHeight="1">
      <c r="A34" s="2" t="n">
        <v>10</v>
      </c>
      <c r="B34" s="113" t="inlineStr">
        <is>
          <t>¿Se realizo una auditoria de configuración a la especificación de requisitos?</t>
        </is>
      </c>
      <c r="C34" s="110" t="n"/>
      <c r="D34" s="2" t="inlineStr">
        <is>
          <t>X</t>
        </is>
      </c>
      <c r="E34" s="2" t="n"/>
      <c r="F34" s="2" t="n"/>
      <c r="G34" s="1" t="n"/>
    </row>
    <row r="35" ht="32.45" customHeight="1">
      <c r="A35" s="2" t="n">
        <v>11</v>
      </c>
      <c r="B35" s="113" t="inlineStr">
        <is>
          <t>¿Se Comunicaron los resultados a las personas interesadas?</t>
        </is>
      </c>
      <c r="C35" s="110" t="n"/>
      <c r="D35" s="2" t="inlineStr">
        <is>
          <t>X</t>
        </is>
      </c>
      <c r="E35" s="2" t="n"/>
      <c r="F35" s="2" t="n"/>
      <c r="G35" s="1" t="n"/>
    </row>
    <row r="36" ht="15.6" customHeight="1">
      <c r="A36" s="101" t="inlineStr">
        <is>
          <t>Planeación</t>
        </is>
      </c>
      <c r="B36" s="112" t="n"/>
      <c r="C36" s="112" t="n"/>
      <c r="D36" s="112" t="n"/>
      <c r="E36" s="112" t="n"/>
      <c r="F36" s="112" t="n"/>
      <c r="G36" s="110" t="n"/>
    </row>
    <row r="37" ht="14.45" customHeight="1">
      <c r="A37" s="28" t="n">
        <v>1</v>
      </c>
      <c r="B37" s="113" t="inlineStr">
        <is>
          <t xml:space="preserve">¿Existe un repositorio del proyecto? </t>
        </is>
      </c>
      <c r="C37" s="110" t="n"/>
      <c r="D37" s="28" t="n"/>
      <c r="E37" s="29" t="n"/>
      <c r="F37" s="29" t="n"/>
      <c r="G37" s="28" t="n"/>
    </row>
    <row r="38" ht="29.45" customHeight="1">
      <c r="A38" s="2" t="n">
        <v>1</v>
      </c>
      <c r="B38" s="113" t="inlineStr">
        <is>
          <t>¿Se revisó el alcance del proyecto en el enunciado de trabajo para la planeación del proyecto?</t>
        </is>
      </c>
      <c r="C38" s="110" t="n"/>
      <c r="D38" s="2" t="inlineStr">
        <is>
          <t>X</t>
        </is>
      </c>
      <c r="E38" s="29" t="n"/>
      <c r="F38" s="29" t="n"/>
      <c r="G38" s="1" t="n"/>
    </row>
    <row r="39" ht="55.7" customHeight="1">
      <c r="A39" s="2" t="n">
        <v>2</v>
      </c>
      <c r="B39" s="113" t="inlineStr">
        <is>
          <t xml:space="preserve">¿Algunos de los Stakeholders identificados en el plan cumplen con los siguientes roles de recepción, aceptación e implementación del producto de software? </t>
        </is>
      </c>
      <c r="C39" s="110" t="n"/>
      <c r="D39" s="2" t="inlineStr">
        <is>
          <t>X</t>
        </is>
      </c>
      <c r="E39" s="29" t="n"/>
      <c r="F39" s="29" t="n"/>
      <c r="G39" s="1" t="n"/>
    </row>
    <row r="40" ht="44.1" customHeight="1">
      <c r="A40" s="2" t="n">
        <v>3</v>
      </c>
      <c r="B40" s="113" t="inlineStr">
        <is>
          <t>¿Están registrados los entregables que deben entregarse en el plan del proyecto?</t>
        </is>
      </c>
      <c r="C40" s="110" t="n"/>
      <c r="D40" s="2" t="inlineStr">
        <is>
          <t>X</t>
        </is>
      </c>
      <c r="E40" s="29" t="n"/>
      <c r="F40" s="29" t="n"/>
      <c r="G40" s="1" t="n"/>
    </row>
    <row r="41" ht="29.45" customHeight="1">
      <c r="A41" s="2" t="n">
        <v>4</v>
      </c>
      <c r="B41" s="113" t="inlineStr">
        <is>
          <t>¿Este identificado el ciclo de vida que se utilizará en el proyecto?</t>
        </is>
      </c>
      <c r="C41" s="110" t="n"/>
      <c r="D41" s="2" t="inlineStr">
        <is>
          <t>X</t>
        </is>
      </c>
      <c r="E41" s="29" t="n"/>
      <c r="F41" s="29" t="n"/>
      <c r="G41" s="1" t="n"/>
    </row>
    <row r="42" ht="55.7" customHeight="1">
      <c r="A42" s="2" t="n">
        <v>5</v>
      </c>
      <c r="B42" s="113" t="inlineStr">
        <is>
          <t>¿El plan de comunicación aborda la participación de los interesados internos y externos de la organización, mencionando quiénes participan, de qué manera y con qué frecuencia?</t>
        </is>
      </c>
      <c r="C42" s="110" t="n"/>
      <c r="D42" s="2" t="inlineStr">
        <is>
          <t>X</t>
        </is>
      </c>
      <c r="E42" s="29" t="n"/>
      <c r="F42" s="29" t="n"/>
      <c r="G42" s="1" t="n"/>
    </row>
    <row r="43" ht="41.45" customHeight="1">
      <c r="A43" s="2" t="n">
        <v>6</v>
      </c>
      <c r="B43" s="113" t="inlineStr">
        <is>
          <t>¿Se identificaron los recursos necesarios, tanto humanos como herramientas y el entorno para llevar a cabo el proyecto?</t>
        </is>
      </c>
      <c r="C43" s="110" t="n"/>
      <c r="D43" s="2" t="inlineStr">
        <is>
          <t>X</t>
        </is>
      </c>
      <c r="E43" s="29" t="n"/>
      <c r="F43" s="29" t="n"/>
      <c r="G43" s="1" t="n"/>
    </row>
    <row r="44" ht="43.7" customHeight="1">
      <c r="A44" s="2" t="n">
        <v>7</v>
      </c>
      <c r="B44" s="113" t="inlineStr">
        <is>
          <t>¿Se consideró la necesidad de capacitación al personal para las actividades del proyecto que lo requieren?</t>
        </is>
      </c>
      <c r="C44" s="110" t="n"/>
      <c r="D44" s="2" t="inlineStr">
        <is>
          <t>X</t>
        </is>
      </c>
      <c r="E44" s="29" t="n"/>
      <c r="F44" s="29" t="n"/>
      <c r="G44" s="1" t="n"/>
    </row>
    <row r="45" ht="26.1" customHeight="1">
      <c r="A45" s="2" t="n">
        <v>8</v>
      </c>
      <c r="B45" s="113" t="inlineStr">
        <is>
          <t>¿Está definido el organigrama del proyecto?</t>
        </is>
      </c>
      <c r="C45" s="110" t="n"/>
      <c r="D45" s="2" t="inlineStr">
        <is>
          <t>X</t>
        </is>
      </c>
      <c r="E45" s="29" t="n"/>
      <c r="F45" s="29" t="n"/>
      <c r="G45" s="1" t="n"/>
    </row>
    <row r="46" ht="28.35" customHeight="1">
      <c r="A46" s="2" t="n">
        <v>9</v>
      </c>
      <c r="B46" s="113" t="inlineStr">
        <is>
          <t>¿Se elaboró un plan para administrar los riesgos o aprovechar las oportunidades en el proyecto?</t>
        </is>
      </c>
      <c r="C46" s="110" t="n"/>
      <c r="D46" s="2" t="inlineStr">
        <is>
          <t>X</t>
        </is>
      </c>
      <c r="E46" s="29" t="n"/>
      <c r="F46" s="29" t="n"/>
      <c r="G46" s="1" t="n"/>
    </row>
    <row r="47" ht="33" customHeight="1">
      <c r="A47" s="2" t="n">
        <v>10</v>
      </c>
      <c r="B47" s="113" t="inlineStr">
        <is>
          <t>¿Están identificados los planes de soporte para las actividades del proyecto?</t>
        </is>
      </c>
      <c r="C47" s="110" t="n"/>
      <c r="D47" s="2" t="inlineStr">
        <is>
          <t>X</t>
        </is>
      </c>
      <c r="E47" s="29" t="n"/>
      <c r="F47" s="29" t="n"/>
      <c r="G47" s="1" t="n"/>
    </row>
    <row r="48" ht="31.35" customHeight="1">
      <c r="A48" s="2" t="n">
        <v>11</v>
      </c>
      <c r="B48" s="113" t="inlineStr">
        <is>
          <t>¿Es congruente lo mencionado en el enunciado de trabajo con la cotización del cliente?</t>
        </is>
      </c>
      <c r="C48" s="110" t="n"/>
      <c r="D48" s="2" t="n"/>
      <c r="E48" s="29" t="n"/>
      <c r="F48" s="29" t="n"/>
      <c r="G48" s="1" t="n"/>
    </row>
    <row r="49" ht="33" customHeight="1">
      <c r="A49" s="2" t="n">
        <v>12</v>
      </c>
      <c r="B49" s="113" t="inlineStr">
        <is>
          <t>¿Se realizó la presentación de kick off del proyecto para el cliente?</t>
        </is>
      </c>
      <c r="C49" s="110" t="n"/>
      <c r="D49" s="2" t="n"/>
      <c r="E49" s="29" t="n"/>
      <c r="F49" s="29" t="n"/>
      <c r="G49" s="1" t="n"/>
    </row>
    <row r="50" ht="30" customHeight="1">
      <c r="A50" s="2" t="n">
        <v>13</v>
      </c>
      <c r="B50" s="113" t="inlineStr">
        <is>
          <t>¿Existe evidencia tangible del compromiso de los miembros del proyecto?</t>
        </is>
      </c>
      <c r="C50" s="110" t="n"/>
      <c r="D50" s="2" t="n"/>
      <c r="E50" s="29" t="n"/>
      <c r="F50" s="29" t="n"/>
      <c r="G50" s="1" t="n"/>
    </row>
  </sheetData>
  <mergeCells count="53">
    <mergeCell ref="B47:C47"/>
    <mergeCell ref="B16:C16"/>
    <mergeCell ref="D11:F11"/>
    <mergeCell ref="B25:C25"/>
    <mergeCell ref="B46:C46"/>
    <mergeCell ref="E5:F5"/>
    <mergeCell ref="B22:C22"/>
    <mergeCell ref="B31:C31"/>
    <mergeCell ref="B27:C27"/>
    <mergeCell ref="B18:C18"/>
    <mergeCell ref="A1:B3"/>
    <mergeCell ref="E8:F8"/>
    <mergeCell ref="A10:G10"/>
    <mergeCell ref="B43:C43"/>
    <mergeCell ref="B12:C12"/>
    <mergeCell ref="B39:C39"/>
    <mergeCell ref="A13:G13"/>
    <mergeCell ref="E4:F4"/>
    <mergeCell ref="B21:C21"/>
    <mergeCell ref="B48:C48"/>
    <mergeCell ref="B11:C11"/>
    <mergeCell ref="E1:F1"/>
    <mergeCell ref="B42:C42"/>
    <mergeCell ref="B23:C23"/>
    <mergeCell ref="A24:G24"/>
    <mergeCell ref="B14:C14"/>
    <mergeCell ref="B17:C17"/>
    <mergeCell ref="A7:B9"/>
    <mergeCell ref="A36:G36"/>
    <mergeCell ref="B44:C44"/>
    <mergeCell ref="B38:C38"/>
    <mergeCell ref="B29:C29"/>
    <mergeCell ref="E2:F2"/>
    <mergeCell ref="B19:C19"/>
    <mergeCell ref="B37:C37"/>
    <mergeCell ref="B34:C34"/>
    <mergeCell ref="B28:C28"/>
    <mergeCell ref="A4:B6"/>
    <mergeCell ref="B40:C40"/>
    <mergeCell ref="B49:C49"/>
    <mergeCell ref="B30:C30"/>
    <mergeCell ref="B15:C15"/>
    <mergeCell ref="B33:C33"/>
    <mergeCell ref="B26:C26"/>
    <mergeCell ref="E7:F7"/>
    <mergeCell ref="B20:C20"/>
    <mergeCell ref="B45:C45"/>
    <mergeCell ref="B32:C32"/>
    <mergeCell ref="B50:C50"/>
    <mergeCell ref="G11:G12"/>
    <mergeCell ref="B41:C41"/>
    <mergeCell ref="B35:C35"/>
    <mergeCell ref="A11:A12"/>
  </mergeCells>
  <pageMargins left="0.7" right="0.7" top="0.75" bottom="0.75" header="0.3" footer="0.3"/>
  <pageSetup orientation="portrait" paperSize="9" scale="51"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G41"/>
  <sheetViews>
    <sheetView showGridLines="0" topLeftCell="A22" zoomScale="90" zoomScaleNormal="90" workbookViewId="0">
      <selection activeCell="K27" sqref="K27"/>
    </sheetView>
  </sheetViews>
  <sheetFormatPr baseColWidth="8" defaultColWidth="10.85546875" defaultRowHeight="14.45"/>
  <cols>
    <col width="27.85546875" customWidth="1" min="2" max="2"/>
    <col width="19.85546875" customWidth="1" min="3" max="3"/>
    <col width="20.5703125" customWidth="1" min="4" max="4"/>
    <col width="21" customWidth="1" min="5" max="5"/>
    <col width="13.85546875" customWidth="1" min="6" max="6"/>
    <col width="49.42578125" customWidth="1" min="7" max="7"/>
  </cols>
  <sheetData>
    <row r="1" ht="15.6" customHeight="1">
      <c r="A1" s="116" t="inlineStr">
        <is>
          <t>Diseño de software</t>
        </is>
      </c>
      <c r="B1" s="102" t="n"/>
      <c r="C1" s="11" t="inlineStr">
        <is>
          <t>Fecha auditoría</t>
        </is>
      </c>
      <c r="D1" s="1" t="inlineStr">
        <is>
          <t>26/07/2026</t>
        </is>
      </c>
      <c r="E1" s="18" t="inlineStr">
        <is>
          <t>Preguntas aprobadas</t>
        </is>
      </c>
      <c r="F1" s="110" t="n"/>
      <c r="G1" s="9">
        <f>COUNTA(D14:D24)+COUNTA(F14:F24)</f>
        <v/>
      </c>
    </row>
    <row r="2" ht="15.6" customHeight="1">
      <c r="A2" s="109" t="n"/>
      <c r="B2" s="111" t="n"/>
      <c r="C2" s="11" t="inlineStr">
        <is>
          <t>Auditor</t>
        </is>
      </c>
      <c r="D2" s="1" t="inlineStr">
        <is>
          <t>Miguel A. López Hernández</t>
        </is>
      </c>
      <c r="E2" s="18" t="inlineStr">
        <is>
          <t>% de apego</t>
        </is>
      </c>
      <c r="F2" s="110" t="n"/>
      <c r="G2" s="10">
        <f>G1/COUNT(A14:A24)</f>
        <v/>
      </c>
    </row>
    <row r="3">
      <c r="A3" s="103" t="n"/>
      <c r="B3" s="104" t="n"/>
      <c r="C3" s="17" t="inlineStr">
        <is>
          <t>Auditado</t>
        </is>
      </c>
      <c r="D3" s="1" t="inlineStr">
        <is>
          <t>Carlos Quintero Nava</t>
        </is>
      </c>
    </row>
    <row r="4" ht="15.6" customHeight="1">
      <c r="A4" s="116" t="inlineStr">
        <is>
          <t>Construcción</t>
        </is>
      </c>
      <c r="B4" s="102" t="n"/>
      <c r="C4" s="11" t="inlineStr">
        <is>
          <t>Fecha auditoría</t>
        </is>
      </c>
      <c r="D4" s="1" t="inlineStr">
        <is>
          <t>26/07/2026</t>
        </is>
      </c>
      <c r="E4" s="18" t="inlineStr">
        <is>
          <t>Preguntas aprobadas</t>
        </is>
      </c>
      <c r="F4" s="110" t="n"/>
      <c r="G4" s="9">
        <f>COUNTA(D26:D34)+COUNTA(F26:F34)</f>
        <v/>
      </c>
    </row>
    <row r="5" ht="15.6" customHeight="1">
      <c r="A5" s="109" t="n"/>
      <c r="B5" s="111" t="n"/>
      <c r="C5" s="11" t="inlineStr">
        <is>
          <t>Auditor</t>
        </is>
      </c>
      <c r="D5" s="1" t="inlineStr">
        <is>
          <t>Miguel A. López Hernández</t>
        </is>
      </c>
      <c r="E5" s="18" t="inlineStr">
        <is>
          <t>% de apego</t>
        </is>
      </c>
      <c r="F5" s="110" t="n"/>
      <c r="G5" s="10">
        <f>G4/COUNT(A26:A34)</f>
        <v/>
      </c>
    </row>
    <row r="6">
      <c r="A6" s="103" t="n"/>
      <c r="B6" s="104" t="n"/>
      <c r="C6" s="17" t="inlineStr">
        <is>
          <t>Auditado</t>
        </is>
      </c>
      <c r="D6" s="1" t="inlineStr">
        <is>
          <t>Carlos Quintero Nava</t>
        </is>
      </c>
    </row>
    <row r="7" ht="15.6" customHeight="1">
      <c r="A7" s="116" t="inlineStr">
        <is>
          <t>Revisión entre pares</t>
        </is>
      </c>
      <c r="B7" s="102" t="n"/>
      <c r="C7" s="11" t="inlineStr">
        <is>
          <t>Fecha auditoría</t>
        </is>
      </c>
      <c r="D7" s="1" t="inlineStr">
        <is>
          <t>26/07/2026</t>
        </is>
      </c>
      <c r="E7" s="18" t="inlineStr">
        <is>
          <t>Preguntas aprobadas</t>
        </is>
      </c>
      <c r="F7" s="110" t="n"/>
      <c r="G7" s="9">
        <f>COUNTA(D36:D41)+COUNTA(F36:F41)</f>
        <v/>
      </c>
    </row>
    <row r="8" ht="15.6" customHeight="1">
      <c r="A8" s="109" t="n"/>
      <c r="B8" s="111" t="n"/>
      <c r="C8" s="11" t="inlineStr">
        <is>
          <t>Auditor</t>
        </is>
      </c>
      <c r="D8" s="1" t="inlineStr">
        <is>
          <t>Miguel A. López Hernández</t>
        </is>
      </c>
      <c r="E8" s="18" t="inlineStr">
        <is>
          <t>% de apego</t>
        </is>
      </c>
      <c r="F8" s="110" t="n"/>
      <c r="G8" s="10">
        <f>G7/COUNT(A36:A41)</f>
        <v/>
      </c>
    </row>
    <row r="9">
      <c r="A9" s="103" t="n"/>
      <c r="B9" s="104" t="n"/>
      <c r="C9" s="17" t="inlineStr">
        <is>
          <t>Auditado</t>
        </is>
      </c>
      <c r="D9" s="1" t="inlineStr">
        <is>
          <t>Carlos Quintero Nava</t>
        </is>
      </c>
    </row>
    <row r="10" ht="21" customHeight="1">
      <c r="A10" s="46" t="inlineStr">
        <is>
          <t>Auditoria de proyecto / Ejecución 1</t>
        </is>
      </c>
      <c r="B10" s="105" t="n"/>
      <c r="C10" s="105" t="n"/>
      <c r="D10" s="105" t="n"/>
      <c r="E10" s="105" t="n"/>
      <c r="F10" s="105" t="n"/>
      <c r="G10" s="105" t="n"/>
    </row>
    <row r="11" ht="15.75" customHeight="1">
      <c r="A11" s="101" t="inlineStr">
        <is>
          <t>No.</t>
        </is>
      </c>
      <c r="B11" s="69" t="inlineStr">
        <is>
          <t>Verificación</t>
        </is>
      </c>
      <c r="C11" s="110" t="n"/>
      <c r="D11" s="68" t="inlineStr">
        <is>
          <t>Condiciones</t>
        </is>
      </c>
      <c r="E11" s="112" t="n"/>
      <c r="F11" s="110" t="n"/>
      <c r="G11" s="69" t="inlineStr">
        <is>
          <t>Observaciones</t>
        </is>
      </c>
    </row>
    <row r="12" ht="15.6" customHeight="1">
      <c r="A12" s="108" t="n"/>
      <c r="B12" s="117" t="inlineStr">
        <is>
          <t>Criterio a verificar</t>
        </is>
      </c>
      <c r="C12" s="104" t="n"/>
      <c r="D12" s="69" t="inlineStr">
        <is>
          <t>Sí</t>
        </is>
      </c>
      <c r="E12" s="69" t="inlineStr">
        <is>
          <t>No</t>
        </is>
      </c>
      <c r="F12" s="69" t="inlineStr">
        <is>
          <t>No aplica</t>
        </is>
      </c>
      <c r="G12" s="108" t="n"/>
    </row>
    <row r="13">
      <c r="A13" s="34" t="inlineStr">
        <is>
          <t>Diseño de software</t>
        </is>
      </c>
      <c r="B13" s="112" t="n"/>
      <c r="C13" s="112" t="n"/>
      <c r="D13" s="112" t="n"/>
      <c r="E13" s="112" t="n"/>
      <c r="F13" s="112" t="n"/>
      <c r="G13" s="110" t="n"/>
    </row>
    <row r="14" ht="44.45" customHeight="1">
      <c r="A14" s="2" t="n">
        <v>1</v>
      </c>
      <c r="B14" s="113" t="inlineStr">
        <is>
          <t>¿Cuándo se evalúa y seleccionan alternativas para abordar requisitos se registran los resultados acordados?</t>
        </is>
      </c>
      <c r="C14" s="110" t="n"/>
      <c r="D14" s="2" t="inlineStr">
        <is>
          <t>X</t>
        </is>
      </c>
      <c r="E14" s="2" t="n"/>
      <c r="F14" s="2" t="n"/>
      <c r="G14" s="1" t="n"/>
    </row>
    <row r="15" ht="165" customHeight="1">
      <c r="A15" s="2" t="n">
        <v>2</v>
      </c>
      <c r="B15" s="113" t="inlineStr">
        <is>
          <t>¿Al definir la arquitectura se consideraron los siguientes aspectos:
-Requisitos fun. Y no fun. Del sistema, necesidades de usuario, rendimiento, escalabilidad y disponibilidad
-Diseño a alto nivel de estructura general, componentes, módulos y subsistemas
-Patrones arquitectónicos apropiados
-Tecnologías y plataformas que se utilizarán en el desarrollo
-Manejo de excepciones?</t>
        </is>
      </c>
      <c r="C15" s="110" t="n"/>
      <c r="D15" s="2" t="inlineStr">
        <is>
          <t>X</t>
        </is>
      </c>
      <c r="E15" s="2" t="n"/>
      <c r="F15" s="2" t="n"/>
      <c r="G15" s="1" t="n"/>
    </row>
    <row r="16" ht="28.7" customHeight="1">
      <c r="A16" s="2" t="n">
        <v>3</v>
      </c>
      <c r="B16" s="113" t="inlineStr">
        <is>
          <t>¿Se tiene un diseño de interfaces de acuerdo con el doc. Especificación de requisitos?</t>
        </is>
      </c>
      <c r="C16" s="110" t="n"/>
      <c r="D16" s="2" t="inlineStr">
        <is>
          <t>X</t>
        </is>
      </c>
      <c r="E16" s="2" t="n"/>
      <c r="F16" s="2" t="n"/>
      <c r="G16" s="1" t="n"/>
    </row>
    <row r="17" ht="45.6" customHeight="1">
      <c r="A17" s="2" t="n">
        <v>4</v>
      </c>
      <c r="B17" s="113" t="inlineStr">
        <is>
          <t>¿El diseño detallado especifica la implementación de los componentes y módulos del sistema incluyendo interfaces, interacciones y flujo de datos?</t>
        </is>
      </c>
      <c r="C17" s="110" t="n"/>
      <c r="D17" s="2" t="inlineStr">
        <is>
          <t>X</t>
        </is>
      </c>
      <c r="E17" s="2" t="n"/>
      <c r="F17" s="2" t="n"/>
      <c r="G17" s="1" t="n"/>
    </row>
    <row r="18" ht="27" customHeight="1">
      <c r="A18" s="2" t="n">
        <v>5</v>
      </c>
      <c r="B18" s="113" t="inlineStr">
        <is>
          <t>¿Se realizó auditoria de configuración al documento de diseño de software?</t>
        </is>
      </c>
      <c r="C18" s="110" t="n"/>
      <c r="D18" s="2" t="n"/>
      <c r="E18" s="2" t="inlineStr">
        <is>
          <t>X</t>
        </is>
      </c>
      <c r="F18" s="2" t="n"/>
      <c r="G18" s="1" t="inlineStr">
        <is>
          <t>La auditoría de configuración de documentación cubrió la Especificación de requisitos; no se realizó una auditoría específica al documento de Diseño de software.</t>
        </is>
      </c>
    </row>
    <row r="19" ht="33.6" customHeight="1">
      <c r="A19" s="2" t="n">
        <v>6</v>
      </c>
      <c r="B19" s="113" t="inlineStr">
        <is>
          <t>¿Se comunicó a las personas interesadas los resultados de la auditoria al documento diseño de software?</t>
        </is>
      </c>
      <c r="C19" s="110" t="n"/>
      <c r="D19" s="2" t="inlineStr">
        <is>
          <t>X</t>
        </is>
      </c>
      <c r="E19" s="2" t="n"/>
      <c r="F19" s="2" t="n"/>
      <c r="G19" s="1" t="n"/>
    </row>
    <row r="20" ht="30.6" customHeight="1">
      <c r="A20" s="2" t="n">
        <v>7</v>
      </c>
      <c r="B20" s="113" t="inlineStr">
        <is>
          <t>¿El documento de diseño de software tiene línea base actualizada?</t>
        </is>
      </c>
      <c r="C20" s="110" t="n"/>
      <c r="D20" s="2" t="inlineStr">
        <is>
          <t>X</t>
        </is>
      </c>
      <c r="E20" s="2" t="n"/>
      <c r="F20" s="2" t="n"/>
      <c r="G20" s="1" t="n"/>
    </row>
    <row r="21" ht="20.45" customHeight="1">
      <c r="A21" s="2" t="n">
        <v>8</v>
      </c>
      <c r="B21" s="113" t="inlineStr">
        <is>
          <t>¿Se diseñaron casos de prueba?</t>
        </is>
      </c>
      <c r="C21" s="110" t="n"/>
      <c r="D21" s="2" t="inlineStr">
        <is>
          <t>X</t>
        </is>
      </c>
      <c r="E21" s="2" t="n"/>
      <c r="F21" s="2" t="n"/>
      <c r="G21" s="1" t="n"/>
    </row>
    <row r="22" ht="30" customHeight="1">
      <c r="A22" s="2" t="n">
        <v>9</v>
      </c>
      <c r="B22" s="113" t="inlineStr">
        <is>
          <t>¿El manual  de operaciones y de mantenimiento fueron evaluados en revisión entre pares?</t>
        </is>
      </c>
      <c r="C22" s="110" t="n"/>
      <c r="D22" s="2" t="inlineStr">
        <is>
          <t>X</t>
        </is>
      </c>
      <c r="E22" s="2" t="n"/>
      <c r="F22" s="2" t="n"/>
      <c r="G22" s="1" t="n"/>
    </row>
    <row r="23" ht="29.1" customHeight="1">
      <c r="A23" s="2" t="n">
        <v>10</v>
      </c>
      <c r="B23" s="113" t="inlineStr">
        <is>
          <t>¿Se realizó auditoría al manual  de operaciones y de mantenimiento?</t>
        </is>
      </c>
      <c r="C23" s="110" t="n"/>
      <c r="D23" s="2" t="n"/>
      <c r="E23" s="2" t="inlineStr">
        <is>
          <t>X</t>
        </is>
      </c>
      <c r="F23" s="2" t="n"/>
      <c r="G23" s="1" t="inlineStr">
        <is>
          <t>No se realizó una auditoría de configuración específica a los manuales de operaciones y mantenimiento.</t>
        </is>
      </c>
    </row>
    <row r="24" ht="18.6" customHeight="1">
      <c r="A24" s="2" t="n">
        <v>11</v>
      </c>
      <c r="B24" s="113" t="inlineStr">
        <is>
          <t>¿Los manuales tienen línea base actualizada?</t>
        </is>
      </c>
      <c r="C24" s="110" t="n"/>
      <c r="D24" s="2" t="inlineStr">
        <is>
          <t>X</t>
        </is>
      </c>
      <c r="E24" s="2" t="n"/>
      <c r="F24" s="2" t="n"/>
      <c r="G24" s="1" t="n"/>
    </row>
    <row r="25">
      <c r="A25" s="34" t="inlineStr">
        <is>
          <t>Construcción</t>
        </is>
      </c>
      <c r="B25" s="112" t="n"/>
      <c r="C25" s="112" t="n"/>
      <c r="D25" s="112" t="n"/>
      <c r="E25" s="112" t="n"/>
      <c r="F25" s="112" t="n"/>
      <c r="G25" s="110" t="n"/>
    </row>
    <row r="26" ht="45.6" customHeight="1">
      <c r="A26" s="2" t="n">
        <v>1</v>
      </c>
      <c r="B26" s="113" t="inlineStr">
        <is>
          <t>¿Se tomaron en cuenta los estándares de codificación y la secuencia de integración al codificar componentes?</t>
        </is>
      </c>
      <c r="C26" s="110" t="n"/>
      <c r="D26" s="2" t="inlineStr">
        <is>
          <t>X</t>
        </is>
      </c>
      <c r="E26" s="2" t="n"/>
      <c r="F26" s="2" t="n"/>
      <c r="G26" s="1" t="n"/>
    </row>
    <row r="27" ht="29.45" customHeight="1">
      <c r="A27" s="2" t="n">
        <v>2</v>
      </c>
      <c r="B27" s="113" t="inlineStr">
        <is>
          <t>¿Se realizaron pruebas unitarias a cada componente codificado?</t>
        </is>
      </c>
      <c r="C27" s="110" t="n"/>
      <c r="D27" s="2" t="inlineStr">
        <is>
          <t>X</t>
        </is>
      </c>
      <c r="E27" s="2" t="n"/>
      <c r="F27" s="2" t="n"/>
      <c r="G27" s="1" t="n"/>
    </row>
    <row r="28" ht="28.35" customHeight="1">
      <c r="A28" s="2" t="n">
        <v>3</v>
      </c>
      <c r="B28" s="113" t="inlineStr">
        <is>
          <t>¿Se utilizó el checklist de integración para preparar la integración?</t>
        </is>
      </c>
      <c r="C28" s="110" t="n"/>
      <c r="D28" s="2" t="inlineStr">
        <is>
          <t>X</t>
        </is>
      </c>
      <c r="E28" s="2" t="n"/>
      <c r="F28" s="2" t="n"/>
      <c r="G28" s="1" t="n"/>
    </row>
    <row r="29" ht="28.35" customHeight="1">
      <c r="A29" s="2" t="n">
        <v>4</v>
      </c>
      <c r="B29" s="113" t="inlineStr">
        <is>
          <t>¿Se utilizo el documento estrategia de integración para llevar a cabo la integración de componentes?</t>
        </is>
      </c>
      <c r="C29" s="110" t="n"/>
      <c r="D29" s="2" t="inlineStr">
        <is>
          <t>X</t>
        </is>
      </c>
      <c r="E29" s="2" t="n"/>
      <c r="F29" s="2" t="n"/>
      <c r="G29" s="1" t="n"/>
    </row>
    <row r="30">
      <c r="A30" s="2" t="n">
        <v>5</v>
      </c>
      <c r="B30" s="114" t="inlineStr">
        <is>
          <t>¿Se realizaron pruebas de integración?</t>
        </is>
      </c>
      <c r="C30" s="110" t="n"/>
      <c r="D30" s="2" t="inlineStr">
        <is>
          <t>X</t>
        </is>
      </c>
      <c r="E30" s="2" t="n"/>
      <c r="F30" s="2" t="n"/>
      <c r="G30" s="1" t="n"/>
    </row>
    <row r="31" ht="28.35" customHeight="1">
      <c r="A31" s="2" t="n">
        <v>6</v>
      </c>
      <c r="B31" s="113" t="inlineStr">
        <is>
          <t>¿Se informo a las personas interesadas el resultado de estas pruebas?</t>
        </is>
      </c>
      <c r="C31" s="110" t="n"/>
      <c r="D31" s="2" t="inlineStr">
        <is>
          <t>X</t>
        </is>
      </c>
      <c r="E31" s="2" t="n"/>
      <c r="F31" s="2" t="n"/>
      <c r="G31" s="1" t="n"/>
    </row>
    <row r="32" ht="18" customHeight="1">
      <c r="A32" s="2" t="n">
        <v>7</v>
      </c>
      <c r="B32" s="113" t="inlineStr">
        <is>
          <t>¿Se registraron los resultados de las pruebas?</t>
        </is>
      </c>
      <c r="C32" s="110" t="n"/>
      <c r="D32" s="2" t="inlineStr">
        <is>
          <t>X</t>
        </is>
      </c>
      <c r="E32" s="2" t="n"/>
      <c r="F32" s="2" t="n"/>
      <c r="G32" s="1" t="n"/>
    </row>
    <row r="33" ht="45.6" customHeight="1">
      <c r="A33" s="2" t="n">
        <v>8</v>
      </c>
      <c r="B33" s="113" t="inlineStr">
        <is>
          <t>¿En caso de tener defectos, se registraron y se les dio seguimiento en el documento gestión de pruebas en la hoja pruebas internas?</t>
        </is>
      </c>
      <c r="C33" s="110" t="n"/>
      <c r="D33" s="2" t="n"/>
      <c r="E33" s="2" t="inlineStr">
        <is>
          <t>X</t>
        </is>
      </c>
      <c r="F33" s="2" t="n"/>
      <c r="G33" s="1" t="inlineStr">
        <is>
          <t>El defecto real (DEF-01) se registró en FT-Gestión de incidencias, no en la hoja "pruebas internas" del documento de gestión de pruebas como establece el criterio.</t>
        </is>
      </c>
    </row>
    <row r="34" ht="20.1" customHeight="1">
      <c r="A34" s="2" t="n">
        <v>9</v>
      </c>
      <c r="B34" s="113" t="inlineStr">
        <is>
          <t>¿Se tiene versión de software?</t>
        </is>
      </c>
      <c r="C34" s="110" t="n"/>
      <c r="D34" s="2" t="inlineStr">
        <is>
          <t>X</t>
        </is>
      </c>
      <c r="E34" s="2" t="n"/>
      <c r="F34" s="2" t="n"/>
      <c r="G34" s="1" t="n"/>
    </row>
    <row r="35">
      <c r="A35" s="34" t="inlineStr">
        <is>
          <t>Revisión por pares</t>
        </is>
      </c>
      <c r="B35" s="112" t="n"/>
      <c r="C35" s="112" t="n"/>
      <c r="D35" s="112" t="n"/>
      <c r="E35" s="112" t="n"/>
      <c r="F35" s="112" t="n"/>
      <c r="G35" s="110" t="n"/>
    </row>
    <row r="36" ht="18" customHeight="1">
      <c r="A36" s="2" t="n">
        <v>1</v>
      </c>
      <c r="B36" s="113" t="inlineStr">
        <is>
          <t>¿La lista de verificación se encuentra actualizada?</t>
        </is>
      </c>
      <c r="C36" s="110" t="n"/>
      <c r="D36" s="2" t="inlineStr">
        <is>
          <t>X</t>
        </is>
      </c>
      <c r="E36" s="2" t="n"/>
      <c r="F36" s="2" t="n"/>
      <c r="G36" s="1" t="n"/>
    </row>
    <row r="37" ht="46.35" customHeight="1">
      <c r="A37" s="2" t="n">
        <v>2</v>
      </c>
      <c r="B37" s="113" t="inlineStr">
        <is>
          <t>¿La lista de verificación contiene todos los elementos requeridos para la revisión del producto de trabajo específico?</t>
        </is>
      </c>
      <c r="C37" s="110" t="n"/>
      <c r="D37" s="2" t="inlineStr">
        <is>
          <t>X</t>
        </is>
      </c>
      <c r="E37" s="2" t="n"/>
      <c r="F37" s="2" t="n"/>
      <c r="G37" s="1" t="n"/>
    </row>
    <row r="38" ht="31.35" customHeight="1">
      <c r="A38" s="2" t="n">
        <v>3</v>
      </c>
      <c r="B38" s="113" t="inlineStr">
        <is>
          <t xml:space="preserve">¿Los resultados de la revisión entre pares se encuentran en el checklist? </t>
        </is>
      </c>
      <c r="C38" s="110" t="n"/>
      <c r="D38" s="2" t="inlineStr">
        <is>
          <t>X</t>
        </is>
      </c>
      <c r="E38" s="2" t="n"/>
      <c r="F38" s="2" t="n"/>
      <c r="G38" s="1" t="n"/>
    </row>
    <row r="39" ht="40.35" customHeight="1">
      <c r="A39" s="2" t="n">
        <v>4</v>
      </c>
      <c r="B39" s="113" t="inlineStr">
        <is>
          <t xml:space="preserve">¿El correo que comparte los resultados de la revisión contiene el enlace al documento (Checklist)? </t>
        </is>
      </c>
      <c r="C39" s="110" t="n"/>
      <c r="D39" s="2" t="inlineStr">
        <is>
          <t>X</t>
        </is>
      </c>
      <c r="E39" s="2" t="n"/>
      <c r="F39" s="2" t="n"/>
      <c r="G39" s="1" t="n"/>
    </row>
    <row r="40" ht="31.35" customHeight="1">
      <c r="A40" s="2" t="n">
        <v>5</v>
      </c>
      <c r="B40" s="113" t="inlineStr">
        <is>
          <t>¿En caso de tener defectos, se menciona la fecha para resolver defecto?</t>
        </is>
      </c>
      <c r="C40" s="110" t="n"/>
      <c r="D40" s="2" t="inlineStr">
        <is>
          <t>X</t>
        </is>
      </c>
      <c r="E40" s="2" t="n"/>
      <c r="F40" s="2" t="n"/>
      <c r="G40" s="1" t="n"/>
    </row>
    <row r="41" ht="48" customHeight="1">
      <c r="A41" s="2" t="n">
        <v>6</v>
      </c>
      <c r="B41" s="113" t="inlineStr">
        <is>
          <t>¿Después de resolver defectos, se actualizó la versión del documento de acuerdo al control de versiones del, plan de gestión de la configuración?</t>
        </is>
      </c>
      <c r="C41" s="110" t="n"/>
      <c r="D41" s="2" t="inlineStr">
        <is>
          <t>X</t>
        </is>
      </c>
      <c r="E41" s="2" t="n"/>
      <c r="F41" s="2" t="n"/>
      <c r="G41" s="1" t="n"/>
    </row>
  </sheetData>
  <mergeCells count="44">
    <mergeCell ref="B16:C16"/>
    <mergeCell ref="D11:F11"/>
    <mergeCell ref="A35:G35"/>
    <mergeCell ref="E5:F5"/>
    <mergeCell ref="B22:C22"/>
    <mergeCell ref="B31:C31"/>
    <mergeCell ref="B27:C27"/>
    <mergeCell ref="B18:C18"/>
    <mergeCell ref="A1:B3"/>
    <mergeCell ref="E8:F8"/>
    <mergeCell ref="A10:G10"/>
    <mergeCell ref="B12:C12"/>
    <mergeCell ref="B39:C39"/>
    <mergeCell ref="A13:G13"/>
    <mergeCell ref="E4:F4"/>
    <mergeCell ref="B21:C21"/>
    <mergeCell ref="B11:C11"/>
    <mergeCell ref="E1:F1"/>
    <mergeCell ref="B23:C23"/>
    <mergeCell ref="B14:C14"/>
    <mergeCell ref="B17:C17"/>
    <mergeCell ref="A7:B9"/>
    <mergeCell ref="B38:C38"/>
    <mergeCell ref="B29:C29"/>
    <mergeCell ref="E2:F2"/>
    <mergeCell ref="B19:C19"/>
    <mergeCell ref="B34:C34"/>
    <mergeCell ref="B37:C37"/>
    <mergeCell ref="B28:C28"/>
    <mergeCell ref="B40:C40"/>
    <mergeCell ref="A25:G25"/>
    <mergeCell ref="B24:C24"/>
    <mergeCell ref="B30:C30"/>
    <mergeCell ref="B15:C15"/>
    <mergeCell ref="B33:C33"/>
    <mergeCell ref="B26:C26"/>
    <mergeCell ref="E7:F7"/>
    <mergeCell ref="B20:C20"/>
    <mergeCell ref="B36:C36"/>
    <mergeCell ref="B32:C32"/>
    <mergeCell ref="A4:B6"/>
    <mergeCell ref="B41:C41"/>
    <mergeCell ref="G11:G12"/>
    <mergeCell ref="A11:A12"/>
  </mergeCells>
  <pageMargins left="0.7" right="0.7" top="0.75" bottom="0.75" header="0.3" footer="0.3"/>
  <pageSetup orientation="portrait" paperSize="9" scale="53" horizontalDpi="0" verticalDpi="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41"/>
  <sheetViews>
    <sheetView showGridLines="0" zoomScale="85" zoomScaleNormal="85" workbookViewId="0">
      <selection activeCell="A10" sqref="A10:G10"/>
    </sheetView>
  </sheetViews>
  <sheetFormatPr baseColWidth="8" defaultColWidth="10.85546875" defaultRowHeight="14.45"/>
  <cols>
    <col width="8" customWidth="1" min="1" max="1"/>
    <col width="22.5703125" customWidth="1" min="2" max="2"/>
    <col width="23.42578125" customWidth="1" min="3" max="3"/>
    <col width="20.85546875" customWidth="1" min="4" max="4"/>
    <col width="23.5703125" customWidth="1" min="7" max="7"/>
  </cols>
  <sheetData>
    <row r="1" ht="15.6" customHeight="1">
      <c r="A1" s="116" t="inlineStr">
        <is>
          <t>Diseño de software</t>
        </is>
      </c>
      <c r="B1" s="102" t="n"/>
      <c r="C1" s="18" t="inlineStr">
        <is>
          <t>Fecha auditoría</t>
        </is>
      </c>
      <c r="D1" s="9" t="inlineStr">
        <is>
          <t>dd/mm/aaaa</t>
        </is>
      </c>
      <c r="E1" s="18" t="inlineStr">
        <is>
          <t>Preguntas aprobadas</t>
        </is>
      </c>
      <c r="F1" s="110" t="n"/>
      <c r="G1" s="9">
        <f>COUNTA(D14:D24)+COUNTA(F14:F24)</f>
        <v/>
      </c>
    </row>
    <row r="2" ht="15.6" customHeight="1">
      <c r="A2" s="109" t="n"/>
      <c r="B2" s="111" t="n"/>
      <c r="C2" s="18" t="inlineStr">
        <is>
          <t>Auditor</t>
        </is>
      </c>
      <c r="D2" s="9" t="inlineStr">
        <is>
          <t>Nombre y apellido</t>
        </is>
      </c>
      <c r="E2" s="18" t="inlineStr">
        <is>
          <t>% de apego</t>
        </is>
      </c>
      <c r="F2" s="110" t="n"/>
      <c r="G2" s="10">
        <f>G1/COUNT(A14:A24)</f>
        <v/>
      </c>
    </row>
    <row r="3">
      <c r="A3" s="103" t="n"/>
      <c r="B3" s="104" t="n"/>
      <c r="C3" s="19" t="inlineStr">
        <is>
          <t>Auditado</t>
        </is>
      </c>
      <c r="D3" s="9" t="inlineStr">
        <is>
          <t>Nombre y apellido</t>
        </is>
      </c>
    </row>
    <row r="4" ht="15.6" customHeight="1">
      <c r="A4" s="116" t="inlineStr">
        <is>
          <t>Construcción</t>
        </is>
      </c>
      <c r="B4" s="102" t="n"/>
      <c r="C4" s="18" t="inlineStr">
        <is>
          <t>Fecha auditoría</t>
        </is>
      </c>
      <c r="D4" s="9" t="inlineStr">
        <is>
          <t>dd/mm/aaaa</t>
        </is>
      </c>
      <c r="E4" s="18" t="inlineStr">
        <is>
          <t>Preguntas aprobadas</t>
        </is>
      </c>
      <c r="F4" s="110" t="n"/>
      <c r="G4" s="9">
        <f>COUNTA(D26:D34)+COUNTA(F26:F34)</f>
        <v/>
      </c>
    </row>
    <row r="5" ht="15.6" customHeight="1">
      <c r="A5" s="109" t="n"/>
      <c r="B5" s="111" t="n"/>
      <c r="C5" s="18" t="inlineStr">
        <is>
          <t>Auditor</t>
        </is>
      </c>
      <c r="D5" s="9" t="inlineStr">
        <is>
          <t>Nombre y apellido</t>
        </is>
      </c>
      <c r="E5" s="18" t="inlineStr">
        <is>
          <t>% de apego</t>
        </is>
      </c>
      <c r="F5" s="110" t="n"/>
      <c r="G5" s="10">
        <f>G4/COUNT(A26:A34)</f>
        <v/>
      </c>
    </row>
    <row r="6">
      <c r="A6" s="103" t="n"/>
      <c r="B6" s="104" t="n"/>
      <c r="C6" s="19" t="inlineStr">
        <is>
          <t>Auditado</t>
        </is>
      </c>
      <c r="D6" s="9" t="inlineStr">
        <is>
          <t>Nombre y apellido</t>
        </is>
      </c>
    </row>
    <row r="7" ht="15.6" customHeight="1">
      <c r="A7" s="116" t="inlineStr">
        <is>
          <t>Revisión entre pares</t>
        </is>
      </c>
      <c r="B7" s="102" t="n"/>
      <c r="C7" s="18" t="inlineStr">
        <is>
          <t>Fecha auditoría</t>
        </is>
      </c>
      <c r="D7" s="9" t="inlineStr">
        <is>
          <t>dd/mm/aaaa</t>
        </is>
      </c>
      <c r="E7" s="18" t="inlineStr">
        <is>
          <t>Preguntas aprobadas</t>
        </is>
      </c>
      <c r="F7" s="110" t="n"/>
      <c r="G7" s="9">
        <f>COUNTA(D36:D41)+COUNTA(F36:F41)</f>
        <v/>
      </c>
    </row>
    <row r="8" ht="15.6" customHeight="1">
      <c r="A8" s="109" t="n"/>
      <c r="B8" s="111" t="n"/>
      <c r="C8" s="18" t="inlineStr">
        <is>
          <t>Auditor</t>
        </is>
      </c>
      <c r="D8" s="9" t="inlineStr">
        <is>
          <t>Nombre y apellido</t>
        </is>
      </c>
      <c r="E8" s="18" t="inlineStr">
        <is>
          <t>% de apego</t>
        </is>
      </c>
      <c r="F8" s="110" t="n"/>
      <c r="G8" s="10">
        <f>G7/COUNT(A36:A41)</f>
        <v/>
      </c>
    </row>
    <row r="9">
      <c r="A9" s="103" t="n"/>
      <c r="B9" s="104" t="n"/>
      <c r="C9" s="19" t="inlineStr">
        <is>
          <t>Auditado</t>
        </is>
      </c>
      <c r="D9" s="9" t="inlineStr">
        <is>
          <t>Nombre y apellido</t>
        </is>
      </c>
    </row>
    <row r="10" ht="21" customHeight="1">
      <c r="A10" s="46" t="inlineStr">
        <is>
          <t>Auditoria de proyecto / Ejecución 1</t>
        </is>
      </c>
      <c r="B10" s="105" t="n"/>
      <c r="C10" s="105" t="n"/>
      <c r="D10" s="105" t="n"/>
      <c r="E10" s="105" t="n"/>
      <c r="F10" s="105" t="n"/>
      <c r="G10" s="105" t="n"/>
    </row>
    <row r="11" ht="15.6" customHeight="1">
      <c r="A11" s="101" t="inlineStr">
        <is>
          <t>No.</t>
        </is>
      </c>
      <c r="B11" s="118" t="inlineStr">
        <is>
          <t>Verificación</t>
        </is>
      </c>
      <c r="C11" s="102" t="n"/>
      <c r="D11" s="68" t="inlineStr">
        <is>
          <t>Condiciones</t>
        </is>
      </c>
      <c r="E11" s="112" t="n"/>
      <c r="F11" s="110" t="n"/>
      <c r="G11" s="69" t="inlineStr">
        <is>
          <t>Observaciones</t>
        </is>
      </c>
    </row>
    <row r="12" ht="15.6" customHeight="1">
      <c r="A12" s="108" t="n"/>
      <c r="B12" s="117" t="inlineStr">
        <is>
          <t>Criterio a verificar</t>
        </is>
      </c>
      <c r="C12" s="104" t="n"/>
      <c r="D12" s="69" t="inlineStr">
        <is>
          <t>Sí</t>
        </is>
      </c>
      <c r="E12" s="69" t="inlineStr">
        <is>
          <t>No</t>
        </is>
      </c>
      <c r="F12" s="69" t="inlineStr">
        <is>
          <t>No aplica</t>
        </is>
      </c>
      <c r="G12" s="108" t="n"/>
    </row>
    <row r="13">
      <c r="A13" s="34" t="inlineStr">
        <is>
          <t>Diseño de software</t>
        </is>
      </c>
      <c r="B13" s="112" t="n"/>
      <c r="C13" s="112" t="n"/>
      <c r="D13" s="112" t="n"/>
      <c r="E13" s="112" t="n"/>
      <c r="F13" s="112" t="n"/>
      <c r="G13" s="110" t="n"/>
    </row>
    <row r="14" ht="45.6" customHeight="1">
      <c r="A14" s="2" t="n">
        <v>1</v>
      </c>
      <c r="B14" s="113" t="inlineStr">
        <is>
          <t>¿Cuándo se evalúa y seleccionan alternativas para abordar requisitos se registran los resultados acordados?</t>
        </is>
      </c>
      <c r="C14" s="110" t="n"/>
      <c r="D14" s="2" t="n"/>
      <c r="E14" s="2" t="n"/>
      <c r="F14" s="2" t="n"/>
      <c r="G14" s="1" t="n"/>
    </row>
    <row r="15" ht="159.6" customHeight="1">
      <c r="A15" s="2" t="n">
        <v>2</v>
      </c>
      <c r="B15" s="113" t="inlineStr">
        <is>
          <t>¿Al definir la arquitectura se consideraron los siguientes aspectos:
-Requisitos fun. Y no fun. Del sistema, necesidades de usuario, rendimiento, escalabilidad y disponibilidad
-Diseño a alto nivel de estructura general, componentes, módulos y subsistemas
-Patrones arquitectónicos apropiados
-Tecnologías y plataformas que se utilizarán en el desarrollo
-Manejo de excepciones?</t>
        </is>
      </c>
      <c r="C15" s="110" t="n"/>
      <c r="D15" s="2" t="n"/>
      <c r="E15" s="2" t="n"/>
      <c r="F15" s="2" t="n"/>
      <c r="G15" s="1" t="n"/>
    </row>
    <row r="16" ht="29.45" customHeight="1">
      <c r="A16" s="2" t="n">
        <v>3</v>
      </c>
      <c r="B16" s="113" t="inlineStr">
        <is>
          <t>¿Se tiene un diseño de interfaces de acuerdo con el doc. Especificación de requisitos?</t>
        </is>
      </c>
      <c r="C16" s="110" t="n"/>
      <c r="D16" s="2" t="n"/>
      <c r="E16" s="2" t="n"/>
      <c r="F16" s="2" t="n"/>
      <c r="G16" s="1" t="n"/>
    </row>
    <row r="17" ht="59.1" customHeight="1">
      <c r="A17" s="2" t="n">
        <v>4</v>
      </c>
      <c r="B17" s="113" t="inlineStr">
        <is>
          <t>¿El diseño detallado especifica la implementación de los componentes y módulos del sistema incluyendo interfaces, interacciones y flujo de datos?</t>
        </is>
      </c>
      <c r="C17" s="110" t="n"/>
      <c r="D17" s="2" t="n"/>
      <c r="E17" s="2" t="n"/>
      <c r="F17" s="2" t="n"/>
      <c r="G17" s="1" t="n"/>
    </row>
    <row r="18" ht="30" customHeight="1">
      <c r="A18" s="2" t="n">
        <v>5</v>
      </c>
      <c r="B18" s="113" t="inlineStr">
        <is>
          <t>¿Se realizó auditoria de configuración al documento de diseño de software?</t>
        </is>
      </c>
      <c r="C18" s="110" t="n"/>
      <c r="D18" s="2" t="n"/>
      <c r="E18" s="2" t="n"/>
      <c r="F18" s="2" t="n"/>
      <c r="G18" s="1" t="n"/>
    </row>
    <row r="19" ht="31.35" customHeight="1">
      <c r="A19" s="2" t="n">
        <v>6</v>
      </c>
      <c r="B19" s="113" t="inlineStr">
        <is>
          <t>¿Se comunicó a las personas interesadas los resultados de la auditoria al documento diseño de software?</t>
        </is>
      </c>
      <c r="C19" s="110" t="n"/>
      <c r="D19" s="2" t="n"/>
      <c r="E19" s="2" t="n"/>
      <c r="F19" s="2" t="n"/>
      <c r="G19" s="1" t="n"/>
    </row>
    <row r="20" ht="32.1" customHeight="1">
      <c r="A20" s="2" t="n">
        <v>7</v>
      </c>
      <c r="B20" s="113" t="inlineStr">
        <is>
          <t>¿El documento de diseño de software tiene línea base actualizada?</t>
        </is>
      </c>
      <c r="C20" s="110" t="n"/>
      <c r="D20" s="2" t="n"/>
      <c r="E20" s="2" t="n"/>
      <c r="F20" s="2" t="n"/>
      <c r="G20" s="1" t="n"/>
    </row>
    <row r="21" ht="18.6" customHeight="1">
      <c r="A21" s="2" t="n">
        <v>8</v>
      </c>
      <c r="B21" s="113" t="inlineStr">
        <is>
          <t>¿Se diseñaron casos de prueba?</t>
        </is>
      </c>
      <c r="C21" s="110" t="n"/>
      <c r="D21" s="2" t="n"/>
      <c r="E21" s="2" t="n"/>
      <c r="F21" s="2" t="n"/>
      <c r="G21" s="1" t="n"/>
    </row>
    <row r="22" ht="30" customHeight="1">
      <c r="A22" s="2" t="n">
        <v>9</v>
      </c>
      <c r="B22" s="113" t="inlineStr">
        <is>
          <t>¿El manual  de operaciones y de mantenimiento fueron evaluados en revisión entre pares?</t>
        </is>
      </c>
      <c r="C22" s="110" t="n"/>
      <c r="D22" s="2" t="n"/>
      <c r="E22" s="2" t="n"/>
      <c r="F22" s="2" t="n"/>
      <c r="G22" s="1" t="n"/>
    </row>
    <row r="23" ht="31.35" customHeight="1">
      <c r="A23" s="2" t="n">
        <v>10</v>
      </c>
      <c r="B23" s="113" t="inlineStr">
        <is>
          <t>¿Se realizó auditoría al manual  de operaciones y de mantenimiento?</t>
        </is>
      </c>
      <c r="C23" s="110" t="n"/>
      <c r="D23" s="2" t="n"/>
      <c r="E23" s="2" t="n"/>
      <c r="F23" s="2" t="n"/>
      <c r="G23" s="1" t="n"/>
    </row>
    <row r="24" ht="18.6" customHeight="1">
      <c r="A24" s="2" t="n">
        <v>11</v>
      </c>
      <c r="B24" s="113" t="inlineStr">
        <is>
          <t>¿Los manuales tienen línea base actualizada?</t>
        </is>
      </c>
      <c r="C24" s="110" t="n"/>
      <c r="D24" s="2" t="n"/>
      <c r="E24" s="2" t="n"/>
      <c r="F24" s="2" t="n"/>
      <c r="G24" s="1" t="n"/>
    </row>
    <row r="25">
      <c r="A25" s="34" t="inlineStr">
        <is>
          <t>Construcción</t>
        </is>
      </c>
      <c r="B25" s="112" t="n"/>
      <c r="C25" s="112" t="n"/>
      <c r="D25" s="112" t="n"/>
      <c r="E25" s="112" t="n"/>
      <c r="F25" s="112" t="n"/>
      <c r="G25" s="110" t="n"/>
    </row>
    <row r="26" ht="45.6" customHeight="1">
      <c r="A26" s="2" t="n">
        <v>1</v>
      </c>
      <c r="B26" s="113" t="inlineStr">
        <is>
          <t>¿Se tomaron en cuenta los estándares de codificación y la secuencia de integración al codificar componentes?</t>
        </is>
      </c>
      <c r="C26" s="110" t="n"/>
      <c r="D26" s="2" t="n"/>
      <c r="E26" s="2" t="n"/>
      <c r="F26" s="2" t="n"/>
      <c r="G26" s="1" t="n"/>
    </row>
    <row r="27" ht="31.35" customHeight="1">
      <c r="A27" s="2" t="n">
        <v>2</v>
      </c>
      <c r="B27" s="113" t="inlineStr">
        <is>
          <t>¿Se realizaron pruebas unitarias a cada componente codificado?</t>
        </is>
      </c>
      <c r="C27" s="110" t="n"/>
      <c r="D27" s="2" t="n"/>
      <c r="E27" s="2" t="n"/>
      <c r="F27" s="2" t="n"/>
      <c r="G27" s="1" t="n"/>
    </row>
    <row r="28" ht="32.45" customHeight="1">
      <c r="A28" s="2" t="n">
        <v>3</v>
      </c>
      <c r="B28" s="113" t="inlineStr">
        <is>
          <t>¿Se utilizó el checklist de integración para preparar la integración?</t>
        </is>
      </c>
      <c r="C28" s="110" t="n"/>
      <c r="D28" s="2" t="n"/>
      <c r="E28" s="2" t="n"/>
      <c r="F28" s="2" t="n"/>
      <c r="G28" s="1" t="n"/>
    </row>
    <row r="29" ht="32.1" customHeight="1">
      <c r="A29" s="2" t="n">
        <v>4</v>
      </c>
      <c r="B29" s="113" t="inlineStr">
        <is>
          <t>¿Se utilizo el documento estrategia de integración para llevar a cabo la integración de componentes?</t>
        </is>
      </c>
      <c r="C29" s="110" t="n"/>
      <c r="D29" s="2" t="n"/>
      <c r="E29" s="2" t="n"/>
      <c r="F29" s="2" t="n"/>
      <c r="G29" s="1" t="n"/>
    </row>
    <row r="30" ht="16.35" customHeight="1">
      <c r="A30" s="2" t="n">
        <v>5</v>
      </c>
      <c r="B30" s="114" t="inlineStr">
        <is>
          <t>¿Se realizaron pruebas de integración?</t>
        </is>
      </c>
      <c r="C30" s="110" t="n"/>
      <c r="D30" s="2" t="n"/>
      <c r="E30" s="2" t="n"/>
      <c r="F30" s="2" t="n"/>
      <c r="G30" s="1" t="n"/>
    </row>
    <row r="31" ht="30" customHeight="1">
      <c r="A31" s="2" t="n">
        <v>6</v>
      </c>
      <c r="B31" s="113" t="inlineStr">
        <is>
          <t>¿Se informo a las personas interesadas el resultado de estas pruebas?</t>
        </is>
      </c>
      <c r="C31" s="110" t="n"/>
      <c r="D31" s="2" t="n"/>
      <c r="E31" s="2" t="n"/>
      <c r="F31" s="2" t="n"/>
      <c r="G31" s="1" t="n"/>
    </row>
    <row r="32" ht="19.35" customHeight="1">
      <c r="A32" s="2" t="n">
        <v>7</v>
      </c>
      <c r="B32" s="113" t="inlineStr">
        <is>
          <t>¿Se registraron los resultados de las pruebas?</t>
        </is>
      </c>
      <c r="C32" s="110" t="n"/>
      <c r="D32" s="2" t="n"/>
      <c r="E32" s="2" t="n"/>
      <c r="F32" s="2" t="n"/>
      <c r="G32" s="1" t="n"/>
    </row>
    <row r="33" ht="45.6" customHeight="1">
      <c r="A33" s="2" t="n">
        <v>8</v>
      </c>
      <c r="B33" s="113" t="inlineStr">
        <is>
          <t>¿En caso de tener defectos, se registraron y se les dio seguimiento en el documento gestión de pruebas en la hoja pruebas internas?</t>
        </is>
      </c>
      <c r="C33" s="110" t="n"/>
      <c r="D33" s="2" t="n"/>
      <c r="E33" s="2" t="n"/>
      <c r="F33" s="2" t="n"/>
      <c r="G33" s="1" t="n"/>
    </row>
    <row r="34" ht="17.45" customHeight="1">
      <c r="A34" s="2" t="n">
        <v>9</v>
      </c>
      <c r="B34" s="113" t="inlineStr">
        <is>
          <t>¿Se tiene versión de software?</t>
        </is>
      </c>
      <c r="C34" s="110" t="n"/>
      <c r="D34" s="2" t="n"/>
      <c r="E34" s="2" t="n"/>
      <c r="F34" s="2" t="n"/>
      <c r="G34" s="1" t="n"/>
    </row>
    <row r="35">
      <c r="A35" s="34" t="inlineStr">
        <is>
          <t>Revisión por pares</t>
        </is>
      </c>
      <c r="B35" s="112" t="n"/>
      <c r="C35" s="112" t="n"/>
      <c r="D35" s="112" t="n"/>
      <c r="E35" s="112" t="n"/>
      <c r="F35" s="112" t="n"/>
      <c r="G35" s="110" t="n"/>
    </row>
    <row r="36" ht="17.1" customHeight="1">
      <c r="A36" s="2" t="n">
        <v>1</v>
      </c>
      <c r="B36" s="113" t="inlineStr">
        <is>
          <t>¿La lista de verificación se encuentra actualizada?</t>
        </is>
      </c>
      <c r="C36" s="110" t="n"/>
      <c r="D36" s="2" t="n"/>
      <c r="E36" s="2" t="n"/>
      <c r="F36" s="2" t="n"/>
      <c r="G36" s="1" t="n"/>
    </row>
    <row r="37" ht="44.1" customHeight="1">
      <c r="A37" s="2" t="n">
        <v>2</v>
      </c>
      <c r="B37" s="113" t="inlineStr">
        <is>
          <t>¿La lista de verificación contiene todos los elementos requeridos para la revisión del producto de trabajo específico?</t>
        </is>
      </c>
      <c r="C37" s="110" t="n"/>
      <c r="D37" s="2" t="n"/>
      <c r="E37" s="2" t="n"/>
      <c r="F37" s="2" t="n"/>
      <c r="G37" s="1" t="n"/>
    </row>
    <row r="38" ht="27.6" customHeight="1">
      <c r="A38" s="2" t="n">
        <v>3</v>
      </c>
      <c r="B38" s="113" t="inlineStr">
        <is>
          <t xml:space="preserve">¿Los resultados de la revisión entre pares se encuentran en el checklist? </t>
        </is>
      </c>
      <c r="C38" s="110" t="n"/>
      <c r="D38" s="2" t="n"/>
      <c r="E38" s="2" t="n"/>
      <c r="F38" s="2" t="n"/>
      <c r="G38" s="1" t="n"/>
    </row>
    <row r="39" ht="29.45" customHeight="1">
      <c r="A39" s="2" t="n">
        <v>4</v>
      </c>
      <c r="B39" s="113" t="inlineStr">
        <is>
          <t xml:space="preserve">¿El correo que comparte los resultados de la revisión contiene el enlace al documento (Checklist)? </t>
        </is>
      </c>
      <c r="C39" s="110" t="n"/>
      <c r="D39" s="2" t="n"/>
      <c r="E39" s="2" t="n"/>
      <c r="F39" s="2" t="n"/>
      <c r="G39" s="1" t="n"/>
    </row>
    <row r="40" ht="29.45" customHeight="1">
      <c r="A40" s="2" t="n">
        <v>5</v>
      </c>
      <c r="B40" s="113" t="inlineStr">
        <is>
          <t>¿En caso de tener defectos, se menciona la fecha para resolver defecto?</t>
        </is>
      </c>
      <c r="C40" s="110" t="n"/>
      <c r="D40" s="2" t="n"/>
      <c r="E40" s="2" t="n"/>
      <c r="F40" s="2" t="n"/>
      <c r="G40" s="1" t="n"/>
    </row>
    <row r="41" ht="44.1" customHeight="1">
      <c r="A41" s="2" t="n">
        <v>6</v>
      </c>
      <c r="B41" s="113" t="inlineStr">
        <is>
          <t>¿Después de resolver defectos, se actualizó la versión del documento de acuerdo al control de versiones del, plan de gestión de la configuración?</t>
        </is>
      </c>
      <c r="C41" s="110" t="n"/>
      <c r="D41" s="2" t="n"/>
      <c r="E41" s="2" t="n"/>
      <c r="F41" s="2" t="n"/>
      <c r="G41" s="1" t="n"/>
    </row>
  </sheetData>
  <mergeCells count="44">
    <mergeCell ref="B16:C16"/>
    <mergeCell ref="D11:F11"/>
    <mergeCell ref="A35:G35"/>
    <mergeCell ref="E5:F5"/>
    <mergeCell ref="B22:C22"/>
    <mergeCell ref="B31:C31"/>
    <mergeCell ref="B27:C27"/>
    <mergeCell ref="B18:C18"/>
    <mergeCell ref="A1:B3"/>
    <mergeCell ref="E8:F8"/>
    <mergeCell ref="A10:G10"/>
    <mergeCell ref="B12:C12"/>
    <mergeCell ref="B39:C39"/>
    <mergeCell ref="A13:G13"/>
    <mergeCell ref="E4:F4"/>
    <mergeCell ref="B21:C21"/>
    <mergeCell ref="B11:C11"/>
    <mergeCell ref="E1:F1"/>
    <mergeCell ref="B23:C23"/>
    <mergeCell ref="B14:C14"/>
    <mergeCell ref="B17:C17"/>
    <mergeCell ref="A7:B9"/>
    <mergeCell ref="B38:C38"/>
    <mergeCell ref="B29:C29"/>
    <mergeCell ref="E2:F2"/>
    <mergeCell ref="B19:C19"/>
    <mergeCell ref="B37:C37"/>
    <mergeCell ref="B34:C34"/>
    <mergeCell ref="B28:C28"/>
    <mergeCell ref="A25:G25"/>
    <mergeCell ref="B40:C40"/>
    <mergeCell ref="B24:C24"/>
    <mergeCell ref="B30:C30"/>
    <mergeCell ref="B15:C15"/>
    <mergeCell ref="B33:C33"/>
    <mergeCell ref="B26:C26"/>
    <mergeCell ref="E7:F7"/>
    <mergeCell ref="B20:C20"/>
    <mergeCell ref="B36:C36"/>
    <mergeCell ref="B32:C32"/>
    <mergeCell ref="A4:B6"/>
    <mergeCell ref="B41:C41"/>
    <mergeCell ref="G11:G12"/>
    <mergeCell ref="A11:A12"/>
  </mergeCells>
  <pageMargins left="0.7" right="0.7" top="0.75" bottom="0.75" header="0.3" footer="0.3"/>
  <pageSetup orientation="portrait" paperSize="9" scale="62" horizontalDpi="0" verticalDpi="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G41"/>
  <sheetViews>
    <sheetView showGridLines="0" zoomScale="85" zoomScaleNormal="85" workbookViewId="0">
      <selection activeCell="B12" sqref="B12:C12"/>
    </sheetView>
  </sheetViews>
  <sheetFormatPr baseColWidth="8" defaultColWidth="10.85546875" defaultRowHeight="14.45"/>
  <cols>
    <col width="16.5703125" customWidth="1" min="2" max="2"/>
    <col width="29.42578125" customWidth="1" min="3" max="3"/>
    <col width="19.140625" customWidth="1" min="4" max="4"/>
    <col width="15.85546875" customWidth="1" min="5" max="5"/>
    <col width="16.85546875" customWidth="1" min="6" max="6"/>
    <col width="41.5703125" customWidth="1" min="7" max="7"/>
  </cols>
  <sheetData>
    <row r="1" ht="15.6" customHeight="1">
      <c r="A1" s="116" t="inlineStr">
        <is>
          <t>Diseño de software</t>
        </is>
      </c>
      <c r="B1" s="102" t="n"/>
      <c r="C1" s="18" t="inlineStr">
        <is>
          <t>Fecha auditoría</t>
        </is>
      </c>
      <c r="D1" s="9" t="inlineStr">
        <is>
          <t>dd/mm/aaaa</t>
        </is>
      </c>
      <c r="E1" s="18" t="inlineStr">
        <is>
          <t>Preguntas aprobadas</t>
        </is>
      </c>
      <c r="F1" s="110" t="n"/>
      <c r="G1" s="9">
        <f>COUNTA(D14:D24)+COUNTA(F14:F24)</f>
        <v/>
      </c>
    </row>
    <row r="2" ht="15.6" customHeight="1">
      <c r="A2" s="109" t="n"/>
      <c r="B2" s="111" t="n"/>
      <c r="C2" s="18" t="inlineStr">
        <is>
          <t>Auditor</t>
        </is>
      </c>
      <c r="D2" s="9" t="inlineStr">
        <is>
          <t>Nombre y apellido</t>
        </is>
      </c>
      <c r="E2" s="18" t="inlineStr">
        <is>
          <t>% de apego</t>
        </is>
      </c>
      <c r="F2" s="110" t="n"/>
      <c r="G2" s="10">
        <f>G1/COUNT(A14:A24)</f>
        <v/>
      </c>
    </row>
    <row r="3">
      <c r="A3" s="103" t="n"/>
      <c r="B3" s="104" t="n"/>
      <c r="C3" s="19" t="inlineStr">
        <is>
          <t>Auditado</t>
        </is>
      </c>
      <c r="D3" s="9" t="inlineStr">
        <is>
          <t>Nombre y apellido</t>
        </is>
      </c>
    </row>
    <row r="4" ht="15.6" customHeight="1">
      <c r="A4" s="116" t="inlineStr">
        <is>
          <t>Construcción</t>
        </is>
      </c>
      <c r="B4" s="102" t="n"/>
      <c r="C4" s="18" t="inlineStr">
        <is>
          <t>Fecha auditoría</t>
        </is>
      </c>
      <c r="D4" s="9" t="inlineStr">
        <is>
          <t>dd/mm/aaaa</t>
        </is>
      </c>
      <c r="E4" s="18" t="inlineStr">
        <is>
          <t>Preguntas aprobadas</t>
        </is>
      </c>
      <c r="F4" s="110" t="n"/>
      <c r="G4" s="9">
        <f>COUNTA(D26:D34)+COUNTA(F26:F34)</f>
        <v/>
      </c>
    </row>
    <row r="5" ht="15.6" customHeight="1">
      <c r="A5" s="109" t="n"/>
      <c r="B5" s="111" t="n"/>
      <c r="C5" s="18" t="inlineStr">
        <is>
          <t>Auditor</t>
        </is>
      </c>
      <c r="D5" s="9" t="inlineStr">
        <is>
          <t>Nombre y apellido</t>
        </is>
      </c>
      <c r="E5" s="18" t="inlineStr">
        <is>
          <t>% de apego</t>
        </is>
      </c>
      <c r="F5" s="110" t="n"/>
      <c r="G5" s="10">
        <f>G4/COUNT(A26:A34)</f>
        <v/>
      </c>
    </row>
    <row r="6">
      <c r="A6" s="103" t="n"/>
      <c r="B6" s="104" t="n"/>
      <c r="C6" s="19" t="inlineStr">
        <is>
          <t>Auditado</t>
        </is>
      </c>
      <c r="D6" s="9" t="inlineStr">
        <is>
          <t>Nombre y apellido</t>
        </is>
      </c>
    </row>
    <row r="7" ht="15.6" customHeight="1">
      <c r="A7" s="116" t="inlineStr">
        <is>
          <t>Revisión entre pares</t>
        </is>
      </c>
      <c r="B7" s="102" t="n"/>
      <c r="C7" s="18" t="inlineStr">
        <is>
          <t>Fecha auditoría</t>
        </is>
      </c>
      <c r="D7" s="9" t="inlineStr">
        <is>
          <t>dd/mm/aaaa</t>
        </is>
      </c>
      <c r="E7" s="18" t="inlineStr">
        <is>
          <t>Preguntas aprobadas</t>
        </is>
      </c>
      <c r="F7" s="110" t="n"/>
      <c r="G7" s="9">
        <f>COUNTA(D36:D41)+COUNTA(F36:F41)</f>
        <v/>
      </c>
    </row>
    <row r="8" ht="15.6" customHeight="1">
      <c r="A8" s="109" t="n"/>
      <c r="B8" s="111" t="n"/>
      <c r="C8" s="18" t="inlineStr">
        <is>
          <t>Auditor</t>
        </is>
      </c>
      <c r="D8" s="9" t="inlineStr">
        <is>
          <t>Nombre y apellido</t>
        </is>
      </c>
      <c r="E8" s="18" t="inlineStr">
        <is>
          <t>% de apego</t>
        </is>
      </c>
      <c r="F8" s="110" t="n"/>
      <c r="G8" s="10">
        <f>G7/COUNT(A36:A41)</f>
        <v/>
      </c>
    </row>
    <row r="9">
      <c r="A9" s="103" t="n"/>
      <c r="B9" s="104" t="n"/>
      <c r="C9" s="19" t="inlineStr">
        <is>
          <t>Auditado</t>
        </is>
      </c>
      <c r="D9" s="9" t="inlineStr">
        <is>
          <t>Nombre y apellido</t>
        </is>
      </c>
    </row>
    <row r="10" ht="21" customHeight="1">
      <c r="A10" s="46" t="inlineStr">
        <is>
          <t>Auditoria de proyecto / Ejecución 1</t>
        </is>
      </c>
      <c r="B10" s="105" t="n"/>
      <c r="C10" s="105" t="n"/>
      <c r="D10" s="105" t="n"/>
      <c r="E10" s="105" t="n"/>
      <c r="F10" s="105" t="n"/>
      <c r="G10" s="105" t="n"/>
    </row>
    <row r="11" ht="15.6" customHeight="1">
      <c r="A11" s="101" t="inlineStr">
        <is>
          <t>No.</t>
        </is>
      </c>
      <c r="B11" s="118" t="inlineStr">
        <is>
          <t>Verificación</t>
        </is>
      </c>
      <c r="C11" s="102" t="n"/>
      <c r="D11" s="68" t="inlineStr">
        <is>
          <t>Condiciones</t>
        </is>
      </c>
      <c r="E11" s="112" t="n"/>
      <c r="F11" s="110" t="n"/>
      <c r="G11" s="69" t="inlineStr">
        <is>
          <t>Observaciones</t>
        </is>
      </c>
    </row>
    <row r="12" ht="15.6" customHeight="1">
      <c r="A12" s="108" t="n"/>
      <c r="B12" s="117" t="inlineStr">
        <is>
          <t>Criterio a verificar</t>
        </is>
      </c>
      <c r="C12" s="104" t="n"/>
      <c r="D12" s="69" t="inlineStr">
        <is>
          <t>Sí</t>
        </is>
      </c>
      <c r="E12" s="69" t="inlineStr">
        <is>
          <t>No</t>
        </is>
      </c>
      <c r="F12" s="69" t="inlineStr">
        <is>
          <t>No aplica</t>
        </is>
      </c>
      <c r="G12" s="108" t="n"/>
    </row>
    <row r="13">
      <c r="A13" s="34" t="inlineStr">
        <is>
          <t>Diseño de software</t>
        </is>
      </c>
      <c r="B13" s="112" t="n"/>
      <c r="C13" s="112" t="n"/>
      <c r="D13" s="112" t="n"/>
      <c r="E13" s="112" t="n"/>
      <c r="F13" s="112" t="n"/>
      <c r="G13" s="110" t="n"/>
    </row>
    <row r="14" ht="45" customHeight="1">
      <c r="A14" s="2" t="n">
        <v>1</v>
      </c>
      <c r="B14" s="113" t="inlineStr">
        <is>
          <t>¿Cuándo se evalúa y seleccionan alternativas para abordar requisitos se registran los resultados acordados?</t>
        </is>
      </c>
      <c r="C14" s="110" t="n"/>
      <c r="D14" s="2" t="n"/>
      <c r="E14" s="2" t="n"/>
      <c r="F14" s="2" t="n"/>
      <c r="G14" s="1" t="n"/>
    </row>
    <row r="15" ht="141" customHeight="1">
      <c r="A15" s="2" t="n">
        <v>2</v>
      </c>
      <c r="B15" s="113" t="inlineStr">
        <is>
          <t>¿Al definir la arquitectura se consideraron los siguientes aspectos:
-Requisitos fun. Y no fun. Del sistema, necesidades de usuario, rendimiento, escalabilidad y disponibilidad
-Diseño a alto nivel de estructura general, componentes, módulos y subsistemas
-Patrones arquitectónicos apropiados
-Tecnologías y plataformas que se utilizarán en el desarrollo
-Manejo de excepciones?</t>
        </is>
      </c>
      <c r="C15" s="110" t="n"/>
      <c r="D15" s="2" t="n"/>
      <c r="E15" s="2" t="n"/>
      <c r="F15" s="2" t="n"/>
      <c r="G15" s="1" t="n"/>
    </row>
    <row r="16" ht="30.6" customHeight="1">
      <c r="A16" s="2" t="n">
        <v>3</v>
      </c>
      <c r="B16" s="113" t="inlineStr">
        <is>
          <t>¿Se tiene un diseño de interfaces de acuerdo con el doc. Especificación de requisitos?</t>
        </is>
      </c>
      <c r="C16" s="110" t="n"/>
      <c r="D16" s="2" t="n"/>
      <c r="E16" s="2" t="n"/>
      <c r="F16" s="2" t="n"/>
      <c r="G16" s="1" t="n"/>
    </row>
    <row r="17" ht="43.35" customHeight="1">
      <c r="A17" s="2" t="n">
        <v>4</v>
      </c>
      <c r="B17" s="113" t="inlineStr">
        <is>
          <t>¿El diseño detallado especifica la implementación de los componentes y módulos del sistema incluyendo interfaces, interacciones y flujo de datos?</t>
        </is>
      </c>
      <c r="C17" s="110" t="n"/>
      <c r="D17" s="2" t="n"/>
      <c r="E17" s="2" t="n"/>
      <c r="F17" s="2" t="n"/>
      <c r="G17" s="1" t="n"/>
    </row>
    <row r="18" ht="29.45" customHeight="1">
      <c r="A18" s="2" t="n">
        <v>5</v>
      </c>
      <c r="B18" s="113" t="inlineStr">
        <is>
          <t>¿Se realizó auditoria de configuración al documento de diseño de software?</t>
        </is>
      </c>
      <c r="C18" s="110" t="n"/>
      <c r="D18" s="2" t="n"/>
      <c r="E18" s="2" t="n"/>
      <c r="F18" s="2" t="n"/>
      <c r="G18" s="1" t="n"/>
    </row>
    <row r="19" ht="44.45" customHeight="1">
      <c r="A19" s="2" t="n">
        <v>6</v>
      </c>
      <c r="B19" s="113" t="inlineStr">
        <is>
          <t>¿Se comunicó a las personas interesadas los resultados de la auditoria al documento diseño de software?</t>
        </is>
      </c>
      <c r="C19" s="110" t="n"/>
      <c r="D19" s="2" t="n"/>
      <c r="E19" s="2" t="n"/>
      <c r="F19" s="2" t="n"/>
      <c r="G19" s="1" t="n"/>
    </row>
    <row r="20" ht="29.1" customHeight="1">
      <c r="A20" s="2" t="n">
        <v>7</v>
      </c>
      <c r="B20" s="113" t="inlineStr">
        <is>
          <t>¿El documento de diseño de software tiene línea base actualizada?</t>
        </is>
      </c>
      <c r="C20" s="110" t="n"/>
      <c r="D20" s="2" t="n"/>
      <c r="E20" s="2" t="n"/>
      <c r="F20" s="2" t="n"/>
      <c r="G20" s="1" t="n"/>
    </row>
    <row r="21" ht="17.1" customHeight="1">
      <c r="A21" s="2" t="n">
        <v>8</v>
      </c>
      <c r="B21" s="113" t="inlineStr">
        <is>
          <t>¿Se diseñaron casos de prueba?</t>
        </is>
      </c>
      <c r="C21" s="110" t="n"/>
      <c r="D21" s="2" t="n"/>
      <c r="E21" s="2" t="n"/>
      <c r="F21" s="2" t="n"/>
      <c r="G21" s="1" t="n"/>
    </row>
    <row r="22" ht="28.35" customHeight="1">
      <c r="A22" s="2" t="n">
        <v>9</v>
      </c>
      <c r="B22" s="113" t="inlineStr">
        <is>
          <t>¿El manual  de operaciones y de mantenimiento fueron evaluados en revisión entre pares?</t>
        </is>
      </c>
      <c r="C22" s="110" t="n"/>
      <c r="D22" s="2" t="n"/>
      <c r="E22" s="2" t="n"/>
      <c r="F22" s="2" t="n"/>
      <c r="G22" s="1" t="n"/>
    </row>
    <row r="23" ht="30.6" customHeight="1">
      <c r="A23" s="2" t="n">
        <v>10</v>
      </c>
      <c r="B23" s="113" t="inlineStr">
        <is>
          <t>¿Se realizó auditoría al manual  de operaciones y de mantenimiento?</t>
        </is>
      </c>
      <c r="C23" s="110" t="n"/>
      <c r="D23" s="2" t="n"/>
      <c r="E23" s="2" t="n"/>
      <c r="F23" s="2" t="n"/>
      <c r="G23" s="1" t="n"/>
    </row>
    <row r="24" ht="17.1" customHeight="1">
      <c r="A24" s="2" t="n">
        <v>11</v>
      </c>
      <c r="B24" s="113" t="inlineStr">
        <is>
          <t>¿Los manuales tienen línea base actualizada?</t>
        </is>
      </c>
      <c r="C24" s="110" t="n"/>
      <c r="D24" s="2" t="n"/>
      <c r="E24" s="2" t="n"/>
      <c r="F24" s="2" t="n"/>
      <c r="G24" s="1" t="n"/>
    </row>
    <row r="25">
      <c r="A25" s="34" t="inlineStr">
        <is>
          <t>Construcción</t>
        </is>
      </c>
      <c r="B25" s="112" t="n"/>
      <c r="C25" s="112" t="n"/>
      <c r="D25" s="112" t="n"/>
      <c r="E25" s="112" t="n"/>
      <c r="F25" s="112" t="n"/>
      <c r="G25" s="110" t="n"/>
    </row>
    <row r="26" ht="44.45" customHeight="1">
      <c r="A26" s="2" t="n">
        <v>1</v>
      </c>
      <c r="B26" s="113" t="inlineStr">
        <is>
          <t>¿Se tomaron en cuenta los estándares de codificación y la secuencia de integración al codificar componentes?</t>
        </is>
      </c>
      <c r="C26" s="110" t="n"/>
      <c r="D26" s="2" t="n"/>
      <c r="E26" s="2" t="n"/>
      <c r="F26" s="2" t="n"/>
      <c r="G26" s="1" t="n"/>
    </row>
    <row r="27" ht="27.6" customHeight="1">
      <c r="A27" s="2" t="n">
        <v>2</v>
      </c>
      <c r="B27" s="113" t="inlineStr">
        <is>
          <t>¿Se realizaron pruebas unitarias a cada componente codificado?</t>
        </is>
      </c>
      <c r="C27" s="110" t="n"/>
      <c r="D27" s="2" t="n"/>
      <c r="E27" s="2" t="n"/>
      <c r="F27" s="2" t="n"/>
      <c r="G27" s="1" t="n"/>
    </row>
    <row r="28" ht="29.45" customHeight="1">
      <c r="A28" s="2" t="n">
        <v>3</v>
      </c>
      <c r="B28" s="113" t="inlineStr">
        <is>
          <t>¿Se utilizó el checklist de integración para preparar la integración?</t>
        </is>
      </c>
      <c r="C28" s="110" t="n"/>
      <c r="D28" s="2" t="n"/>
      <c r="E28" s="2" t="n"/>
      <c r="F28" s="2" t="n"/>
      <c r="G28" s="1" t="n"/>
    </row>
    <row r="29" ht="43.35" customHeight="1">
      <c r="A29" s="2" t="n">
        <v>4</v>
      </c>
      <c r="B29" s="113" t="inlineStr">
        <is>
          <t>¿Se utilizo el documento estrategia de integración para llevar a cabo la integración de componentes?</t>
        </is>
      </c>
      <c r="C29" s="110" t="n"/>
      <c r="D29" s="2" t="n"/>
      <c r="E29" s="2" t="n"/>
      <c r="F29" s="2" t="n"/>
      <c r="G29" s="1" t="n"/>
    </row>
    <row r="30">
      <c r="A30" s="2" t="n">
        <v>5</v>
      </c>
      <c r="B30" s="114" t="inlineStr">
        <is>
          <t>¿Se realizaron pruebas de integración?</t>
        </is>
      </c>
      <c r="C30" s="110" t="n"/>
      <c r="D30" s="2" t="n"/>
      <c r="E30" s="2" t="n"/>
      <c r="F30" s="2" t="n"/>
      <c r="G30" s="1" t="n"/>
    </row>
    <row r="31" ht="29.45" customHeight="1">
      <c r="A31" s="2" t="n">
        <v>6</v>
      </c>
      <c r="B31" s="113" t="inlineStr">
        <is>
          <t>¿Se informo a las personas interesadas el resultado de estas pruebas?</t>
        </is>
      </c>
      <c r="C31" s="110" t="n"/>
      <c r="D31" s="2" t="n"/>
      <c r="E31" s="2" t="n"/>
      <c r="F31" s="2" t="n"/>
      <c r="G31" s="1" t="n"/>
    </row>
    <row r="32" ht="17.1" customHeight="1">
      <c r="A32" s="2" t="n">
        <v>7</v>
      </c>
      <c r="B32" s="113" t="inlineStr">
        <is>
          <t>¿Se registraron los resultados de las pruebas?</t>
        </is>
      </c>
      <c r="C32" s="110" t="n"/>
      <c r="D32" s="2" t="n"/>
      <c r="E32" s="2" t="n"/>
      <c r="F32" s="2" t="n"/>
      <c r="G32" s="1" t="n"/>
    </row>
    <row r="33" ht="41.1" customHeight="1">
      <c r="A33" s="2" t="n">
        <v>8</v>
      </c>
      <c r="B33" s="113" t="inlineStr">
        <is>
          <t>¿En caso de tener defectos, se registraron y se les dio seguimiento en el documento gestión de pruebas en la hoja pruebas internas?</t>
        </is>
      </c>
      <c r="C33" s="110" t="n"/>
      <c r="D33" s="2" t="n"/>
      <c r="E33" s="2" t="n"/>
      <c r="F33" s="2" t="n"/>
      <c r="G33" s="1" t="n"/>
    </row>
    <row r="34" ht="17.45" customHeight="1">
      <c r="A34" s="2" t="n">
        <v>9</v>
      </c>
      <c r="B34" s="113" t="inlineStr">
        <is>
          <t>¿Se tiene versión de software?</t>
        </is>
      </c>
      <c r="C34" s="110" t="n"/>
      <c r="D34" s="2" t="n"/>
      <c r="E34" s="2" t="n"/>
      <c r="F34" s="2" t="n"/>
      <c r="G34" s="1" t="n"/>
    </row>
    <row r="35">
      <c r="A35" s="34" t="inlineStr">
        <is>
          <t>Revisión por pares</t>
        </is>
      </c>
      <c r="B35" s="112" t="n"/>
      <c r="C35" s="112" t="n"/>
      <c r="D35" s="112" t="n"/>
      <c r="E35" s="112" t="n"/>
      <c r="F35" s="112" t="n"/>
      <c r="G35" s="110" t="n"/>
    </row>
    <row r="36" ht="28.35" customHeight="1">
      <c r="A36" s="2" t="n">
        <v>1</v>
      </c>
      <c r="B36" s="113" t="inlineStr">
        <is>
          <t>¿La lista de verificación se encuentra actualizada?</t>
        </is>
      </c>
      <c r="C36" s="110" t="n"/>
      <c r="D36" s="2" t="n"/>
      <c r="E36" s="2" t="n"/>
      <c r="F36" s="2" t="n"/>
      <c r="G36" s="1" t="n"/>
    </row>
    <row r="37" ht="43.35" customHeight="1">
      <c r="A37" s="2" t="n">
        <v>2</v>
      </c>
      <c r="B37" s="113" t="inlineStr">
        <is>
          <t>¿La lista de verificación contiene todos los elementos requeridos para la revisión del producto de trabajo específico?</t>
        </is>
      </c>
      <c r="C37" s="110" t="n"/>
      <c r="D37" s="2" t="n"/>
      <c r="E37" s="2" t="n"/>
      <c r="F37" s="2" t="n"/>
      <c r="G37" s="1" t="n"/>
    </row>
    <row r="38" ht="28.35" customHeight="1">
      <c r="A38" s="2" t="n">
        <v>3</v>
      </c>
      <c r="B38" s="113" t="inlineStr">
        <is>
          <t xml:space="preserve">¿Los resultados de la revisión entre pares se encuentran en el checklist? </t>
        </is>
      </c>
      <c r="C38" s="110" t="n"/>
      <c r="D38" s="2" t="n"/>
      <c r="E38" s="2" t="n"/>
      <c r="F38" s="2" t="n"/>
      <c r="G38" s="1" t="n"/>
    </row>
    <row r="39" ht="29.45" customHeight="1">
      <c r="A39" s="2" t="n">
        <v>4</v>
      </c>
      <c r="B39" s="113" t="inlineStr">
        <is>
          <t xml:space="preserve">¿El correo que comparte los resultados de la revisión contiene el enlace al documento (Checklist)? </t>
        </is>
      </c>
      <c r="C39" s="110" t="n"/>
      <c r="D39" s="2" t="n"/>
      <c r="E39" s="2" t="n"/>
      <c r="F39" s="2" t="n"/>
      <c r="G39" s="1" t="n"/>
    </row>
    <row r="40" ht="28.35" customHeight="1">
      <c r="A40" s="2" t="n">
        <v>5</v>
      </c>
      <c r="B40" s="113" t="inlineStr">
        <is>
          <t>¿En caso de tener defectos, se menciona la fecha para resolver defecto?</t>
        </is>
      </c>
      <c r="C40" s="110" t="n"/>
      <c r="D40" s="2" t="n"/>
      <c r="E40" s="2" t="n"/>
      <c r="F40" s="2" t="n"/>
      <c r="G40" s="1" t="n"/>
    </row>
    <row r="41" ht="56.45" customHeight="1">
      <c r="A41" s="2" t="n">
        <v>6</v>
      </c>
      <c r="B41" s="113" t="inlineStr">
        <is>
          <t>¿Después de resolver defectos, se actualizó la versión del documento de acuerdo al control de versiones del, plan de gestión de la configuración?</t>
        </is>
      </c>
      <c r="C41" s="110" t="n"/>
      <c r="D41" s="2" t="n"/>
      <c r="E41" s="2" t="n"/>
      <c r="F41" s="2" t="n"/>
      <c r="G41" s="1" t="n"/>
    </row>
  </sheetData>
  <mergeCells count="44">
    <mergeCell ref="B16:C16"/>
    <mergeCell ref="D11:F11"/>
    <mergeCell ref="A35:G35"/>
    <mergeCell ref="E5:F5"/>
    <mergeCell ref="B22:C22"/>
    <mergeCell ref="B31:C31"/>
    <mergeCell ref="B27:C27"/>
    <mergeCell ref="B18:C18"/>
    <mergeCell ref="A1:B3"/>
    <mergeCell ref="E8:F8"/>
    <mergeCell ref="A10:G10"/>
    <mergeCell ref="B12:C12"/>
    <mergeCell ref="B39:C39"/>
    <mergeCell ref="A13:G13"/>
    <mergeCell ref="E4:F4"/>
    <mergeCell ref="B21:C21"/>
    <mergeCell ref="B11:C11"/>
    <mergeCell ref="E1:F1"/>
    <mergeCell ref="B23:C23"/>
    <mergeCell ref="B14:C14"/>
    <mergeCell ref="B17:C17"/>
    <mergeCell ref="A7:B9"/>
    <mergeCell ref="B38:C38"/>
    <mergeCell ref="B29:C29"/>
    <mergeCell ref="E2:F2"/>
    <mergeCell ref="B19:C19"/>
    <mergeCell ref="B34:C34"/>
    <mergeCell ref="B37:C37"/>
    <mergeCell ref="B28:C28"/>
    <mergeCell ref="A25:G25"/>
    <mergeCell ref="B40:C40"/>
    <mergeCell ref="B24:C24"/>
    <mergeCell ref="B30:C30"/>
    <mergeCell ref="B15:C15"/>
    <mergeCell ref="B33:C33"/>
    <mergeCell ref="B26:C26"/>
    <mergeCell ref="E7:F7"/>
    <mergeCell ref="B20:C20"/>
    <mergeCell ref="B36:C36"/>
    <mergeCell ref="B32:C32"/>
    <mergeCell ref="A4:B6"/>
    <mergeCell ref="B41:C41"/>
    <mergeCell ref="G11:G12"/>
    <mergeCell ref="A11:A12"/>
  </mergeCells>
  <pageMargins left="0.7" right="0.7" top="0.75" bottom="0.75" header="0.3" footer="0.3"/>
  <pageSetup orientation="portrait" paperSize="9" scale="58" horizontalDpi="0" verticalDpi="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G43"/>
  <sheetViews>
    <sheetView showGridLines="0" zoomScale="85" zoomScaleNormal="85" workbookViewId="0">
      <selection activeCell="A7" sqref="A7:B9"/>
    </sheetView>
  </sheetViews>
  <sheetFormatPr baseColWidth="8" defaultColWidth="10.85546875" defaultRowHeight="14.45"/>
  <cols>
    <col width="32.42578125" customWidth="1" min="2" max="2"/>
    <col width="23.5703125" customWidth="1" min="3" max="3"/>
    <col width="20.5703125" customWidth="1" min="4" max="4"/>
    <col width="21" customWidth="1" min="5" max="5"/>
    <col width="13.85546875" customWidth="1" min="6" max="6"/>
    <col width="49.42578125" customWidth="1" min="7" max="7"/>
  </cols>
  <sheetData>
    <row r="1" ht="15.6" customHeight="1">
      <c r="A1" s="70" t="inlineStr">
        <is>
          <t>Pruebas</t>
        </is>
      </c>
      <c r="B1" s="102" t="n"/>
      <c r="C1" s="18" t="inlineStr">
        <is>
          <t>Fecha auditoría</t>
        </is>
      </c>
      <c r="D1" s="9" t="inlineStr">
        <is>
          <t>27/07/2026</t>
        </is>
      </c>
      <c r="E1" s="18" t="inlineStr">
        <is>
          <t>Preguntas aprobadas</t>
        </is>
      </c>
      <c r="F1" s="110" t="n"/>
      <c r="G1" s="9">
        <f>COUNTA(D14:D24)+COUNTA(F14:F24)</f>
        <v/>
      </c>
    </row>
    <row r="2" ht="15.6" customHeight="1">
      <c r="A2" s="109" t="n"/>
      <c r="B2" s="111" t="n"/>
      <c r="C2" s="18" t="inlineStr">
        <is>
          <t>Auditor</t>
        </is>
      </c>
      <c r="D2" s="9" t="inlineStr">
        <is>
          <t>Miguel A. López Hernández</t>
        </is>
      </c>
      <c r="E2" s="18" t="inlineStr">
        <is>
          <t>% de apego</t>
        </is>
      </c>
      <c r="F2" s="110" t="n"/>
      <c r="G2" s="10">
        <f>G1/COUNT(A14:A24)</f>
        <v/>
      </c>
    </row>
    <row r="3">
      <c r="A3" s="103" t="n"/>
      <c r="B3" s="104" t="n"/>
      <c r="C3" s="19" t="inlineStr">
        <is>
          <t>Auditado</t>
        </is>
      </c>
      <c r="D3" s="9" t="inlineStr">
        <is>
          <t>Carlos Quintero Nava</t>
        </is>
      </c>
    </row>
    <row r="4" ht="15.6" customHeight="1">
      <c r="A4" s="70" t="inlineStr">
        <is>
          <t>Entrega de producto</t>
        </is>
      </c>
      <c r="B4" s="102" t="n"/>
      <c r="C4" s="18" t="inlineStr">
        <is>
          <t>Fecha auditoría</t>
        </is>
      </c>
      <c r="D4" s="9" t="inlineStr">
        <is>
          <t>27/07/2026</t>
        </is>
      </c>
      <c r="E4" s="18" t="inlineStr">
        <is>
          <t>Preguntas aprobadas</t>
        </is>
      </c>
      <c r="F4" s="110" t="n"/>
      <c r="G4" s="9">
        <f>COUNTA(D28:D35)+COUNTA(F28:F35)</f>
        <v/>
      </c>
    </row>
    <row r="5" ht="15.6" customHeight="1">
      <c r="A5" s="109" t="n"/>
      <c r="B5" s="111" t="n"/>
      <c r="C5" s="18" t="inlineStr">
        <is>
          <t>Auditor</t>
        </is>
      </c>
      <c r="D5" s="9" t="inlineStr">
        <is>
          <t>Miguel A. López Hernández</t>
        </is>
      </c>
      <c r="E5" s="18" t="inlineStr">
        <is>
          <t>% de apego</t>
        </is>
      </c>
      <c r="F5" s="110" t="n"/>
      <c r="G5" s="10">
        <f>G4/COUNT(A28:A35)</f>
        <v/>
      </c>
    </row>
    <row r="6">
      <c r="A6" s="103" t="n"/>
      <c r="B6" s="104" t="n"/>
      <c r="C6" s="19" t="inlineStr">
        <is>
          <t>Auditado</t>
        </is>
      </c>
      <c r="D6" s="9" t="inlineStr">
        <is>
          <t>Carlos Quintero Nava</t>
        </is>
      </c>
    </row>
    <row r="7" ht="15.6" customHeight="1">
      <c r="A7" s="70" t="inlineStr">
        <is>
          <t>Cierre</t>
        </is>
      </c>
      <c r="B7" s="102" t="n"/>
      <c r="C7" s="18" t="inlineStr">
        <is>
          <t>Fecha auditoría</t>
        </is>
      </c>
      <c r="D7" s="9" t="inlineStr">
        <is>
          <t>27/07/2026</t>
        </is>
      </c>
      <c r="E7" s="18" t="inlineStr">
        <is>
          <t>Preguntas aprobadas</t>
        </is>
      </c>
      <c r="F7" s="110" t="n"/>
      <c r="G7" s="9">
        <f>COUNTA(D37:D43)+COUNTA(F37:F43)</f>
        <v/>
      </c>
    </row>
    <row r="8" ht="15.6" customHeight="1">
      <c r="A8" s="109" t="n"/>
      <c r="B8" s="111" t="n"/>
      <c r="C8" s="18" t="inlineStr">
        <is>
          <t>Auditor</t>
        </is>
      </c>
      <c r="D8" s="9" t="inlineStr">
        <is>
          <t>Miguel A. López Hernández</t>
        </is>
      </c>
      <c r="E8" s="18" t="inlineStr">
        <is>
          <t>% de apego</t>
        </is>
      </c>
      <c r="F8" s="110" t="n"/>
      <c r="G8" s="10">
        <f>G7/COUNT(A37:A43)</f>
        <v/>
      </c>
    </row>
    <row r="9">
      <c r="A9" s="103" t="n"/>
      <c r="B9" s="104" t="n"/>
      <c r="C9" s="19" t="inlineStr">
        <is>
          <t>Auditado</t>
        </is>
      </c>
      <c r="D9" s="9" t="inlineStr">
        <is>
          <t>Carlos Quintero Nava</t>
        </is>
      </c>
    </row>
    <row r="10" ht="21" customHeight="1">
      <c r="A10" s="46" t="inlineStr">
        <is>
          <t>Auditoria de proyecto / Ejecución 2</t>
        </is>
      </c>
      <c r="B10" s="105" t="n"/>
      <c r="C10" s="105" t="n"/>
      <c r="D10" s="105" t="n"/>
      <c r="E10" s="105" t="n"/>
      <c r="F10" s="105" t="n"/>
      <c r="G10" s="105" t="n"/>
    </row>
    <row r="11" ht="15.75" customHeight="1">
      <c r="A11" s="101" t="inlineStr">
        <is>
          <t>No.</t>
        </is>
      </c>
      <c r="B11" s="118" t="inlineStr">
        <is>
          <t>Verificación</t>
        </is>
      </c>
      <c r="C11" s="102" t="n"/>
      <c r="D11" s="68" t="inlineStr">
        <is>
          <t>Condiciones</t>
        </is>
      </c>
      <c r="E11" s="112" t="n"/>
      <c r="F11" s="110" t="n"/>
      <c r="G11" s="69" t="inlineStr">
        <is>
          <t>Observaciones</t>
        </is>
      </c>
    </row>
    <row r="12" ht="15.6" customHeight="1">
      <c r="A12" s="108" t="n"/>
      <c r="B12" s="117" t="inlineStr">
        <is>
          <t>Criterio a verificar</t>
        </is>
      </c>
      <c r="C12" s="104" t="n"/>
      <c r="D12" s="69" t="inlineStr">
        <is>
          <t>Sí</t>
        </is>
      </c>
      <c r="E12" s="69" t="inlineStr">
        <is>
          <t>No</t>
        </is>
      </c>
      <c r="F12" s="69" t="inlineStr">
        <is>
          <t>No aplica</t>
        </is>
      </c>
      <c r="G12" s="108" t="n"/>
    </row>
    <row r="13" ht="15.6" customHeight="1">
      <c r="A13" s="119" t="inlineStr">
        <is>
          <t>Pruebas</t>
        </is>
      </c>
      <c r="B13" s="112" t="n"/>
      <c r="C13" s="112" t="n"/>
      <c r="D13" s="112" t="n"/>
      <c r="E13" s="112" t="n"/>
      <c r="F13" s="112" t="n"/>
      <c r="G13" s="110" t="n"/>
    </row>
    <row r="14" ht="29.45" customHeight="1">
      <c r="A14" s="2" t="n">
        <v>1</v>
      </c>
      <c r="B14" s="113" t="inlineStr">
        <is>
          <t>¿Se preparó el ambiente de pruebas de acuerdo con el plan de pruebas establecido por la organización?</t>
        </is>
      </c>
      <c r="C14" s="110" t="n"/>
      <c r="D14" s="2" t="inlineStr">
        <is>
          <t>X</t>
        </is>
      </c>
      <c r="E14" s="2" t="n"/>
      <c r="F14" s="2" t="n"/>
      <c r="G14" s="1" t="n"/>
    </row>
    <row r="15" ht="28.7" customHeight="1">
      <c r="A15" s="2" t="n">
        <v>2</v>
      </c>
      <c r="B15" s="113" t="inlineStr">
        <is>
          <t>¿Se registrarón los resultados de la ejecución de pruebas en el documento Gestión de pruebas en la hoja de pruebas internas?</t>
        </is>
      </c>
      <c r="C15" s="110" t="n"/>
      <c r="D15" s="2" t="inlineStr">
        <is>
          <t>X</t>
        </is>
      </c>
      <c r="E15" s="2" t="n"/>
      <c r="F15" s="2" t="n"/>
      <c r="G15" s="1" t="n"/>
    </row>
    <row r="16" ht="30.75" customHeight="1">
      <c r="A16" s="2" t="n">
        <v>3</v>
      </c>
      <c r="B16" s="113" t="inlineStr">
        <is>
          <t>¿Los defectos encontrados se registrarón en el docuemnto Gestión de incidencias en la hoja de defectos ?</t>
        </is>
      </c>
      <c r="C16" s="110" t="n"/>
      <c r="D16" s="2" t="inlineStr">
        <is>
          <t>X</t>
        </is>
      </c>
      <c r="E16" s="2" t="n"/>
      <c r="F16" s="2" t="n"/>
      <c r="G16" s="1" t="n"/>
    </row>
    <row r="17" ht="29.1" customHeight="1">
      <c r="A17" s="2" t="n">
        <v>4</v>
      </c>
      <c r="B17" s="113" t="inlineStr">
        <is>
          <t>Para comunicar los resultdos, ¿Se compartierón por correo electrónico adjuntando el enlace al docuento Gestión de incidencias?</t>
        </is>
      </c>
      <c r="C17" s="110" t="n"/>
      <c r="D17" s="2" t="inlineStr">
        <is>
          <t>X</t>
        </is>
      </c>
      <c r="E17" s="2" t="n"/>
      <c r="F17" s="2" t="n"/>
      <c r="G17" s="1" t="n"/>
    </row>
    <row r="18" ht="30" customHeight="1">
      <c r="A18" s="2" t="n">
        <v>5</v>
      </c>
      <c r="B18" s="113" t="inlineStr">
        <is>
          <t>¿Se asignó responsable de resolver el defecto y la fecha en que tiene que quedar resuleto el refecto?</t>
        </is>
      </c>
      <c r="C18" s="110" t="n"/>
      <c r="D18" s="2" t="inlineStr">
        <is>
          <t>X</t>
        </is>
      </c>
      <c r="E18" s="2" t="n"/>
      <c r="F18" s="2" t="n"/>
      <c r="G18" s="1" t="n"/>
    </row>
    <row r="19" ht="33.6" customHeight="1">
      <c r="A19" s="2" t="n">
        <v>6</v>
      </c>
      <c r="B19" s="113" t="inlineStr">
        <is>
          <t>¿El responsable de corregir defectos informó el tiempo en horas qué le dedicó a resolver el defecto?</t>
        </is>
      </c>
      <c r="C19" s="110" t="n"/>
      <c r="D19" s="2" t="inlineStr">
        <is>
          <t>X</t>
        </is>
      </c>
      <c r="E19" s="2" t="n"/>
      <c r="F19" s="2" t="n"/>
      <c r="G19" s="1" t="n"/>
    </row>
    <row r="20" ht="28.7" customHeight="1">
      <c r="A20" s="2" t="n">
        <v>7</v>
      </c>
      <c r="B20" s="113" t="inlineStr">
        <is>
          <t>¿En el docuemnto Gestión de incidencias se actualizo el estado del defecto y la fecha real en que se corrigió el defecto?</t>
        </is>
      </c>
      <c r="C20" s="110" t="n"/>
      <c r="D20" s="2" t="inlineStr">
        <is>
          <t>X</t>
        </is>
      </c>
      <c r="E20" s="2" t="n"/>
      <c r="F20" s="2" t="n"/>
      <c r="G20" s="1" t="n"/>
    </row>
    <row r="21" ht="28.7" customHeight="1">
      <c r="A21" s="2" t="n">
        <v>8</v>
      </c>
      <c r="B21" s="113" t="inlineStr">
        <is>
          <t>¿El manual de usuario contiene imágenes de las funcionalidades del software?</t>
        </is>
      </c>
      <c r="C21" s="110" t="n"/>
      <c r="D21" s="2" t="n"/>
      <c r="E21" s="2" t="inlineStr">
        <is>
          <t>X</t>
        </is>
      </c>
      <c r="F21" s="2" t="n"/>
      <c r="G21" s="1" t="inlineStr">
        <is>
          <t>El manual de usuario conserva las 2 imágenes ilustrativas genéricas de la plantilla original; no se cuenta con capturas reales de los portales SINAVID-OV/SIPE-AV.</t>
        </is>
      </c>
    </row>
    <row r="22" ht="22.35" customHeight="1">
      <c r="A22" s="2" t="n">
        <v>9</v>
      </c>
      <c r="B22" s="113" t="inlineStr">
        <is>
          <t>¿Se realizó revisión entre pares?</t>
        </is>
      </c>
      <c r="C22" s="110" t="n"/>
      <c r="D22" s="2" t="inlineStr">
        <is>
          <t>X</t>
        </is>
      </c>
      <c r="E22" s="2" t="n"/>
      <c r="F22" s="2" t="n"/>
      <c r="G22" s="1" t="n"/>
    </row>
    <row r="23" ht="47.1" customHeight="1">
      <c r="A23" s="2" t="n">
        <v>10</v>
      </c>
      <c r="B23" s="113" t="inlineStr">
        <is>
          <t>¿Se realizó la auditoria de configuración al manual de usuario con la lista de verificación que se encuentra en el documento Auditoria de configuración docuemntación?</t>
        </is>
      </c>
      <c r="C23" s="110" t="n"/>
      <c r="D23" s="2" t="n"/>
      <c r="E23" s="2" t="inlineStr">
        <is>
          <t>X</t>
        </is>
      </c>
      <c r="F23" s="2" t="n"/>
      <c r="G23" s="1" t="inlineStr">
        <is>
          <t>No se realizó una auditoría de configuración específica al manual de usuario; la auditoría cubrió la Especificación de requisitos.</t>
        </is>
      </c>
    </row>
    <row r="24" ht="63.6" customHeight="1">
      <c r="A24" s="2" t="n">
        <v>11</v>
      </c>
      <c r="B24" s="113" t="inlineStr">
        <is>
          <t>¿El correo electrónico comunica los resultados de la auditoria de configuración e incluye el enlace al documento que detalla:
La desviación (es) indentificada(as), y la fecha de resolución?</t>
        </is>
      </c>
      <c r="C24" s="110" t="n"/>
      <c r="D24" s="2" t="n"/>
      <c r="E24" s="2" t="n"/>
      <c r="F24" s="2" t="inlineStr">
        <is>
          <t>X</t>
        </is>
      </c>
      <c r="G24" s="1" t="inlineStr">
        <is>
          <t>No aplica, dado que no se realizó la auditoría de configuración al manual de usuario (ver hallazgo anterior).</t>
        </is>
      </c>
    </row>
    <row r="25" ht="30" customHeight="1">
      <c r="A25" s="2" t="n">
        <v>12</v>
      </c>
      <c r="B25" s="113" t="inlineStr">
        <is>
          <t xml:space="preserve">¿Sí la línea base fue aprobada, se informo por correo electrónico? </t>
        </is>
      </c>
      <c r="C25" s="110" t="n"/>
      <c r="D25" s="2" t="inlineStr">
        <is>
          <t>X</t>
        </is>
      </c>
      <c r="E25" s="2" t="n"/>
      <c r="F25" s="2" t="n"/>
      <c r="G25" s="1" t="n"/>
    </row>
    <row r="26" ht="29.45" customHeight="1">
      <c r="A26" s="2" t="n">
        <v>13</v>
      </c>
      <c r="B26" s="113" t="inlineStr">
        <is>
          <t>¿El manual de usuario fue etiquetado de acuerdo a las directrices del DZ-Plan de gestión de la configuración?</t>
        </is>
      </c>
      <c r="C26" s="110" t="n"/>
      <c r="D26" s="1" t="inlineStr">
        <is>
          <t>X</t>
        </is>
      </c>
      <c r="E26" s="1" t="n"/>
      <c r="F26" s="1" t="n"/>
      <c r="G26" s="1" t="n"/>
    </row>
    <row r="27">
      <c r="A27" s="34" t="inlineStr">
        <is>
          <t>Entrega de producto</t>
        </is>
      </c>
      <c r="B27" s="112" t="n"/>
      <c r="C27" s="112" t="n"/>
      <c r="D27" s="112" t="n"/>
      <c r="E27" s="112" t="n"/>
      <c r="F27" s="112" t="n"/>
      <c r="G27" s="110" t="n"/>
    </row>
    <row r="28" ht="66" customHeight="1">
      <c r="A28" s="2" t="n">
        <v>1</v>
      </c>
      <c r="B28" s="113" t="inlineStr">
        <is>
          <t>Se prepararón los elementos antes la entrega al cliente?
Como manuales, arquitectura de sotfware, formularios de entrega, criterios de aceptación, Así como lo necesario para instalar el software en los equipos del cliente.</t>
        </is>
      </c>
      <c r="C28" s="110" t="n"/>
      <c r="D28" s="2" t="inlineStr">
        <is>
          <t>X</t>
        </is>
      </c>
      <c r="E28" s="2" t="n"/>
      <c r="F28" s="2" t="n"/>
      <c r="G28" s="1" t="n"/>
    </row>
    <row r="29" ht="28.7" customHeight="1">
      <c r="A29" s="2" t="n">
        <v>2</v>
      </c>
      <c r="B29" s="113" t="inlineStr">
        <is>
          <t>¿Mientras un técnico participa en la validación de criterios, el líder del proyecto otorgo los entregables?</t>
        </is>
      </c>
      <c r="C29" s="110" t="n"/>
      <c r="D29" s="2" t="inlineStr">
        <is>
          <t>X</t>
        </is>
      </c>
      <c r="E29" s="2" t="n"/>
      <c r="F29" s="2" t="n"/>
      <c r="G29" s="1" t="n"/>
    </row>
    <row r="30" ht="28.7" customHeight="1">
      <c r="A30" s="2" t="n">
        <v>3</v>
      </c>
      <c r="B30" s="113" t="inlineStr">
        <is>
          <t>Se realizó la isntalación del software de acuerdo al plan de transición?</t>
        </is>
      </c>
      <c r="C30" s="110" t="n"/>
      <c r="D30" s="2" t="inlineStr">
        <is>
          <t>X</t>
        </is>
      </c>
      <c r="E30" s="2" t="n"/>
      <c r="F30" s="2" t="n"/>
      <c r="G30" s="1" t="n"/>
    </row>
    <row r="31" ht="36" customHeight="1">
      <c r="A31" s="2" t="n">
        <v>4</v>
      </c>
      <c r="B31" s="113" t="inlineStr">
        <is>
          <t>¿Se realizarón pruebas para revisar el cumplimiento de los criterios de aceptación en el docuemnto formulario de entrega?</t>
        </is>
      </c>
      <c r="C31" s="110" t="n"/>
      <c r="D31" s="2" t="n"/>
      <c r="E31" s="2" t="inlineStr">
        <is>
          <t>X</t>
        </is>
      </c>
      <c r="F31" s="2" t="n"/>
      <c r="G31" s="1" t="inlineStr">
        <is>
          <t>No se cuenta con un formulario de entrega construido para este proyecto.</t>
        </is>
      </c>
    </row>
    <row r="32" ht="26.45" customHeight="1">
      <c r="A32" s="2" t="n">
        <v>5</v>
      </c>
      <c r="B32" s="113" t="inlineStr">
        <is>
          <t xml:space="preserve">En caso de incidencias, ¿Se registrarón en el docuemnto de Gestión de incidencias? </t>
        </is>
      </c>
      <c r="C32" s="110" t="n"/>
      <c r="D32" s="2" t="inlineStr">
        <is>
          <t>X</t>
        </is>
      </c>
      <c r="E32" s="2" t="n"/>
      <c r="F32" s="2" t="n"/>
      <c r="G32" s="1" t="n"/>
    </row>
    <row r="33" ht="32.1" customHeight="1">
      <c r="A33" s="2" t="n">
        <v>6</v>
      </c>
      <c r="B33" s="113" t="inlineStr">
        <is>
          <t>¿Se revisó que las incidencias estuvieran dentro del alcance del proyecto?</t>
        </is>
      </c>
      <c r="C33" s="110" t="n"/>
      <c r="D33" s="2" t="inlineStr">
        <is>
          <t>X</t>
        </is>
      </c>
      <c r="E33" s="2" t="n"/>
      <c r="F33" s="2" t="n"/>
      <c r="G33" s="1" t="n"/>
    </row>
    <row r="34" ht="27.6" customHeight="1">
      <c r="A34" s="2" t="n">
        <v>7</v>
      </c>
      <c r="B34" s="113" t="inlineStr">
        <is>
          <t>¿Se asigno a un desarrollador para solucionar la falla en el código?</t>
        </is>
      </c>
      <c r="C34" s="110" t="n"/>
      <c r="D34" s="2" t="inlineStr">
        <is>
          <t>X</t>
        </is>
      </c>
      <c r="E34" s="2" t="n"/>
      <c r="F34" s="2" t="n"/>
      <c r="G34" s="1" t="n"/>
    </row>
    <row r="35" ht="43.35" customHeight="1">
      <c r="A35" s="2" t="n">
        <v>8</v>
      </c>
      <c r="B35" s="113" t="inlineStr">
        <is>
          <t>Una vez que el producto funciona correctamente y de acuerdo con los criterios de aceptación ¿El cliente firmó el formulario de entrega?</t>
        </is>
      </c>
      <c r="C35" s="110" t="n"/>
      <c r="D35" s="2" t="n"/>
      <c r="E35" s="2" t="inlineStr">
        <is>
          <t>X</t>
        </is>
      </c>
      <c r="F35" s="2" t="n"/>
      <c r="G35" s="1" t="inlineStr">
        <is>
          <t>No aplica firma del cliente, dado que no existe el formulario de entrega (ver hallazgo anterior).</t>
        </is>
      </c>
    </row>
    <row r="36">
      <c r="A36" s="34" t="inlineStr">
        <is>
          <t>Cierre</t>
        </is>
      </c>
      <c r="B36" s="112" t="n"/>
      <c r="C36" s="112" t="n"/>
      <c r="D36" s="112" t="n"/>
      <c r="E36" s="112" t="n"/>
      <c r="F36" s="112" t="n"/>
      <c r="G36" s="110" t="n"/>
    </row>
    <row r="37" ht="41.45" customHeight="1">
      <c r="A37" s="2" t="n">
        <v>1</v>
      </c>
      <c r="B37" s="113" t="inlineStr">
        <is>
          <t>¿Se reviso que todos los documentos de información del proyecto se encuentren actualizados a la ultima versión en el repositorio?</t>
        </is>
      </c>
      <c r="C37" s="110" t="n"/>
      <c r="D37" s="2" t="inlineStr">
        <is>
          <t>X</t>
        </is>
      </c>
      <c r="E37" s="2" t="n"/>
      <c r="F37" s="2" t="n"/>
      <c r="G37" s="1" t="n"/>
    </row>
    <row r="38" ht="30" customHeight="1">
      <c r="A38" s="2" t="n">
        <v>2</v>
      </c>
      <c r="B38" s="113" t="inlineStr">
        <is>
          <t>Se verificó el cumplimiento del contrato con el cliente y los proveedores ?</t>
        </is>
      </c>
      <c r="C38" s="110" t="n"/>
      <c r="D38" s="2" t="inlineStr">
        <is>
          <t>X</t>
        </is>
      </c>
      <c r="E38" s="2" t="n"/>
      <c r="F38" s="2" t="n"/>
      <c r="G38" s="1" t="n"/>
    </row>
    <row r="39" ht="31.35" customHeight="1">
      <c r="A39" s="2" t="n">
        <v>3</v>
      </c>
      <c r="B39" s="113" t="inlineStr">
        <is>
          <t>En caso de identificar cuestiones pendientes o abiertas ¿se establecierón fechas para su conclución?</t>
        </is>
      </c>
      <c r="C39" s="110" t="n"/>
      <c r="D39" s="2" t="inlineStr">
        <is>
          <t>X</t>
        </is>
      </c>
      <c r="E39" s="2" t="n"/>
      <c r="F39" s="2" t="n"/>
      <c r="G39" s="1" t="n"/>
    </row>
    <row r="40" ht="34.7" customHeight="1">
      <c r="A40" s="2" t="n">
        <v>4</v>
      </c>
      <c r="B40" s="113" t="inlineStr">
        <is>
          <t>¿Se identificarón y registrarón lecciones aprendias con el equipo de trabajo del proyecto?</t>
        </is>
      </c>
      <c r="C40" s="110" t="n"/>
      <c r="D40" s="2" t="n"/>
      <c r="E40" s="2" t="inlineStr">
        <is>
          <t>X</t>
        </is>
      </c>
      <c r="F40" s="2" t="n"/>
      <c r="G40" s="1" t="inlineStr">
        <is>
          <t>No se ha realizado una reunión formal de lecciones aprendidas para este proyecto.</t>
        </is>
      </c>
    </row>
    <row r="41" ht="31.35" customHeight="1">
      <c r="A41" s="2" t="n">
        <v>5</v>
      </c>
      <c r="B41" s="113" t="inlineStr">
        <is>
          <t xml:space="preserve">¿Se obtuvo una solicitud de mejora en base a las sugerencias de mejora mencionadas en la reunión de lecciones aprendidas? </t>
        </is>
      </c>
      <c r="C41" s="110" t="n"/>
      <c r="D41" s="2" t="n"/>
      <c r="E41" s="2" t="inlineStr">
        <is>
          <t>X</t>
        </is>
      </c>
      <c r="F41" s="2" t="n"/>
      <c r="G41" s="1" t="inlineStr">
        <is>
          <t>La mejora real registrada (FT-Solicitud de mejora de proceso) surgió del trabajo del día a día, no de una reunión formal de lecciones aprendidas.</t>
        </is>
      </c>
    </row>
    <row r="42" ht="43.35" customHeight="1">
      <c r="A42" s="2" t="n">
        <v>6</v>
      </c>
      <c r="B42" s="113" t="inlineStr">
        <is>
          <t>¿Se resguardo la información histórica del proyecto en la carpeta correspondiente en el repositorio de SGCP de acuerdo a DZ-Gestión del repositorio del SGCP?</t>
        </is>
      </c>
      <c r="C42" s="110" t="n"/>
      <c r="D42" s="2" t="inlineStr">
        <is>
          <t>X</t>
        </is>
      </c>
      <c r="E42" s="2" t="n"/>
      <c r="F42" s="2" t="n"/>
      <c r="G42" s="1" t="n"/>
    </row>
    <row r="43" ht="27.6" customHeight="1">
      <c r="A43" s="2" t="n">
        <v>7</v>
      </c>
      <c r="B43" s="113" t="inlineStr">
        <is>
          <t>¿Se realizó un informe al gerente de proyectos sobre el cierre del proyecto?</t>
        </is>
      </c>
      <c r="C43" s="110" t="n"/>
      <c r="D43" s="2" t="n"/>
      <c r="E43" s="2" t="inlineStr">
        <is>
          <t>X</t>
        </is>
      </c>
      <c r="F43" s="2" t="n"/>
      <c r="G43" s="1" t="inlineStr">
        <is>
          <t>Aún no se ha generado un informe de cierre para el gerente de proyectos; el proyecto continúa en su fase final.</t>
        </is>
      </c>
    </row>
  </sheetData>
  <mergeCells count="46">
    <mergeCell ref="B16:C16"/>
    <mergeCell ref="D11:F11"/>
    <mergeCell ref="B25:C25"/>
    <mergeCell ref="E5:F5"/>
    <mergeCell ref="B22:C22"/>
    <mergeCell ref="B31:C31"/>
    <mergeCell ref="B18:C18"/>
    <mergeCell ref="A1:B3"/>
    <mergeCell ref="E8:F8"/>
    <mergeCell ref="A10:G10"/>
    <mergeCell ref="B43:C43"/>
    <mergeCell ref="B12:C12"/>
    <mergeCell ref="B39:C39"/>
    <mergeCell ref="A13:G13"/>
    <mergeCell ref="E4:F4"/>
    <mergeCell ref="B21:C21"/>
    <mergeCell ref="B11:C11"/>
    <mergeCell ref="E1:F1"/>
    <mergeCell ref="B42:C42"/>
    <mergeCell ref="B23:C23"/>
    <mergeCell ref="B14:C14"/>
    <mergeCell ref="B17:C17"/>
    <mergeCell ref="G11:G12"/>
    <mergeCell ref="A7:B9"/>
    <mergeCell ref="A36:G36"/>
    <mergeCell ref="B38:C38"/>
    <mergeCell ref="B29:C29"/>
    <mergeCell ref="E2:F2"/>
    <mergeCell ref="B19:C19"/>
    <mergeCell ref="B34:C34"/>
    <mergeCell ref="B37:C37"/>
    <mergeCell ref="B28:C28"/>
    <mergeCell ref="A4:B6"/>
    <mergeCell ref="B40:C40"/>
    <mergeCell ref="B24:C24"/>
    <mergeCell ref="B30:C30"/>
    <mergeCell ref="B15:C15"/>
    <mergeCell ref="B33:C33"/>
    <mergeCell ref="A27:G27"/>
    <mergeCell ref="E7:F7"/>
    <mergeCell ref="B20:C20"/>
    <mergeCell ref="B32:C32"/>
    <mergeCell ref="B26:C26"/>
    <mergeCell ref="B41:C41"/>
    <mergeCell ref="B35:C35"/>
    <mergeCell ref="A11:A12"/>
  </mergeCells>
  <pageMargins left="0.7" right="0.7" top="0.75" bottom="0.75" header="0.3" footer="0.3"/>
  <pageSetup orientation="portrait" paperSize="9" scale="51" horizontalDpi="0" verticalDpi="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G16"/>
  <sheetViews>
    <sheetView showGridLines="0" zoomScaleNormal="100" workbookViewId="0">
      <selection activeCell="F19" sqref="F19"/>
    </sheetView>
  </sheetViews>
  <sheetFormatPr baseColWidth="8" defaultColWidth="10.85546875" defaultRowHeight="14.45"/>
  <cols>
    <col width="21.140625" customWidth="1" min="2" max="2"/>
    <col width="24.42578125" customWidth="1" min="3" max="3"/>
    <col width="20.5703125" customWidth="1" min="4" max="4"/>
    <col width="21" customWidth="1" min="5" max="5"/>
    <col width="13.85546875" customWidth="1" min="6" max="6"/>
    <col width="49.42578125" customWidth="1" min="7" max="7"/>
  </cols>
  <sheetData>
    <row r="1" ht="15.6" customHeight="1">
      <c r="A1" s="120" t="inlineStr">
        <is>
          <t>Monitoreo</t>
        </is>
      </c>
      <c r="B1" s="102" t="n"/>
      <c r="C1" s="11" t="inlineStr">
        <is>
          <t>Fecha auditoría</t>
        </is>
      </c>
      <c r="D1" s="1" t="inlineStr">
        <is>
          <t>27/07/2026</t>
        </is>
      </c>
      <c r="E1" s="18" t="inlineStr">
        <is>
          <t>Preguntas aprobadas</t>
        </is>
      </c>
      <c r="F1" s="110" t="n"/>
      <c r="G1" s="9">
        <f>COUNTA(D8:D15)+COUNTA(F8:F15)</f>
        <v/>
      </c>
    </row>
    <row r="2" ht="15.6" customHeight="1">
      <c r="A2" s="109" t="n"/>
      <c r="B2" s="111" t="n"/>
      <c r="C2" s="11" t="inlineStr">
        <is>
          <t>Auditor</t>
        </is>
      </c>
      <c r="D2" s="1" t="inlineStr">
        <is>
          <t>Miguel A. López Hernández</t>
        </is>
      </c>
      <c r="E2" s="18" t="inlineStr">
        <is>
          <t>% de apego</t>
        </is>
      </c>
      <c r="F2" s="110" t="n"/>
      <c r="G2" s="10">
        <f>G1/COUNT(A8:A15)</f>
        <v/>
      </c>
    </row>
    <row r="3">
      <c r="A3" s="103" t="n"/>
      <c r="B3" s="104" t="n"/>
      <c r="C3" s="17" t="inlineStr">
        <is>
          <t>Auditado</t>
        </is>
      </c>
      <c r="D3" s="1" t="inlineStr">
        <is>
          <t>Carlos Quintero Nava</t>
        </is>
      </c>
    </row>
    <row r="4">
      <c r="A4" s="45" t="inlineStr">
        <is>
          <t xml:space="preserve">Auditoria de gestión de cambios </t>
        </is>
      </c>
      <c r="B4" s="105" t="n"/>
      <c r="C4" s="105" t="n"/>
      <c r="D4" s="105" t="n"/>
      <c r="E4" s="105" t="n"/>
      <c r="F4" s="105" t="n"/>
      <c r="G4" s="105" t="n"/>
    </row>
    <row r="5" ht="15.75" customHeight="1">
      <c r="A5" s="101" t="inlineStr">
        <is>
          <t>No.</t>
        </is>
      </c>
      <c r="B5" s="69" t="inlineStr">
        <is>
          <t>Verificación</t>
        </is>
      </c>
      <c r="C5" s="110" t="n"/>
      <c r="D5" s="68" t="inlineStr">
        <is>
          <t>Condiciones</t>
        </is>
      </c>
      <c r="E5" s="112" t="n"/>
      <c r="F5" s="110" t="n"/>
      <c r="G5" s="101" t="inlineStr">
        <is>
          <t>Observaciones</t>
        </is>
      </c>
    </row>
    <row r="6" ht="15.6" customHeight="1">
      <c r="A6" s="108" t="n"/>
      <c r="B6" s="117" t="inlineStr">
        <is>
          <t>Criterio a verificar</t>
        </is>
      </c>
      <c r="C6" s="104" t="n"/>
      <c r="D6" s="69" t="inlineStr">
        <is>
          <t>Sí</t>
        </is>
      </c>
      <c r="E6" s="69" t="inlineStr">
        <is>
          <t>No</t>
        </is>
      </c>
      <c r="F6" s="69" t="inlineStr">
        <is>
          <t>No aplica</t>
        </is>
      </c>
      <c r="G6" s="108" t="n"/>
    </row>
    <row r="7" ht="15.6" customHeight="1">
      <c r="A7" s="101" t="inlineStr">
        <is>
          <t>Monitoreo</t>
        </is>
      </c>
      <c r="B7" s="112" t="n"/>
      <c r="C7" s="112" t="n"/>
      <c r="D7" s="112" t="n"/>
      <c r="E7" s="112" t="n"/>
      <c r="F7" s="112" t="n"/>
      <c r="G7" s="110" t="n"/>
    </row>
    <row r="8" ht="40.35" customHeight="1">
      <c r="A8" s="2" t="n">
        <v>1</v>
      </c>
      <c r="B8" s="113" t="inlineStr">
        <is>
          <t>¿La petición de cambios se solicita a través de un formulario de solicitud de cambios con todos los campos requeridos completos?</t>
        </is>
      </c>
      <c r="C8" s="110" t="n"/>
      <c r="D8" s="2" t="inlineStr">
        <is>
          <t>X</t>
        </is>
      </c>
      <c r="E8" s="2" t="n"/>
      <c r="F8" s="2" t="n"/>
      <c r="G8" s="1" t="n"/>
    </row>
    <row r="9" ht="28.7" customHeight="1">
      <c r="A9" s="2" t="n">
        <v>2</v>
      </c>
      <c r="B9" s="113" t="inlineStr">
        <is>
          <t>¿Se convocó al comité para analizar la(s) solicitud(es)?</t>
        </is>
      </c>
      <c r="C9" s="110" t="n"/>
      <c r="D9" s="2" t="inlineStr">
        <is>
          <t>X</t>
        </is>
      </c>
      <c r="E9" s="2" t="n"/>
      <c r="F9" s="2" t="n"/>
      <c r="G9" s="1" t="n"/>
    </row>
    <row r="10" ht="30.75" customHeight="1">
      <c r="A10" s="2" t="n">
        <v>3</v>
      </c>
      <c r="B10" s="113" t="inlineStr">
        <is>
          <t>¿Se asignó el cambio solicitado a alguna de las categorías; Mejora, Modificación o Error?</t>
        </is>
      </c>
      <c r="C10" s="110" t="n"/>
      <c r="D10" s="2" t="inlineStr">
        <is>
          <t>X</t>
        </is>
      </c>
      <c r="E10" s="2" t="n"/>
      <c r="F10" s="2" t="n"/>
      <c r="G10" s="1" t="n"/>
    </row>
    <row r="11" ht="57" customHeight="1">
      <c r="A11" s="2" t="n">
        <v>4</v>
      </c>
      <c r="B11" s="113" t="inlineStr">
        <is>
          <t>¿Se evaluó el impacto en las siguientes aspectos;
En el producto de software
Elementos de configuración
Términos de tiempo, esfuerzo y costo?</t>
        </is>
      </c>
      <c r="C11" s="110" t="n"/>
      <c r="D11" s="2" t="inlineStr">
        <is>
          <t>X</t>
        </is>
      </c>
      <c r="E11" s="2" t="n"/>
      <c r="F11" s="2" t="n"/>
      <c r="G11" s="1" t="n"/>
    </row>
    <row r="12" ht="28.7" customHeight="1">
      <c r="A12" s="2" t="n">
        <v>5</v>
      </c>
      <c r="B12" s="113" t="inlineStr">
        <is>
          <t>¿Se identificaron y evaluaron los riesgos asociados con la implementación del cambio?</t>
        </is>
      </c>
      <c r="C12" s="110" t="n"/>
      <c r="D12" s="2" t="n"/>
      <c r="E12" s="2" t="inlineStr">
        <is>
          <t>X</t>
        </is>
      </c>
      <c r="F12" s="2" t="n"/>
      <c r="G12" s="1" t="inlineStr">
        <is>
          <t>No se documentó un análisis de riesgos específico para la implementación del cambio CR-01, más allá del análisis de alternativas.</t>
        </is>
      </c>
    </row>
    <row r="13" ht="28.7" customHeight="1">
      <c r="A13" s="2" t="n">
        <v>6</v>
      </c>
      <c r="B13" s="113" t="inlineStr">
        <is>
          <t>¿Se registró la respuesta al cambio en el documento Concentrado de control de cambios?</t>
        </is>
      </c>
      <c r="C13" s="110" t="n"/>
      <c r="D13" s="2" t="inlineStr">
        <is>
          <t>X</t>
        </is>
      </c>
      <c r="E13" s="2" t="n"/>
      <c r="F13" s="2" t="n"/>
      <c r="G13" s="1" t="n"/>
    </row>
    <row r="14" ht="28.7" customHeight="1">
      <c r="A14" s="2" t="n">
        <v>7</v>
      </c>
      <c r="B14" s="113" t="inlineStr">
        <is>
          <t>¿Se presentó al cliente el tiempo y el costo que implica realizar el cambio solicitado?</t>
        </is>
      </c>
      <c r="C14" s="110" t="n"/>
      <c r="D14" s="2" t="inlineStr">
        <is>
          <t>X</t>
        </is>
      </c>
      <c r="E14" s="2" t="n"/>
      <c r="F14" s="2" t="n"/>
      <c r="G14" s="1" t="n"/>
    </row>
    <row r="15" ht="28.7" customHeight="1">
      <c r="A15" s="2" t="n">
        <v>8</v>
      </c>
      <c r="B15" s="113" t="inlineStr">
        <is>
          <t>¿Se actualizó el plan de proyecto con las actividades que implican el cambio aprobado?</t>
        </is>
      </c>
      <c r="C15" s="110" t="n"/>
      <c r="D15" s="2" t="n"/>
      <c r="E15" s="2" t="inlineStr">
        <is>
          <t>X</t>
        </is>
      </c>
      <c r="F15" s="2" t="n"/>
      <c r="G15" s="27" t="inlineStr">
        <is>
          <t>El plan de proyecto no se actualizó explícitamente para reflejar las actividades de la habilitación de la re-portabilidad.</t>
        </is>
      </c>
    </row>
    <row r="16">
      <c r="C16" s="4" t="n"/>
    </row>
  </sheetData>
  <mergeCells count="18">
    <mergeCell ref="A5:A6"/>
    <mergeCell ref="G5:G6"/>
    <mergeCell ref="B6:C6"/>
    <mergeCell ref="B13:C13"/>
    <mergeCell ref="B15:C15"/>
    <mergeCell ref="D5:F5"/>
    <mergeCell ref="B11:C11"/>
    <mergeCell ref="E2:F2"/>
    <mergeCell ref="B5:C5"/>
    <mergeCell ref="E1:F1"/>
    <mergeCell ref="B10:C10"/>
    <mergeCell ref="A4:G4"/>
    <mergeCell ref="B14:C14"/>
    <mergeCell ref="A7:G7"/>
    <mergeCell ref="B9:C9"/>
    <mergeCell ref="B8:C8"/>
    <mergeCell ref="A1:B3"/>
    <mergeCell ref="B12:C12"/>
  </mergeCells>
  <pageMargins left="0.7" right="0.7" top="0.75" bottom="0.75" header="0.3" footer="0.3"/>
  <pageSetup orientation="portrait" paperSize="9" scale="54" horizontalDpi="0"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2019-09-25T18:39:09Z</dcterms:created>
  <dcterms:modified xmlns:dcterms="http://purl.org/dc/terms/" xmlns:xsi="http://www.w3.org/2001/XMLSchema-instance" xsi:type="dcterms:W3CDTF">2026-09-27T19:41:53Z</dcterms:modified>
  <cp:lastModifiedBy>Carlos Quintero 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MediaServiceImageTags" fmtid="{D5CDD505-2E9C-101B-9397-08002B2CF9AE}" pid="3">
    <vt:lpwstr xmlns:vt="http://schemas.openxmlformats.org/officeDocument/2006/docPropsVTypes"/>
  </property>
  <property name="Email" fmtid="{D5CDD505-2E9C-101B-9397-08002B2CF9AE}" pid="4">
    <vt:lpwstr xmlns:vt="http://schemas.openxmlformats.org/officeDocument/2006/docPropsVTypes">carlos.quintero@4js.com</vt:lpwstr>
  </property>
</Properties>
</file>