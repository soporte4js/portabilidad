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CMMI Certificacion\Planeación\"/>
    </mc:Choice>
  </mc:AlternateContent>
  <xr:revisionPtr revIDLastSave="0" documentId="11_17D0C499D05BF22FE00178D44E0F66383385BB24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MO - Cos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9" i="1" l="1"/>
  <c r="P19" i="1"/>
  <c r="O19" i="1"/>
  <c r="N19" i="1"/>
  <c r="M19" i="1"/>
  <c r="L19" i="1"/>
  <c r="J19" i="1"/>
  <c r="H19" i="1"/>
  <c r="F19" i="1"/>
  <c r="R19" i="1" s="1"/>
  <c r="R18" i="1"/>
  <c r="S18" i="1" s="1"/>
  <c r="R17" i="1"/>
  <c r="S17" i="1" s="1"/>
  <c r="R16" i="1"/>
  <c r="S16" i="1" s="1"/>
  <c r="R15" i="1"/>
  <c r="S15" i="1" s="1"/>
  <c r="S14" i="1"/>
  <c r="R14" i="1"/>
  <c r="R13" i="1"/>
  <c r="S13" i="1" s="1"/>
  <c r="R12" i="1"/>
  <c r="S12" i="1" s="1"/>
  <c r="R11" i="1"/>
  <c r="S11" i="1" s="1"/>
  <c r="S10" i="1"/>
  <c r="R10" i="1"/>
  <c r="R9" i="1" s="1"/>
  <c r="S9" i="1" s="1"/>
  <c r="Q9" i="1"/>
  <c r="S19" i="1" l="1"/>
</calcChain>
</file>

<file path=xl/sharedStrings.xml><?xml version="1.0" encoding="utf-8"?>
<sst xmlns="http://schemas.openxmlformats.org/spreadsheetml/2006/main" count="39" uniqueCount="32">
  <si>
    <t>Proyecto:</t>
  </si>
  <si>
    <t>Portabilidad de Derechos Pensionarios entre ISSSTE e IMSS</t>
  </si>
  <si>
    <t>Cliente:</t>
  </si>
  <si>
    <t>ISSSTE</t>
  </si>
  <si>
    <t>Responsible:</t>
  </si>
  <si>
    <t>Carlos Quintero Nava</t>
  </si>
  <si>
    <t>Mano de obra</t>
  </si>
  <si>
    <t>Materiales</t>
  </si>
  <si>
    <t>Licencias</t>
  </si>
  <si>
    <t>Capacitación</t>
  </si>
  <si>
    <t>Fijo</t>
  </si>
  <si>
    <t>BALANCE</t>
  </si>
  <si>
    <t>Planeadas</t>
  </si>
  <si>
    <t>Reales</t>
  </si>
  <si>
    <t>$/H</t>
  </si>
  <si>
    <t>Unidades</t>
  </si>
  <si>
    <t>$/Unidad</t>
  </si>
  <si>
    <t>Viajes</t>
  </si>
  <si>
    <t>Herramientas</t>
  </si>
  <si>
    <t>Misc.</t>
  </si>
  <si>
    <t>Presupuestado</t>
  </si>
  <si>
    <t>REAL</t>
  </si>
  <si>
    <t>Ahorro/Gasto</t>
  </si>
  <si>
    <t>WBS</t>
  </si>
  <si>
    <t>Tareas del proyecto</t>
  </si>
  <si>
    <t>Asignado:</t>
  </si>
  <si>
    <t>Análisis</t>
  </si>
  <si>
    <t>Diseño</t>
  </si>
  <si>
    <t>Construcción</t>
  </si>
  <si>
    <t>Pruebas</t>
  </si>
  <si>
    <t>Por asignar (Tester)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</si>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</sst>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43" formatCode="_-* #,##0.00_-;\-* #,##0.00_-;_-* &quot;-&quot;??_-;_-@_-"/>
    <numFmt numFmtId="164" formatCode="0.0"/>
    <numFmt numFmtId="165" formatCode="&quot;$&quot;#,##0.00_);\(&quot;$&quot;#,##0.00\)"/>
    <numFmt numFmtId="166" formatCode="#,##0.0"/>
    <numFmt numFmtId="167" formatCode="_(&quot;$&quot;* #,##0.00_);_(&quot;$&quot;* \(#,##0.00\);_(&quot;$&quot;* &quot;-&quot;??_);_(@_)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Trebuchet MS"/>
      <family val="2"/>
    </font>
    <font>
      <b/>
      <sz val="12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1"/>
      <color theme="0"/>
      <name val="Arial"/>
      <family val="2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i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name val="Trebuchet MS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/>
  </cellStyleXfs>
  <cellXfs count="55">
    <xf numFmtId="0" fontId="0" fillId="0" borderId="0" xfId="0"/>
    <xf numFmtId="0" fontId="0" fillId="2" borderId="0" xfId="0" applyFill="1"/>
    <xf numFmtId="164" fontId="11" fillId="0" borderId="3" xfId="0" applyNumberFormat="1" applyFont="1" applyBorder="1" applyAlignment="1" applyProtection="1">
      <alignment wrapText="1"/>
      <protection locked="0"/>
    </xf>
    <xf numFmtId="165" fontId="11" fillId="0" borderId="3" xfId="1" applyNumberFormat="1" applyFont="1" applyBorder="1" applyAlignment="1" applyProtection="1">
      <alignment wrapText="1"/>
      <protection locked="0"/>
    </xf>
    <xf numFmtId="43" fontId="11" fillId="0" borderId="3" xfId="1" applyNumberFormat="1" applyFont="1" applyBorder="1" applyAlignment="1" applyProtection="1">
      <alignment wrapText="1"/>
      <protection locked="0"/>
    </xf>
    <xf numFmtId="43" fontId="11" fillId="4" borderId="3" xfId="1" applyNumberFormat="1" applyFont="1" applyFill="1" applyBorder="1" applyAlignment="1">
      <alignment horizontal="right"/>
    </xf>
    <xf numFmtId="43" fontId="11" fillId="3" borderId="3" xfId="1" applyNumberFormat="1" applyFont="1" applyFill="1" applyBorder="1" applyAlignment="1">
      <alignment horizontal="right"/>
    </xf>
    <xf numFmtId="164" fontId="11" fillId="0" borderId="3" xfId="0" applyNumberFormat="1" applyFont="1" applyBorder="1" applyAlignment="1" applyProtection="1">
      <alignment horizontal="left" wrapText="1" indent="1"/>
      <protection locked="0"/>
    </xf>
    <xf numFmtId="164" fontId="11" fillId="0" borderId="3" xfId="0" applyNumberFormat="1" applyFont="1" applyBorder="1" applyAlignment="1" applyProtection="1">
      <alignment horizontal="left" wrapText="1" indent="2"/>
      <protection locked="0"/>
    </xf>
    <xf numFmtId="43" fontId="5" fillId="5" borderId="3" xfId="0" applyNumberFormat="1" applyFont="1" applyFill="1" applyBorder="1" applyAlignment="1" applyProtection="1">
      <alignment horizontal="left" vertical="top" wrapText="1"/>
      <protection locked="0"/>
    </xf>
    <xf numFmtId="0" fontId="3" fillId="2" borderId="0" xfId="0" applyFont="1" applyFill="1" applyAlignment="1">
      <alignment horizontal="left" vertical="center"/>
    </xf>
    <xf numFmtId="0" fontId="0" fillId="0" borderId="0" xfId="0" applyAlignment="1">
      <alignment horizontal="right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0" fillId="0" borderId="0" xfId="0" applyFont="1"/>
    <xf numFmtId="0" fontId="1" fillId="0" borderId="4" xfId="0" applyFont="1" applyBorder="1" applyAlignment="1">
      <alignment horizontal="left"/>
    </xf>
    <xf numFmtId="0" fontId="10" fillId="0" borderId="4" xfId="0" applyFont="1" applyBorder="1" applyAlignment="1">
      <alignment horizontal="right"/>
    </xf>
    <xf numFmtId="0" fontId="12" fillId="0" borderId="3" xfId="0" applyFont="1" applyBorder="1" applyAlignment="1" applyProtection="1">
      <alignment vertical="top" wrapText="1"/>
      <protection locked="0"/>
    </xf>
    <xf numFmtId="0" fontId="10" fillId="0" borderId="3" xfId="0" applyFont="1" applyBorder="1" applyAlignment="1" applyProtection="1">
      <alignment vertical="top" wrapText="1"/>
      <protection locked="0"/>
    </xf>
    <xf numFmtId="0" fontId="1" fillId="0" borderId="3" xfId="0" applyFont="1" applyBorder="1" applyAlignment="1" applyProtection="1">
      <alignment vertical="top" wrapText="1"/>
      <protection locked="0"/>
    </xf>
    <xf numFmtId="164" fontId="0" fillId="0" borderId="0" xfId="0" applyNumberFormat="1" applyAlignment="1">
      <alignment horizontal="center"/>
    </xf>
    <xf numFmtId="0" fontId="15" fillId="2" borderId="0" xfId="0" applyFont="1" applyFill="1" applyAlignment="1">
      <alignment horizontal="left" vertical="center"/>
    </xf>
    <xf numFmtId="0" fontId="10" fillId="6" borderId="4" xfId="0" applyFont="1" applyFill="1" applyBorder="1" applyAlignment="1">
      <alignment horizontal="right"/>
    </xf>
    <xf numFmtId="0" fontId="1" fillId="6" borderId="4" xfId="0" applyFont="1" applyFill="1" applyBorder="1" applyAlignment="1">
      <alignment horizontal="left"/>
    </xf>
    <xf numFmtId="0" fontId="5" fillId="6" borderId="0" xfId="0" applyFont="1" applyFill="1" applyAlignment="1">
      <alignment horizontal="center"/>
    </xf>
    <xf numFmtId="4" fontId="4" fillId="6" borderId="0" xfId="0" applyNumberFormat="1" applyFont="1" applyFill="1" applyAlignment="1" applyProtection="1">
      <alignment horizontal="center"/>
      <protection locked="0"/>
    </xf>
    <xf numFmtId="0" fontId="14" fillId="8" borderId="0" xfId="0" applyFont="1" applyFill="1"/>
    <xf numFmtId="0" fontId="13" fillId="8" borderId="3" xfId="0" applyFont="1" applyFill="1" applyBorder="1" applyAlignment="1">
      <alignment horizontal="center"/>
    </xf>
    <xf numFmtId="164" fontId="8" fillId="8" borderId="3" xfId="0" applyNumberFormat="1" applyFont="1" applyFill="1" applyBorder="1" applyAlignment="1" applyProtection="1">
      <alignment wrapText="1"/>
      <protection locked="0"/>
    </xf>
    <xf numFmtId="165" fontId="7" fillId="8" borderId="3" xfId="1" applyNumberFormat="1" applyFont="1" applyFill="1" applyBorder="1" applyAlignment="1" applyProtection="1">
      <alignment wrapText="1"/>
      <protection locked="0"/>
    </xf>
    <xf numFmtId="164" fontId="7" fillId="8" borderId="3" xfId="0" applyNumberFormat="1" applyFont="1" applyFill="1" applyBorder="1" applyAlignment="1" applyProtection="1">
      <alignment wrapText="1"/>
      <protection locked="0"/>
    </xf>
    <xf numFmtId="43" fontId="7" fillId="8" borderId="3" xfId="1" applyNumberFormat="1" applyFont="1" applyFill="1" applyBorder="1"/>
    <xf numFmtId="43" fontId="11" fillId="6" borderId="3" xfId="1" applyNumberFormat="1" applyFont="1" applyFill="1" applyBorder="1"/>
    <xf numFmtId="0" fontId="7" fillId="8" borderId="2" xfId="0" applyFont="1" applyFill="1" applyBorder="1" applyAlignment="1" applyProtection="1">
      <alignment horizontal="center" wrapText="1"/>
      <protection locked="0"/>
    </xf>
    <xf numFmtId="166" fontId="7" fillId="8" borderId="2" xfId="0" applyNumberFormat="1" applyFont="1" applyFill="1" applyBorder="1" applyAlignment="1" applyProtection="1">
      <alignment horizontal="center"/>
      <protection locked="0"/>
    </xf>
    <xf numFmtId="166" fontId="8" fillId="8" borderId="2" xfId="0" applyNumberFormat="1" applyFont="1" applyFill="1" applyBorder="1" applyAlignment="1" applyProtection="1">
      <alignment horizontal="left" vertical="center"/>
      <protection locked="0"/>
    </xf>
    <xf numFmtId="167" fontId="8" fillId="8" borderId="2" xfId="1" applyNumberFormat="1" applyFont="1" applyFill="1" applyBorder="1" applyAlignment="1" applyProtection="1">
      <alignment horizontal="left" vertical="center"/>
      <protection locked="0"/>
    </xf>
    <xf numFmtId="167" fontId="9" fillId="8" borderId="2" xfId="1" applyNumberFormat="1" applyFont="1" applyFill="1" applyBorder="1" applyAlignment="1">
      <alignment horizontal="left" vertical="center"/>
    </xf>
    <xf numFmtId="0" fontId="6" fillId="9" borderId="0" xfId="0" applyFont="1" applyFill="1" applyAlignment="1">
      <alignment horizontal="center" wrapText="1"/>
    </xf>
    <xf numFmtId="0" fontId="6" fillId="10" borderId="0" xfId="0" applyFont="1" applyFill="1" applyAlignment="1">
      <alignment horizontal="center" wrapText="1"/>
    </xf>
    <xf numFmtId="0" fontId="5" fillId="7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6" fillId="7" borderId="1" xfId="0" applyFont="1" applyFill="1" applyBorder="1" applyAlignment="1">
      <alignment horizontal="center" wrapText="1"/>
    </xf>
    <xf numFmtId="0" fontId="5" fillId="7" borderId="1" xfId="0" applyFont="1" applyFill="1" applyBorder="1" applyAlignment="1">
      <alignment horizontal="center"/>
    </xf>
    <xf numFmtId="0" fontId="3" fillId="2" borderId="0" xfId="0" applyFont="1" applyFill="1" applyAlignment="1">
      <alignment vertical="center"/>
    </xf>
    <xf numFmtId="0" fontId="10" fillId="11" borderId="3" xfId="0" applyFont="1" applyFill="1" applyBorder="1" applyAlignment="1" applyProtection="1">
      <alignment vertical="top" wrapText="1"/>
      <protection locked="0"/>
    </xf>
    <xf numFmtId="0" fontId="12" fillId="11" borderId="3" xfId="0" applyFont="1" applyFill="1" applyBorder="1" applyAlignment="1" applyProtection="1">
      <alignment vertical="top" wrapText="1"/>
      <protection locked="0"/>
    </xf>
    <xf numFmtId="0" fontId="4" fillId="10" borderId="0" xfId="0" applyFont="1" applyFill="1" applyAlignment="1">
      <alignment horizontal="center"/>
    </xf>
    <xf numFmtId="0" fontId="0" fillId="2" borderId="0" xfId="0" applyFill="1"/>
    <xf numFmtId="0" fontId="13" fillId="8" borderId="3" xfId="0" applyFont="1" applyFill="1" applyBorder="1" applyAlignment="1">
      <alignment horizontal="center"/>
    </xf>
    <xf numFmtId="0" fontId="0" fillId="0" borderId="3" xfId="0" applyBorder="1"/>
    <xf numFmtId="0" fontId="4" fillId="9" borderId="0" xfId="0" applyFont="1" applyFill="1" applyAlignment="1">
      <alignment horizontal="center"/>
    </xf>
    <xf numFmtId="0" fontId="6" fillId="7" borderId="1" xfId="0" applyFont="1" applyFill="1" applyBorder="1" applyAlignment="1">
      <alignment horizontal="center" wrapText="1"/>
    </xf>
    <xf numFmtId="0" fontId="0" fillId="0" borderId="1" xfId="0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4"/>
  <sheetViews>
    <sheetView tabSelected="1" zoomScaleNormal="100" workbookViewId="0"/>
  </sheetViews>
  <sheetFormatPr baseColWidth="10" defaultColWidth="12" defaultRowHeight="14.4" x14ac:dyDescent="0.3"/>
  <cols>
    <col min="1" max="1" width="17.33203125" style="1" customWidth="1"/>
    <col min="2" max="2" width="28.6640625" style="1" customWidth="1"/>
    <col min="3" max="3" width="21.6640625" style="1" customWidth="1"/>
    <col min="4" max="16" width="13" style="1" customWidth="1"/>
    <col min="17" max="17" width="15.44140625" style="1" customWidth="1"/>
    <col min="18" max="18" width="16" style="1" customWidth="1"/>
    <col min="19" max="19" width="14.6640625" style="1" bestFit="1" customWidth="1"/>
    <col min="20" max="22" width="12" style="1" customWidth="1"/>
  </cols>
  <sheetData>
    <row r="1" spans="1:42" ht="21.9" customHeight="1" x14ac:dyDescent="0.3">
      <c r="A1" s="22"/>
      <c r="B1" s="10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15" customHeight="1" x14ac:dyDescent="0.3">
      <c r="A2" s="10"/>
      <c r="B2" s="10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ht="24" customHeight="1" x14ac:dyDescent="0.3">
      <c r="A3" s="23" t="s">
        <v>0</v>
      </c>
      <c r="B3" s="24" t="s">
        <v>1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2" ht="24" customHeight="1" x14ac:dyDescent="0.3">
      <c r="A4" s="17" t="s">
        <v>2</v>
      </c>
      <c r="B4" s="16" t="s">
        <v>3</v>
      </c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ht="23.1" customHeight="1" x14ac:dyDescent="0.3">
      <c r="A5" s="17" t="s">
        <v>4</v>
      </c>
      <c r="B5" s="16" t="s">
        <v>5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spans="1:42" ht="15.75" customHeight="1" x14ac:dyDescent="0.3">
      <c r="B6" s="1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spans="1:42" ht="17.100000000000001" customHeight="1" x14ac:dyDescent="0.3">
      <c r="B7" s="11"/>
      <c r="C7" s="14"/>
      <c r="D7" s="52" t="s">
        <v>6</v>
      </c>
      <c r="E7" s="49"/>
      <c r="F7" s="49"/>
      <c r="G7" s="48" t="s">
        <v>7</v>
      </c>
      <c r="H7" s="49"/>
      <c r="I7" s="48" t="s">
        <v>8</v>
      </c>
      <c r="J7" s="49"/>
      <c r="K7" s="48" t="s">
        <v>9</v>
      </c>
      <c r="L7" s="49"/>
      <c r="M7" s="41"/>
      <c r="N7" s="41"/>
      <c r="O7" s="53" t="s">
        <v>10</v>
      </c>
      <c r="P7" s="41"/>
      <c r="Q7" s="42"/>
      <c r="R7" s="42"/>
      <c r="S7" s="26" t="s">
        <v>11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 spans="1:42" ht="14.1" customHeight="1" x14ac:dyDescent="0.3">
      <c r="B8" s="12"/>
      <c r="C8" s="13"/>
      <c r="D8" s="39" t="s">
        <v>12</v>
      </c>
      <c r="E8" s="39" t="s">
        <v>13</v>
      </c>
      <c r="F8" s="39" t="s">
        <v>14</v>
      </c>
      <c r="G8" s="40" t="s">
        <v>15</v>
      </c>
      <c r="H8" s="40" t="s">
        <v>16</v>
      </c>
      <c r="I8" s="40" t="s">
        <v>15</v>
      </c>
      <c r="J8" s="40" t="s">
        <v>16</v>
      </c>
      <c r="K8" s="40" t="s">
        <v>15</v>
      </c>
      <c r="L8" s="40" t="s">
        <v>16</v>
      </c>
      <c r="M8" s="43" t="s">
        <v>17</v>
      </c>
      <c r="N8" s="43" t="s">
        <v>18</v>
      </c>
      <c r="O8" s="54"/>
      <c r="P8" s="43" t="s">
        <v>19</v>
      </c>
      <c r="Q8" s="44" t="s">
        <v>20</v>
      </c>
      <c r="R8" s="44" t="s">
        <v>21</v>
      </c>
      <c r="S8" s="25" t="s">
        <v>22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 spans="1:42" x14ac:dyDescent="0.3">
      <c r="A9" s="34" t="s">
        <v>23</v>
      </c>
      <c r="B9" s="34" t="s">
        <v>24</v>
      </c>
      <c r="C9" s="35" t="s">
        <v>25</v>
      </c>
      <c r="D9" s="36"/>
      <c r="E9" s="36"/>
      <c r="F9" s="37"/>
      <c r="G9" s="36"/>
      <c r="H9" s="37"/>
      <c r="I9" s="37"/>
      <c r="J9" s="37"/>
      <c r="K9" s="37"/>
      <c r="L9" s="37"/>
      <c r="M9" s="36"/>
      <c r="N9" s="36"/>
      <c r="O9" s="37"/>
      <c r="P9" s="36"/>
      <c r="Q9" s="38">
        <f>SUM(Q10:Q18)</f>
        <v>320000</v>
      </c>
      <c r="R9" s="38">
        <f>SUM(R10:R18)</f>
        <v>0</v>
      </c>
      <c r="S9" s="38">
        <f t="shared" ref="S9:S19" si="0">Q9-R9</f>
        <v>320000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</row>
    <row r="10" spans="1:42" ht="15.9" customHeight="1" x14ac:dyDescent="0.3">
      <c r="A10" s="21">
        <v>1</v>
      </c>
      <c r="B10" s="19" t="s">
        <v>26</v>
      </c>
      <c r="C10" s="20" t="s">
        <v>5</v>
      </c>
      <c r="D10" s="2">
        <v>95.15</v>
      </c>
      <c r="E10" s="2"/>
      <c r="F10" s="3">
        <v>240.22</v>
      </c>
      <c r="G10" s="2">
        <v>0</v>
      </c>
      <c r="H10" s="3">
        <v>0</v>
      </c>
      <c r="I10" s="2">
        <v>0</v>
      </c>
      <c r="J10" s="3">
        <v>0</v>
      </c>
      <c r="K10" s="2">
        <v>0</v>
      </c>
      <c r="L10" s="3">
        <v>0</v>
      </c>
      <c r="M10" s="2">
        <v>0</v>
      </c>
      <c r="N10" s="2">
        <v>0</v>
      </c>
      <c r="O10" s="3">
        <v>0</v>
      </c>
      <c r="P10" s="2">
        <v>0</v>
      </c>
      <c r="Q10" s="33">
        <v>22857.14</v>
      </c>
      <c r="R10" s="4">
        <f t="shared" ref="R10:R18" si="1">(E10*F10)+(G10*H10)+(I10*J10)+(K10*L10)+M10+N10+O10+P10</f>
        <v>0</v>
      </c>
      <c r="S10" s="5">
        <f t="shared" si="0"/>
        <v>22857.14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 spans="1:42" ht="15.9" customHeight="1" x14ac:dyDescent="0.3">
      <c r="A11" s="21">
        <v>2</v>
      </c>
      <c r="B11" s="19" t="s">
        <v>27</v>
      </c>
      <c r="C11" s="20" t="s">
        <v>5</v>
      </c>
      <c r="D11" s="2">
        <v>190.3</v>
      </c>
      <c r="E11" s="2"/>
      <c r="F11" s="3">
        <v>240.22</v>
      </c>
      <c r="G11" s="2">
        <v>0</v>
      </c>
      <c r="H11" s="3">
        <v>0</v>
      </c>
      <c r="I11" s="2">
        <v>0</v>
      </c>
      <c r="J11" s="3">
        <v>0</v>
      </c>
      <c r="K11" s="2">
        <v>0</v>
      </c>
      <c r="L11" s="3">
        <v>0</v>
      </c>
      <c r="M11" s="2">
        <v>0</v>
      </c>
      <c r="N11" s="2">
        <v>0</v>
      </c>
      <c r="O11" s="3">
        <v>0</v>
      </c>
      <c r="P11" s="2">
        <v>0</v>
      </c>
      <c r="Q11" s="33">
        <v>45714.29</v>
      </c>
      <c r="R11" s="4">
        <f t="shared" si="1"/>
        <v>0</v>
      </c>
      <c r="S11" s="6">
        <f t="shared" si="0"/>
        <v>45714.29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2" ht="15.9" customHeight="1" x14ac:dyDescent="0.3">
      <c r="A12" s="21">
        <v>3</v>
      </c>
      <c r="B12" s="46" t="s">
        <v>28</v>
      </c>
      <c r="C12" s="20" t="s">
        <v>5</v>
      </c>
      <c r="D12" s="2">
        <v>951.5</v>
      </c>
      <c r="E12" s="2"/>
      <c r="F12" s="3">
        <v>240.22</v>
      </c>
      <c r="G12" s="2">
        <v>0</v>
      </c>
      <c r="H12" s="3">
        <v>0</v>
      </c>
      <c r="I12" s="2">
        <v>0</v>
      </c>
      <c r="J12" s="3">
        <v>0</v>
      </c>
      <c r="K12" s="2">
        <v>0</v>
      </c>
      <c r="L12" s="3">
        <v>0</v>
      </c>
      <c r="M12" s="2">
        <v>0</v>
      </c>
      <c r="N12" s="2">
        <v>0</v>
      </c>
      <c r="O12" s="3">
        <v>0</v>
      </c>
      <c r="P12" s="2">
        <v>0</v>
      </c>
      <c r="Q12" s="33">
        <v>228571.43</v>
      </c>
      <c r="R12" s="4">
        <f t="shared" si="1"/>
        <v>0</v>
      </c>
      <c r="S12" s="6">
        <f t="shared" si="0"/>
        <v>228571.43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1:42" ht="15.9" customHeight="1" x14ac:dyDescent="0.3">
      <c r="A13" s="21">
        <v>4</v>
      </c>
      <c r="B13" s="47" t="s">
        <v>29</v>
      </c>
      <c r="C13" s="18" t="s">
        <v>30</v>
      </c>
      <c r="D13" s="2">
        <v>95.15</v>
      </c>
      <c r="E13" s="2"/>
      <c r="F13" s="3">
        <v>240.22</v>
      </c>
      <c r="G13" s="2">
        <v>0</v>
      </c>
      <c r="H13" s="3">
        <v>0</v>
      </c>
      <c r="I13" s="2">
        <v>0</v>
      </c>
      <c r="J13" s="3">
        <v>0</v>
      </c>
      <c r="K13" s="2">
        <v>0</v>
      </c>
      <c r="L13" s="3">
        <v>0</v>
      </c>
      <c r="M13" s="7">
        <v>0</v>
      </c>
      <c r="N13" s="7">
        <v>0</v>
      </c>
      <c r="O13" s="3">
        <v>0</v>
      </c>
      <c r="P13" s="7">
        <v>0</v>
      </c>
      <c r="Q13" s="33">
        <v>22857.14</v>
      </c>
      <c r="R13" s="4">
        <f t="shared" si="1"/>
        <v>0</v>
      </c>
      <c r="S13" s="6">
        <f t="shared" si="0"/>
        <v>22857.14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spans="1:42" ht="15.9" customHeight="1" x14ac:dyDescent="0.3">
      <c r="A14" s="21"/>
      <c r="B14" s="47"/>
      <c r="C14" s="18"/>
      <c r="D14" s="2"/>
      <c r="E14" s="2"/>
      <c r="F14" s="3"/>
      <c r="G14" s="2"/>
      <c r="H14" s="3"/>
      <c r="I14" s="2"/>
      <c r="J14" s="3"/>
      <c r="K14" s="2"/>
      <c r="L14" s="3"/>
      <c r="M14" s="7"/>
      <c r="N14" s="7"/>
      <c r="O14" s="3"/>
      <c r="P14" s="7"/>
      <c r="Q14" s="33"/>
      <c r="R14" s="4">
        <f t="shared" si="1"/>
        <v>0</v>
      </c>
      <c r="S14" s="6">
        <f t="shared" si="0"/>
        <v>0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 spans="1:42" ht="15.9" customHeight="1" x14ac:dyDescent="0.3">
      <c r="A15" s="21"/>
      <c r="B15" s="47"/>
      <c r="C15" s="18"/>
      <c r="D15" s="2"/>
      <c r="E15" s="2"/>
      <c r="F15" s="3"/>
      <c r="G15" s="2"/>
      <c r="H15" s="3"/>
      <c r="I15" s="2"/>
      <c r="J15" s="3"/>
      <c r="K15" s="2"/>
      <c r="L15" s="3"/>
      <c r="M15" s="8"/>
      <c r="N15" s="8"/>
      <c r="O15" s="3"/>
      <c r="P15" s="8"/>
      <c r="Q15" s="33"/>
      <c r="R15" s="4">
        <f t="shared" si="1"/>
        <v>0</v>
      </c>
      <c r="S15" s="6">
        <f t="shared" si="0"/>
        <v>0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</row>
    <row r="16" spans="1:42" ht="15.9" customHeight="1" x14ac:dyDescent="0.3">
      <c r="A16" s="21"/>
      <c r="B16" s="18"/>
      <c r="C16" s="18"/>
      <c r="D16" s="2"/>
      <c r="E16" s="2"/>
      <c r="F16" s="3"/>
      <c r="G16" s="2"/>
      <c r="H16" s="3"/>
      <c r="I16" s="2"/>
      <c r="J16" s="3"/>
      <c r="K16" s="2"/>
      <c r="L16" s="3"/>
      <c r="M16" s="7"/>
      <c r="N16" s="7"/>
      <c r="O16" s="3"/>
      <c r="P16" s="7"/>
      <c r="Q16" s="33"/>
      <c r="R16" s="4">
        <f t="shared" si="1"/>
        <v>0</v>
      </c>
      <c r="S16" s="6">
        <f t="shared" si="0"/>
        <v>0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 spans="1:42" ht="15.9" customHeight="1" x14ac:dyDescent="0.3">
      <c r="A17" s="21"/>
      <c r="B17" s="19"/>
      <c r="C17" s="19"/>
      <c r="D17" s="2"/>
      <c r="E17" s="2"/>
      <c r="F17" s="3"/>
      <c r="G17" s="2"/>
      <c r="H17" s="3"/>
      <c r="I17" s="2"/>
      <c r="J17" s="3"/>
      <c r="K17" s="2"/>
      <c r="L17" s="3"/>
      <c r="M17" s="2"/>
      <c r="N17" s="2"/>
      <c r="O17" s="3"/>
      <c r="P17" s="2"/>
      <c r="Q17" s="33"/>
      <c r="R17" s="4">
        <f t="shared" si="1"/>
        <v>0</v>
      </c>
      <c r="S17" s="6">
        <f t="shared" si="0"/>
        <v>0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spans="1:42" ht="15.9" customHeight="1" x14ac:dyDescent="0.3">
      <c r="A18" s="21"/>
      <c r="B18" s="19"/>
      <c r="C18" s="19"/>
      <c r="D18" s="2"/>
      <c r="E18" s="2"/>
      <c r="F18" s="3"/>
      <c r="G18" s="2"/>
      <c r="H18" s="3"/>
      <c r="I18" s="3"/>
      <c r="J18" s="3"/>
      <c r="K18" s="3"/>
      <c r="L18" s="3"/>
      <c r="M18" s="2"/>
      <c r="N18" s="2"/>
      <c r="O18" s="3"/>
      <c r="P18" s="2"/>
      <c r="Q18" s="33"/>
      <c r="R18" s="4">
        <f t="shared" si="1"/>
        <v>0</v>
      </c>
      <c r="S18" s="6">
        <f t="shared" si="0"/>
        <v>0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</row>
    <row r="19" spans="1:42" ht="15.75" customHeight="1" x14ac:dyDescent="0.3">
      <c r="A19" s="27"/>
      <c r="B19" s="50" t="s">
        <v>31</v>
      </c>
      <c r="C19" s="51"/>
      <c r="D19" s="28"/>
      <c r="E19" s="29"/>
      <c r="F19" s="30">
        <f>(E10*F10)+(E11*F11)+(E12*F12)+(E13*F13)+(E14*F14)+(E15*F15)+(E16*F16)+(E17*F17)+(E18*F18)</f>
        <v>0</v>
      </c>
      <c r="G19" s="29"/>
      <c r="H19" s="30">
        <f>(G10*H10)+(G11*H11)+(G12*H12)+(G13*H13)+(G14*H14)+(G15*H15)+(G16*H16)+(G17*H17)+(G18*H18)</f>
        <v>0</v>
      </c>
      <c r="I19" s="29"/>
      <c r="J19" s="30">
        <f>(I10*J10)+(I11*J11)+(I12*J12)+(I13*J13)+(I14*J14)+(I15*J15)+(I16*J16)+(I17*J17)+(I18*J18)</f>
        <v>0</v>
      </c>
      <c r="K19" s="29"/>
      <c r="L19" s="30">
        <f>(K10*L10)+(K11*L11)+(K12*L12)+(K13*L13)+(K14*L14)+(K15*L15)+(K16*L16)+(K17*L17)+(K18*L18)</f>
        <v>0</v>
      </c>
      <c r="M19" s="31">
        <f>SUM(M10:M18)</f>
        <v>0</v>
      </c>
      <c r="N19" s="31">
        <f>SUM(N10:N18)</f>
        <v>0</v>
      </c>
      <c r="O19" s="30">
        <f>SUM(O10:O18)</f>
        <v>0</v>
      </c>
      <c r="P19" s="31">
        <f>SUM(P10:P18)</f>
        <v>0</v>
      </c>
      <c r="Q19" s="32">
        <f>SUM(Q10:Q18)</f>
        <v>320000</v>
      </c>
      <c r="R19" s="30">
        <f>SUM(F19:P19)</f>
        <v>0</v>
      </c>
      <c r="S19" s="9">
        <f t="shared" si="0"/>
        <v>320000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 ht="15.75" customHeight="1" x14ac:dyDescent="0.3"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pans="1:42" s="1" customFormat="1" ht="15.75" customHeight="1" x14ac:dyDescent="0.3"/>
    <row r="22" spans="1:42" x14ac:dyDescent="0.3"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  <row r="23" spans="1:42" x14ac:dyDescent="0.3"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</row>
    <row r="24" spans="1:42" x14ac:dyDescent="0.3"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</row>
    <row r="25" spans="1:42" x14ac:dyDescent="0.3"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 spans="1:42" x14ac:dyDescent="0.3"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3"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</row>
    <row r="28" spans="1:42" x14ac:dyDescent="0.3"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</row>
    <row r="29" spans="1:42" x14ac:dyDescent="0.3"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</row>
    <row r="30" spans="1:42" x14ac:dyDescent="0.3"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</row>
    <row r="31" spans="1:42" x14ac:dyDescent="0.3"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 spans="1:42" x14ac:dyDescent="0.3"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 spans="23:42" x14ac:dyDescent="0.3"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 spans="23:42" ht="23.25" customHeight="1" x14ac:dyDescent="0.3"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</row>
    <row r="35" spans="23:42" x14ac:dyDescent="0.3"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</row>
    <row r="36" spans="23:42" x14ac:dyDescent="0.3"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</row>
    <row r="37" spans="23:42" x14ac:dyDescent="0.3"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</row>
    <row r="38" spans="23:42" x14ac:dyDescent="0.3"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 spans="23:42" x14ac:dyDescent="0.3"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0" spans="23:42" x14ac:dyDescent="0.3"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  <row r="41" spans="23:42" x14ac:dyDescent="0.3"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</row>
    <row r="42" spans="23:42" x14ac:dyDescent="0.3"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</row>
    <row r="43" spans="23:42" x14ac:dyDescent="0.3"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</row>
    <row r="44" spans="23:42" x14ac:dyDescent="0.3"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</row>
    <row r="45" spans="23:42" x14ac:dyDescent="0.3"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</row>
    <row r="46" spans="23:42" x14ac:dyDescent="0.3"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</row>
    <row r="47" spans="23:42" x14ac:dyDescent="0.3"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</row>
    <row r="48" spans="23:42" x14ac:dyDescent="0.3"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</row>
    <row r="49" spans="23:42" x14ac:dyDescent="0.3"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  <row r="50" spans="23:42" x14ac:dyDescent="0.3"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</row>
    <row r="51" spans="23:42" x14ac:dyDescent="0.3"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</row>
    <row r="52" spans="23:42" x14ac:dyDescent="0.3"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</row>
    <row r="53" spans="23:42" x14ac:dyDescent="0.3"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</row>
    <row r="54" spans="23:42" x14ac:dyDescent="0.3"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</row>
    <row r="55" spans="23:42" x14ac:dyDescent="0.3"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</row>
    <row r="56" spans="23:42" x14ac:dyDescent="0.3"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</row>
    <row r="57" spans="23:42" x14ac:dyDescent="0.3"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</row>
    <row r="58" spans="23:42" x14ac:dyDescent="0.3"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</row>
    <row r="59" spans="23:42" x14ac:dyDescent="0.3"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 spans="23:42" x14ac:dyDescent="0.3"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</row>
    <row r="61" spans="23:42" x14ac:dyDescent="0.3"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 spans="23:42" x14ac:dyDescent="0.3"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spans="23:42" x14ac:dyDescent="0.3"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 spans="23:42" x14ac:dyDescent="0.3"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</row>
    <row r="65" spans="23:42" x14ac:dyDescent="0.3"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</row>
    <row r="66" spans="23:42" x14ac:dyDescent="0.3"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spans="23:42" x14ac:dyDescent="0.3"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spans="23:42" x14ac:dyDescent="0.3"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spans="23:42" x14ac:dyDescent="0.3"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spans="23:42" x14ac:dyDescent="0.3"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spans="23:42" x14ac:dyDescent="0.3"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spans="23:42" x14ac:dyDescent="0.3"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23:42" x14ac:dyDescent="0.3"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spans="23:42" x14ac:dyDescent="0.3"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spans="23:42" x14ac:dyDescent="0.3"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spans="23:42" x14ac:dyDescent="0.3"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spans="23:42" x14ac:dyDescent="0.3"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spans="23:42" x14ac:dyDescent="0.3"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23:42" x14ac:dyDescent="0.3"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23:42" x14ac:dyDescent="0.3"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pans="23:42" x14ac:dyDescent="0.3"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pans="23:42" x14ac:dyDescent="0.3"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spans="23:42" x14ac:dyDescent="0.3"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spans="23:42" x14ac:dyDescent="0.3"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</sheetData>
  <mergeCells count="6">
    <mergeCell ref="O7:O8"/>
    <mergeCell ref="K7:L7"/>
    <mergeCell ref="G7:H7"/>
    <mergeCell ref="B19:C19"/>
    <mergeCell ref="I7:J7"/>
    <mergeCell ref="D7:F7"/>
  </mergeCells>
  <conditionalFormatting sqref="S10:S1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PMO - Costos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Quintero N.</dc:creator>
  <cp:lastModifiedBy>Carlos Quintero</cp:lastModifiedBy>
  <dcterms:created xsi:type="dcterms:W3CDTF">2016-04-28T20:56:19Z</dcterms:created>
  <dcterms:modified xsi:type="dcterms:W3CDTF">2026-09-14T22:39:44Z</dcterms:modified>
</cp:coreProperties>
</file>