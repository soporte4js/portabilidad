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MMI\GITHUB\Certificacion-CMMI\Revision\Gobernanza\"/>
    </mc:Choice>
  </mc:AlternateContent>
  <xr:revisionPtr revIDLastSave="0" documentId="13_ncr:1_{1DA4DCEE-73EC-4E30-8F4B-9D9EC4AE0AFA}" xr6:coauthVersionLast="47" xr6:coauthVersionMax="47" xr10:uidLastSave="{00000000-0000-0000-0000-000000000000}"/>
  <bookViews>
    <workbookView xWindow="-108" yWindow="-108" windowWidth="23256" windowHeight="13896" tabRatio="809" xr2:uid="{00000000-000D-0000-FFFF-FFFF00000000}"/>
  </bookViews>
  <sheets>
    <sheet name="Global" sheetId="1" r:id="rId1"/>
    <sheet name="Organizacional" sheetId="2" r:id="rId2"/>
    <sheet name="Administrativo" sheetId="3" r:id="rId3"/>
    <sheet name="Gastos Operativos Generales" sheetId="4" r:id="rId4"/>
    <sheet name="Reserva Estratégica" sheetId="5" r:id="rId5"/>
  </sheets>
  <definedNames>
    <definedName name="_xlnm.Print_Area" localSheetId="4">'Reserva Estratégica'!$A$1:$E$30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11" i="4"/>
  <c r="E20" i="2"/>
  <c r="C7" i="5"/>
  <c r="C8" i="5"/>
  <c r="C9" i="5"/>
  <c r="C10" i="5"/>
  <c r="C6" i="5"/>
  <c r="C11" i="5" s="1"/>
  <c r="C6" i="3"/>
  <c r="C7" i="3"/>
  <c r="D10" i="3"/>
  <c r="C7" i="4"/>
  <c r="C11" i="4" s="1"/>
  <c r="C8" i="4"/>
  <c r="C9" i="4"/>
  <c r="C10" i="4"/>
  <c r="C6" i="4"/>
  <c r="C8" i="3"/>
  <c r="C9" i="3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6" i="2"/>
  <c r="D20" i="2" s="1"/>
  <c r="C10" i="1"/>
  <c r="C10" i="3" l="1"/>
</calcChain>
</file>

<file path=xl/sharedStrings.xml><?xml version="1.0" encoding="utf-8"?>
<sst xmlns="http://schemas.openxmlformats.org/spreadsheetml/2006/main" count="91" uniqueCount="78">
  <si>
    <t>% del total</t>
  </si>
  <si>
    <t>Departamento de Desarrollo de Sistemas</t>
  </si>
  <si>
    <t>Departamento Administrativo</t>
  </si>
  <si>
    <t>Gastos Operativos Generales</t>
  </si>
  <si>
    <t>Reserva Estratégica / Contingencias</t>
  </si>
  <si>
    <t>Puesto</t>
  </si>
  <si>
    <t>% del depto.</t>
  </si>
  <si>
    <t>Descripción</t>
  </si>
  <si>
    <t>VP Latin America Sales &amp; Marketing</t>
  </si>
  <si>
    <t>Process Manager</t>
  </si>
  <si>
    <t>Support Manager</t>
  </si>
  <si>
    <t>Quality Auditor</t>
  </si>
  <si>
    <t>Customer Support &amp; Training</t>
  </si>
  <si>
    <t>Technical Leader</t>
  </si>
  <si>
    <t>Consultant</t>
  </si>
  <si>
    <t>Support Engineer</t>
  </si>
  <si>
    <t>Systems Engineer</t>
  </si>
  <si>
    <t>Software Analyst</t>
  </si>
  <si>
    <t>Software Architect</t>
  </si>
  <si>
    <t>Software Designer</t>
  </si>
  <si>
    <t>Software Developer</t>
  </si>
  <si>
    <t>Software Tester</t>
  </si>
  <si>
    <t>Dirección estratégica y comercial</t>
  </si>
  <si>
    <t>Gestión de procesos y mejora continua</t>
  </si>
  <si>
    <t>Coordinación del soporte técnico</t>
  </si>
  <si>
    <t>Auditorías de calidad y control interno</t>
  </si>
  <si>
    <t>Soporte y capacitación a clientes</t>
  </si>
  <si>
    <t>Dirección técnica y revisión de arquitectura</t>
  </si>
  <si>
    <t>Consultoría especializada</t>
  </si>
  <si>
    <t>Atención técnica postventa</t>
  </si>
  <si>
    <t>Administración de entornos y servidores</t>
  </si>
  <si>
    <t>Análisis funcional y requerimientos</t>
  </si>
  <si>
    <t>Diseño de estructuras y frameworks</t>
  </si>
  <si>
    <t>Diseño de interfaz y usabilidad</t>
  </si>
  <si>
    <t>Programación principal de sistemas</t>
  </si>
  <si>
    <t>Pruebas de calidad y validación final</t>
  </si>
  <si>
    <t>Contador</t>
  </si>
  <si>
    <t>Seguro Social</t>
  </si>
  <si>
    <t>Recursos Humanos</t>
  </si>
  <si>
    <t>Contraloría</t>
  </si>
  <si>
    <t>Contabilidad general y fiscal</t>
  </si>
  <si>
    <t>Aportaciones y cumplimiento legal</t>
  </si>
  <si>
    <t>Reclutamiento y clima laboral</t>
  </si>
  <si>
    <t>Supervisión financiera y control presupuestal</t>
  </si>
  <si>
    <t>Concepto</t>
  </si>
  <si>
    <t>Renta de oficinas</t>
  </si>
  <si>
    <t>Servicios básicos (luz, agua, internet, limpieza)</t>
  </si>
  <si>
    <t>Equipos y mantenimiento TI</t>
  </si>
  <si>
    <t>Viajes / representación</t>
  </si>
  <si>
    <t>Comunicaciones y marketing digital</t>
  </si>
  <si>
    <t>Espacio físico o coworking</t>
  </si>
  <si>
    <t>Mantenimiento operativo general</t>
  </si>
  <si>
    <t>Renovación y soporte de equipos</t>
  </si>
  <si>
    <t>Reuniones con clientes y partners</t>
  </si>
  <si>
    <t>Publicidad, hosting y dominio</t>
  </si>
  <si>
    <t>Fondo para imprevistos</t>
  </si>
  <si>
    <t>Innovación y proyectos piloto</t>
  </si>
  <si>
    <t>Presupuesto Global "Four Js"</t>
  </si>
  <si>
    <t>Presupuesto Organizacional "Four Js"</t>
  </si>
  <si>
    <t>Presupuesto Administrativo "Four Js"</t>
  </si>
  <si>
    <t>Presupuesto Reserva Estratégica "Four Js"</t>
  </si>
  <si>
    <t>Fecha</t>
  </si>
  <si>
    <t>Versión</t>
  </si>
  <si>
    <t>Autor</t>
  </si>
  <si>
    <t>Generación del documento.</t>
  </si>
  <si>
    <t>1.0</t>
  </si>
  <si>
    <t>Infraestructura tecnica</t>
  </si>
  <si>
    <t>Cobertura ante fallas críticas, contingencias legales, o sustitución de equipos.</t>
  </si>
  <si>
    <t>Investigación de nuevas tecnologías, pruebas de concepto, y desarrollo experimental.</t>
  </si>
  <si>
    <t>Ampliación o actualización de servidores, licencias o entornos de nube.</t>
  </si>
  <si>
    <t>Entrenamiento de alto nivel, certificaciones internacionales, o cursos técnicos clave.</t>
  </si>
  <si>
    <t>Soporte para colaboraciones, expansión regional o proyectos conjuntos.</t>
  </si>
  <si>
    <t>Capacitación avanzada y certificaciones estratégicas</t>
  </si>
  <si>
    <t>Fondo de expansión o alianzas estratégicas</t>
  </si>
  <si>
    <t>Presupuesto Gastos Operativos Generales "Four Js"</t>
  </si>
  <si>
    <t>% del Depto.</t>
  </si>
  <si>
    <t>Monto (USD)</t>
  </si>
  <si>
    <t>Carlos Quintero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</si>
</sst>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595959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5">
    <xf numFmtId="0" fontId="0" fillId="0" borderId="0" xfId="0"/>
    <xf numFmtId="44" fontId="0" fillId="0" borderId="0" xfId="1" applyFont="1" applyBorder="1"/>
    <xf numFmtId="0" fontId="0" fillId="0" borderId="0" xfId="0" applyAlignment="1">
      <alignment horizontal="right"/>
    </xf>
    <xf numFmtId="0" fontId="0" fillId="0" borderId="1" xfId="0" applyBorder="1"/>
    <xf numFmtId="44" fontId="0" fillId="0" borderId="1" xfId="1" applyFont="1" applyBorder="1"/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44" fontId="0" fillId="0" borderId="4" xfId="1" applyFont="1" applyBorder="1"/>
    <xf numFmtId="9" fontId="0" fillId="0" borderId="4" xfId="0" applyNumberFormat="1" applyBorder="1" applyAlignment="1">
      <alignment horizontal="center"/>
    </xf>
    <xf numFmtId="0" fontId="0" fillId="0" borderId="5" xfId="0" applyBorder="1"/>
    <xf numFmtId="44" fontId="0" fillId="0" borderId="5" xfId="1" applyFont="1" applyBorder="1"/>
    <xf numFmtId="9" fontId="0" fillId="0" borderId="5" xfId="0" applyNumberFormat="1" applyBorder="1" applyAlignment="1">
      <alignment horizontal="center"/>
    </xf>
    <xf numFmtId="0" fontId="0" fillId="0" borderId="2" xfId="0" applyBorder="1"/>
    <xf numFmtId="44" fontId="0" fillId="0" borderId="2" xfId="1" applyFont="1" applyBorder="1"/>
    <xf numFmtId="0" fontId="1" fillId="0" borderId="5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justify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44" fontId="0" fillId="0" borderId="2" xfId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4" fontId="0" fillId="0" borderId="0" xfId="0" applyNumberFormat="1"/>
    <xf numFmtId="9" fontId="0" fillId="0" borderId="0" xfId="2" applyFont="1"/>
    <xf numFmtId="0" fontId="0" fillId="0" borderId="13" xfId="0" applyBorder="1" applyAlignment="1">
      <alignment horizontal="right"/>
    </xf>
    <xf numFmtId="44" fontId="0" fillId="0" borderId="13" xfId="1" applyFont="1" applyBorder="1"/>
    <xf numFmtId="9" fontId="0" fillId="0" borderId="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2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9" fontId="0" fillId="0" borderId="2" xfId="2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0" borderId="0" xfId="0" applyAlignment="1">
      <alignment vertical="center" wrapText="1"/>
    </xf>
    <xf numFmtId="44" fontId="0" fillId="0" borderId="0" xfId="1" applyFont="1" applyBorder="1" applyAlignment="1">
      <alignment vertical="center"/>
    </xf>
    <xf numFmtId="9" fontId="0" fillId="0" borderId="0" xfId="2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Anual Four</a:t>
            </a:r>
            <a:r>
              <a:rPr lang="en-US" baseline="0"/>
              <a:t> Js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(MXN)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Global!$C$5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Global!$B$6:$B$9</c:f>
              <c:strCache>
                <c:ptCount val="4"/>
                <c:pt idx="0">
                  <c:v>Departamento de Desarrollo de Sistemas</c:v>
                </c:pt>
                <c:pt idx="1">
                  <c:v>Departamento Administrativo</c:v>
                </c:pt>
                <c:pt idx="2">
                  <c:v>Gastos Operativos Generales</c:v>
                </c:pt>
                <c:pt idx="3">
                  <c:v>Reserva Estratégica / Contingencias</c:v>
                </c:pt>
              </c:strCache>
            </c:strRef>
          </c:cat>
          <c:val>
            <c:numRef>
              <c:f>Global!$C$6:$C$9</c:f>
              <c:numCache>
                <c:formatCode>_("$"* #,##0.00_);_("$"* \(#,##0.00\);_("$"* "-"??_);_(@_)</c:formatCode>
                <c:ptCount val="4"/>
                <c:pt idx="0">
                  <c:v>472500</c:v>
                </c:pt>
                <c:pt idx="1">
                  <c:v>150000</c:v>
                </c:pt>
                <c:pt idx="2">
                  <c:v>52500</c:v>
                </c:pt>
                <c:pt idx="3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8-482B-9B68-F8E62AB8A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2634831"/>
        <c:axId val="262635311"/>
      </c:barChart>
      <c:lineChart>
        <c:grouping val="standard"/>
        <c:varyColors val="0"/>
        <c:ser>
          <c:idx val="1"/>
          <c:order val="1"/>
          <c:tx>
            <c:strRef>
              <c:f>Global!$D$5</c:f>
              <c:strCache>
                <c:ptCount val="1"/>
                <c:pt idx="0">
                  <c:v>% del total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144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Global!$B$6:$B$9</c:f>
              <c:strCache>
                <c:ptCount val="4"/>
                <c:pt idx="0">
                  <c:v>Departamento de Desarrollo de Sistemas</c:v>
                </c:pt>
                <c:pt idx="1">
                  <c:v>Departamento Administrativo</c:v>
                </c:pt>
                <c:pt idx="2">
                  <c:v>Gastos Operativos Generales</c:v>
                </c:pt>
                <c:pt idx="3">
                  <c:v>Reserva Estratégica / Contingencias</c:v>
                </c:pt>
              </c:strCache>
            </c:strRef>
          </c:cat>
          <c:val>
            <c:numRef>
              <c:f>Global!$D$6:$D$9</c:f>
              <c:numCache>
                <c:formatCode>0%</c:formatCode>
                <c:ptCount val="4"/>
                <c:pt idx="0">
                  <c:v>0.63</c:v>
                </c:pt>
                <c:pt idx="1">
                  <c:v>0.2</c:v>
                </c:pt>
                <c:pt idx="2">
                  <c:v>7.0000000000000007E-2</c:v>
                </c:pt>
                <c:pt idx="3">
                  <c:v>0.1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F48-482B-9B68-F8E62AB8A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8671343"/>
        <c:axId val="278668943"/>
        <c:extLst/>
      </c:lineChart>
      <c:catAx>
        <c:axId val="26263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2635311"/>
        <c:crosses val="autoZero"/>
        <c:auto val="1"/>
        <c:lblAlgn val="ctr"/>
        <c:lblOffset val="100"/>
        <c:noMultiLvlLbl val="0"/>
      </c:catAx>
      <c:valAx>
        <c:axId val="2626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2634831"/>
        <c:crosses val="autoZero"/>
        <c:crossBetween val="between"/>
      </c:valAx>
      <c:valAx>
        <c:axId val="27866894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8671343"/>
        <c:crosses val="max"/>
        <c:crossBetween val="between"/>
      </c:valAx>
      <c:catAx>
        <c:axId val="27867134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7866894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Organizacional</a:t>
            </a:r>
            <a:r>
              <a:rPr lang="en-US" baseline="0"/>
              <a:t> </a:t>
            </a:r>
            <a:r>
              <a:rPr lang="en-US" b="1" baseline="0"/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(MXN)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Organizacional!$D$5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-222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Organizacional!$C$6:$C$19</c:f>
              <c:strCache>
                <c:ptCount val="14"/>
                <c:pt idx="0">
                  <c:v>VP Latin America Sales &amp; Marketing</c:v>
                </c:pt>
                <c:pt idx="1">
                  <c:v>Process Manager</c:v>
                </c:pt>
                <c:pt idx="2">
                  <c:v>Support Manager</c:v>
                </c:pt>
                <c:pt idx="3">
                  <c:v>Quality Auditor</c:v>
                </c:pt>
                <c:pt idx="4">
                  <c:v>Customer Support &amp; Training</c:v>
                </c:pt>
                <c:pt idx="5">
                  <c:v>Technical Leader</c:v>
                </c:pt>
                <c:pt idx="6">
                  <c:v>Consultant</c:v>
                </c:pt>
                <c:pt idx="7">
                  <c:v>Support Engineer</c:v>
                </c:pt>
                <c:pt idx="8">
                  <c:v>Systems Engineer</c:v>
                </c:pt>
                <c:pt idx="9">
                  <c:v>Software Analyst</c:v>
                </c:pt>
                <c:pt idx="10">
                  <c:v>Software Architect</c:v>
                </c:pt>
                <c:pt idx="11">
                  <c:v>Software Designer</c:v>
                </c:pt>
                <c:pt idx="12">
                  <c:v>Software Developer</c:v>
                </c:pt>
                <c:pt idx="13">
                  <c:v>Software Tester</c:v>
                </c:pt>
              </c:strCache>
            </c:strRef>
          </c:cat>
          <c:val>
            <c:numRef>
              <c:f>Organizacional!$D$6:$D$19</c:f>
              <c:numCache>
                <c:formatCode>_("$"* #,##0.00_);_("$"* \(#,##0.00\);_("$"* "-"??_);_(@_)</c:formatCode>
                <c:ptCount val="14"/>
                <c:pt idx="0">
                  <c:v>37800</c:v>
                </c:pt>
                <c:pt idx="1">
                  <c:v>33075</c:v>
                </c:pt>
                <c:pt idx="2">
                  <c:v>37800</c:v>
                </c:pt>
                <c:pt idx="3">
                  <c:v>33075</c:v>
                </c:pt>
                <c:pt idx="4">
                  <c:v>37800</c:v>
                </c:pt>
                <c:pt idx="5">
                  <c:v>37800</c:v>
                </c:pt>
                <c:pt idx="6">
                  <c:v>28350</c:v>
                </c:pt>
                <c:pt idx="7">
                  <c:v>28350</c:v>
                </c:pt>
                <c:pt idx="8">
                  <c:v>33075</c:v>
                </c:pt>
                <c:pt idx="9">
                  <c:v>33075</c:v>
                </c:pt>
                <c:pt idx="10">
                  <c:v>33075</c:v>
                </c:pt>
                <c:pt idx="11">
                  <c:v>28350</c:v>
                </c:pt>
                <c:pt idx="12">
                  <c:v>51975</c:v>
                </c:pt>
                <c:pt idx="13">
                  <c:v>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9-47CC-B04A-6D93CD38966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0399983"/>
        <c:axId val="270401423"/>
      </c:barChart>
      <c:lineChart>
        <c:grouping val="standard"/>
        <c:varyColors val="0"/>
        <c:ser>
          <c:idx val="1"/>
          <c:order val="1"/>
          <c:tx>
            <c:strRef>
              <c:f>Organizacional!$E$5</c:f>
              <c:strCache>
                <c:ptCount val="1"/>
                <c:pt idx="0">
                  <c:v>% del depto.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0" rIns="38100" bIns="21600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Organizacional!$C$6:$C$19</c:f>
              <c:strCache>
                <c:ptCount val="14"/>
                <c:pt idx="0">
                  <c:v>VP Latin America Sales &amp; Marketing</c:v>
                </c:pt>
                <c:pt idx="1">
                  <c:v>Process Manager</c:v>
                </c:pt>
                <c:pt idx="2">
                  <c:v>Support Manager</c:v>
                </c:pt>
                <c:pt idx="3">
                  <c:v>Quality Auditor</c:v>
                </c:pt>
                <c:pt idx="4">
                  <c:v>Customer Support &amp; Training</c:v>
                </c:pt>
                <c:pt idx="5">
                  <c:v>Technical Leader</c:v>
                </c:pt>
                <c:pt idx="6">
                  <c:v>Consultant</c:v>
                </c:pt>
                <c:pt idx="7">
                  <c:v>Support Engineer</c:v>
                </c:pt>
                <c:pt idx="8">
                  <c:v>Systems Engineer</c:v>
                </c:pt>
                <c:pt idx="9">
                  <c:v>Software Analyst</c:v>
                </c:pt>
                <c:pt idx="10">
                  <c:v>Software Architect</c:v>
                </c:pt>
                <c:pt idx="11">
                  <c:v>Software Designer</c:v>
                </c:pt>
                <c:pt idx="12">
                  <c:v>Software Developer</c:v>
                </c:pt>
                <c:pt idx="13">
                  <c:v>Software Tester</c:v>
                </c:pt>
              </c:strCache>
              <c:extLst xmlns:c15="http://schemas.microsoft.com/office/drawing/2012/chart"/>
            </c:strRef>
          </c:cat>
          <c:val>
            <c:numRef>
              <c:f>Organizacional!$E$6:$E$19</c:f>
              <c:numCache>
                <c:formatCode>0%</c:formatCode>
                <c:ptCount val="14"/>
                <c:pt idx="0">
                  <c:v>0.08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0.08</c:v>
                </c:pt>
                <c:pt idx="6">
                  <c:v>0.06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0.11</c:v>
                </c:pt>
                <c:pt idx="13">
                  <c:v>0.04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89-47CC-B04A-6D93CD3896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0397103"/>
        <c:axId val="270398063"/>
        <c:extLst/>
      </c:lineChart>
      <c:catAx>
        <c:axId val="2703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401423"/>
        <c:crosses val="autoZero"/>
        <c:auto val="1"/>
        <c:lblAlgn val="ctr"/>
        <c:lblOffset val="100"/>
        <c:noMultiLvlLbl val="0"/>
      </c:catAx>
      <c:valAx>
        <c:axId val="2704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399983"/>
        <c:crosses val="autoZero"/>
        <c:crossBetween val="between"/>
      </c:valAx>
      <c:valAx>
        <c:axId val="27039806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397103"/>
        <c:crosses val="max"/>
        <c:crossBetween val="between"/>
      </c:valAx>
      <c:catAx>
        <c:axId val="270397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0398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Administrativo "Four Js"</a:t>
            </a:r>
          </a:p>
          <a:p>
            <a:pPr>
              <a:defRPr/>
            </a:pPr>
            <a:r>
              <a:rPr lang="en-US"/>
              <a:t>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Administrativo!$C$5</c:f>
              <c:strCache>
                <c:ptCount val="1"/>
                <c:pt idx="0">
                  <c:v>Monto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F7E-4A22-9C38-E6F729854F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7E-4A22-9C38-E6F729854F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F7E-4A22-9C38-E6F729854F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7E-4A22-9C38-E6F729854FC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F7E-4A22-9C38-E6F729854FC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F7E-4A22-9C38-E6F729854FC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F7E-4A22-9C38-E6F729854FC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F7E-4A22-9C38-E6F729854FC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Administrativo!$B$6:$B$9</c:f>
              <c:strCache>
                <c:ptCount val="4"/>
                <c:pt idx="0">
                  <c:v>Contador</c:v>
                </c:pt>
                <c:pt idx="1">
                  <c:v>Seguro Social</c:v>
                </c:pt>
                <c:pt idx="2">
                  <c:v>Recursos Humanos</c:v>
                </c:pt>
                <c:pt idx="3">
                  <c:v>Contraloría</c:v>
                </c:pt>
              </c:strCache>
            </c:strRef>
          </c:cat>
          <c:val>
            <c:numRef>
              <c:f>Administrativo!$C$6:$C$9</c:f>
              <c:numCache>
                <c:formatCode>_("$"* #,##0.00_);_("$"* \(#,##0.00\);_("$"* "-"??_);_(@_)</c:formatCode>
                <c:ptCount val="4"/>
                <c:pt idx="0">
                  <c:v>37500</c:v>
                </c:pt>
                <c:pt idx="1">
                  <c:v>37500</c:v>
                </c:pt>
                <c:pt idx="2">
                  <c:v>37500</c:v>
                </c:pt>
                <c:pt idx="3">
                  <c:v>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E-4A22-9C38-E6F729854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Administrativo!$D$5</c15:sqref>
                        </c15:formulaRef>
                      </c:ext>
                    </c:extLst>
                    <c:strCache>
                      <c:ptCount val="1"/>
                      <c:pt idx="0">
                        <c:v>% del depto.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6F7E-4A22-9C38-E6F729854F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6F7E-4A22-9C38-E6F729854F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6F7E-4A22-9C38-E6F729854FC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6F7E-4A22-9C38-E6F729854FCF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6F7E-4A22-9C38-E6F729854FCF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6F7E-4A22-9C38-E6F729854FCF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6F7E-4A22-9C38-E6F729854FCF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9-6F7E-4A22-9C38-E6F729854FC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Administrativo!$B$6:$B$9</c15:sqref>
                        </c15:formulaRef>
                      </c:ext>
                    </c:extLst>
                    <c:strCache>
                      <c:ptCount val="4"/>
                      <c:pt idx="0">
                        <c:v>Contador</c:v>
                      </c:pt>
                      <c:pt idx="1">
                        <c:v>Seguro Social</c:v>
                      </c:pt>
                      <c:pt idx="2">
                        <c:v>Recursos Humanos</c:v>
                      </c:pt>
                      <c:pt idx="3">
                        <c:v>Contraloría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Administrativo!$D$6:$D$9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0.25</c:v>
                      </c:pt>
                      <c:pt idx="1">
                        <c:v>0.25</c:v>
                      </c:pt>
                      <c:pt idx="2">
                        <c:v>0.25</c:v>
                      </c:pt>
                      <c:pt idx="3">
                        <c:v>0.25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F7E-4A22-9C38-E6F729854FCF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Presupuesto Operativo 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(USD)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'Gastos Operativos Generales'!$C$5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Operativos Generales'!$B$6:$B$10</c:f>
              <c:strCache>
                <c:ptCount val="5"/>
                <c:pt idx="0">
                  <c:v>Renta de oficinas</c:v>
                </c:pt>
                <c:pt idx="1">
                  <c:v>Servicios básicos (luz, agua, internet, limpieza)</c:v>
                </c:pt>
                <c:pt idx="2">
                  <c:v>Equipos y mantenimiento TI</c:v>
                </c:pt>
                <c:pt idx="3">
                  <c:v>Viajes / representación</c:v>
                </c:pt>
                <c:pt idx="4">
                  <c:v>Comunicaciones y marketing digital</c:v>
                </c:pt>
              </c:strCache>
            </c:strRef>
          </c:cat>
          <c:val>
            <c:numRef>
              <c:f>'Gastos Operativos Generales'!$C$6:$C$10</c:f>
              <c:numCache>
                <c:formatCode>_("$"* #,##0.00_);_("$"* \(#,##0.00\);_("$"* "-"??_);_(@_)</c:formatCode>
                <c:ptCount val="5"/>
                <c:pt idx="0">
                  <c:v>18900</c:v>
                </c:pt>
                <c:pt idx="1">
                  <c:v>10500</c:v>
                </c:pt>
                <c:pt idx="2">
                  <c:v>7350.0000000000009</c:v>
                </c:pt>
                <c:pt idx="3">
                  <c:v>7350.0000000000009</c:v>
                </c:pt>
                <c:pt idx="4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461-93C7-17D867C96F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1753584"/>
        <c:axId val="1831758384"/>
      </c:barChart>
      <c:lineChart>
        <c:grouping val="standard"/>
        <c:varyColors val="0"/>
        <c:ser>
          <c:idx val="1"/>
          <c:order val="1"/>
          <c:tx>
            <c:strRef>
              <c:f>'Gastos Operativos Generales'!$D$5</c:f>
              <c:strCache>
                <c:ptCount val="1"/>
                <c:pt idx="0">
                  <c:v>% del depto.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44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Operativos Generales'!$B$6:$B$10</c:f>
              <c:strCache>
                <c:ptCount val="5"/>
                <c:pt idx="0">
                  <c:v>Renta de oficinas</c:v>
                </c:pt>
                <c:pt idx="1">
                  <c:v>Servicios básicos (luz, agua, internet, limpieza)</c:v>
                </c:pt>
                <c:pt idx="2">
                  <c:v>Equipos y mantenimiento TI</c:v>
                </c:pt>
                <c:pt idx="3">
                  <c:v>Viajes / representación</c:v>
                </c:pt>
                <c:pt idx="4">
                  <c:v>Comunicaciones y marketing digital</c:v>
                </c:pt>
              </c:strCache>
            </c:strRef>
          </c:cat>
          <c:val>
            <c:numRef>
              <c:f>'Gastos Operativos Generales'!$D$6:$D$10</c:f>
              <c:numCache>
                <c:formatCode>0%</c:formatCode>
                <c:ptCount val="5"/>
                <c:pt idx="0">
                  <c:v>0.36</c:v>
                </c:pt>
                <c:pt idx="1">
                  <c:v>0.2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5-4461-93C7-17D867C96F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743984"/>
        <c:axId val="1831760304"/>
      </c:lineChart>
      <c:catAx>
        <c:axId val="183175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8384"/>
        <c:crosses val="autoZero"/>
        <c:auto val="1"/>
        <c:lblAlgn val="ctr"/>
        <c:lblOffset val="100"/>
        <c:noMultiLvlLbl val="0"/>
      </c:catAx>
      <c:valAx>
        <c:axId val="18317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3584"/>
        <c:crosses val="autoZero"/>
        <c:crossBetween val="between"/>
      </c:valAx>
      <c:valAx>
        <c:axId val="183176030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43984"/>
        <c:crosses val="max"/>
        <c:crossBetween val="between"/>
      </c:valAx>
      <c:catAx>
        <c:axId val="1831743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176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Presupuesto en Reserva Estrategica 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(USD)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'Reserva Estratégica'!$C$5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18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'Reserva Estratégica'!$B$6:$B$10</c:f>
              <c:strCache>
                <c:ptCount val="5"/>
                <c:pt idx="0">
                  <c:v>Fondo para imprevistos</c:v>
                </c:pt>
                <c:pt idx="1">
                  <c:v>Innovación y proyectos piloto</c:v>
                </c:pt>
                <c:pt idx="2">
                  <c:v>Infraestructura tecnica</c:v>
                </c:pt>
                <c:pt idx="3">
                  <c:v>Capacitación avanzada y certificaciones estratégicas</c:v>
                </c:pt>
                <c:pt idx="4">
                  <c:v>Fondo de expansión o alianzas estratégicas</c:v>
                </c:pt>
              </c:strCache>
            </c:strRef>
          </c:cat>
          <c:val>
            <c:numRef>
              <c:f>'Reserva Estratégica'!$C$6:$C$10</c:f>
              <c:numCache>
                <c:formatCode>_("$"* #,##0.00_);_("$"* \(#,##0.00\);_("$"* "-"??_);_(@_)</c:formatCode>
                <c:ptCount val="5"/>
                <c:pt idx="0">
                  <c:v>20250</c:v>
                </c:pt>
                <c:pt idx="1">
                  <c:v>17250</c:v>
                </c:pt>
                <c:pt idx="2">
                  <c:v>15000</c:v>
                </c:pt>
                <c:pt idx="3">
                  <c:v>12750.000000000002</c:v>
                </c:pt>
                <c:pt idx="4">
                  <c:v>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4-49A0-85A5-01B5678240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1757904"/>
        <c:axId val="1831759824"/>
      </c:barChart>
      <c:lineChart>
        <c:grouping val="standard"/>
        <c:varyColors val="0"/>
        <c:ser>
          <c:idx val="1"/>
          <c:order val="1"/>
          <c:tx>
            <c:strRef>
              <c:f>'Reserva Estratégica'!$D$5</c:f>
              <c:strCache>
                <c:ptCount val="1"/>
                <c:pt idx="0">
                  <c:v>% del Depto.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08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'Reserva Estratégica'!$B$6:$B$10</c:f>
              <c:strCache>
                <c:ptCount val="5"/>
                <c:pt idx="0">
                  <c:v>Fondo para imprevistos</c:v>
                </c:pt>
                <c:pt idx="1">
                  <c:v>Innovación y proyectos piloto</c:v>
                </c:pt>
                <c:pt idx="2">
                  <c:v>Infraestructura tecnica</c:v>
                </c:pt>
                <c:pt idx="3">
                  <c:v>Capacitación avanzada y certificaciones estratégicas</c:v>
                </c:pt>
                <c:pt idx="4">
                  <c:v>Fondo de expansión o alianzas estratégicas</c:v>
                </c:pt>
              </c:strCache>
            </c:strRef>
          </c:cat>
          <c:val>
            <c:numRef>
              <c:f>'Reserva Estratégica'!$D$6:$D$10</c:f>
              <c:numCache>
                <c:formatCode>0%</c:formatCode>
                <c:ptCount val="5"/>
                <c:pt idx="0">
                  <c:v>0.27</c:v>
                </c:pt>
                <c:pt idx="1">
                  <c:v>0.23</c:v>
                </c:pt>
                <c:pt idx="2">
                  <c:v>0.2</c:v>
                </c:pt>
                <c:pt idx="3">
                  <c:v>0.17</c:v>
                </c:pt>
                <c:pt idx="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4-49A0-85A5-01B5678240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751664"/>
        <c:axId val="1831744944"/>
      </c:lineChart>
      <c:catAx>
        <c:axId val="18317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9824"/>
        <c:crosses val="autoZero"/>
        <c:auto val="1"/>
        <c:lblAlgn val="ctr"/>
        <c:lblOffset val="100"/>
        <c:noMultiLvlLbl val="0"/>
      </c:catAx>
      <c:valAx>
        <c:axId val="183175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7904"/>
        <c:crosses val="autoZero"/>
        <c:crossBetween val="between"/>
      </c:valAx>
      <c:valAx>
        <c:axId val="183174494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1664"/>
        <c:crosses val="max"/>
        <c:crossBetween val="between"/>
      </c:valAx>
      <c:catAx>
        <c:axId val="183175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1744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10</xdr:row>
      <xdr:rowOff>163830</xdr:rowOff>
    </xdr:from>
    <xdr:to>
      <xdr:col>4</xdr:col>
      <xdr:colOff>411480</xdr:colOff>
      <xdr:row>26</xdr:row>
      <xdr:rowOff>167640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575035C-E121-2E55-690B-7F415CDD6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236220</xdr:colOff>
      <xdr:row>0</xdr:row>
      <xdr:rowOff>1</xdr:rowOff>
    </xdr:from>
    <xdr:to>
      <xdr:col>1</xdr:col>
      <xdr:colOff>1104900</xdr:colOff>
      <xdr:row>3</xdr:row>
      <xdr:rowOff>62993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DEA6AE-7065-A2F3-8F3B-B6B92DDB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1"/>
          <a:ext cx="1638300" cy="611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20</xdr:row>
      <xdr:rowOff>156210</xdr:rowOff>
    </xdr:from>
    <xdr:to>
      <xdr:col>7</xdr:col>
      <xdr:colOff>76200</xdr:colOff>
      <xdr:row>41</xdr:row>
      <xdr:rowOff>45720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CCD23C-FD40-1A25-7E94-EBD7A9EEC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266700</xdr:colOff>
      <xdr:row>0</xdr:row>
      <xdr:rowOff>1</xdr:rowOff>
    </xdr:from>
    <xdr:to>
      <xdr:col>2</xdr:col>
      <xdr:colOff>685800</xdr:colOff>
      <xdr:row>3</xdr:row>
      <xdr:rowOff>62993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51E1777-9D31-49A8-B11F-5FD5A19A6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"/>
          <a:ext cx="1638300" cy="611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1</xdr:rowOff>
    </xdr:from>
    <xdr:to>
      <xdr:col>2</xdr:col>
      <xdr:colOff>129540</xdr:colOff>
      <xdr:row>3</xdr:row>
      <xdr:rowOff>62993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35A1901-323C-4A17-82F8-482B3AA39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1"/>
          <a:ext cx="1638300" cy="611632"/>
        </a:xfrm>
        <a:prstGeom prst="rect">
          <a:avLst/>
        </a:prstGeom>
      </xdr:spPr>
    </xdr:pic>
    <xdr:clientData/>
  </xdr:twoCellAnchor>
  <xdr:twoCellAnchor>
    <xdr:from>
      <xdr:col>0</xdr:col>
      <xdr:colOff>601980</xdr:colOff>
      <xdr:row>11</xdr:row>
      <xdr:rowOff>64770</xdr:rowOff>
    </xdr:from>
    <xdr:to>
      <xdr:col>4</xdr:col>
      <xdr:colOff>2484120</xdr:colOff>
      <xdr:row>29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4EADC07-E6B1-C6AA-9075-8A2B7D53D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</xdr:rowOff>
    </xdr:from>
    <xdr:to>
      <xdr:col>1</xdr:col>
      <xdr:colOff>1318260</xdr:colOff>
      <xdr:row>3</xdr:row>
      <xdr:rowOff>62993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92FC7A-23F5-4F31-95E4-61515A555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1"/>
          <a:ext cx="1638300" cy="611632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12</xdr:row>
      <xdr:rowOff>80010</xdr:rowOff>
    </xdr:from>
    <xdr:to>
      <xdr:col>4</xdr:col>
      <xdr:colOff>1943100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A3766A-D9D6-25D3-97F8-0223BD206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</xdr:rowOff>
    </xdr:from>
    <xdr:to>
      <xdr:col>1</xdr:col>
      <xdr:colOff>1318260</xdr:colOff>
      <xdr:row>3</xdr:row>
      <xdr:rowOff>62993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24D09DE-4884-40AD-91B5-C22FE6960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1"/>
          <a:ext cx="1638300" cy="61163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163830</xdr:rowOff>
    </xdr:from>
    <xdr:to>
      <xdr:col>5</xdr:col>
      <xdr:colOff>7620</xdr:colOff>
      <xdr:row>29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CFCB2D-BE03-537D-040A-69C142FEC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topLeftCell="A12" zoomScaleNormal="100" workbookViewId="0">
      <selection activeCell="D31" sqref="D31:E31"/>
    </sheetView>
  </sheetViews>
  <sheetFormatPr baseColWidth="10" defaultColWidth="8.88671875" defaultRowHeight="14.4" x14ac:dyDescent="0.3"/>
  <cols>
    <col min="1" max="1" width="11.21875" bestFit="1" customWidth="1"/>
    <col min="2" max="2" width="34.6640625" bestFit="1" customWidth="1"/>
    <col min="3" max="3" width="14.77734375" bestFit="1" customWidth="1"/>
    <col min="4" max="4" width="9.77734375" bestFit="1" customWidth="1"/>
    <col min="5" max="6" width="12.33203125" bestFit="1" customWidth="1"/>
  </cols>
  <sheetData>
    <row r="1" spans="2:6" ht="14.4" customHeight="1" x14ac:dyDescent="0.3">
      <c r="B1" s="49" t="s">
        <v>57</v>
      </c>
      <c r="C1" s="49"/>
      <c r="D1" s="49"/>
      <c r="E1" s="49"/>
    </row>
    <row r="2" spans="2:6" ht="14.4" customHeight="1" x14ac:dyDescent="0.3">
      <c r="B2" s="49"/>
      <c r="C2" s="49"/>
      <c r="D2" s="49"/>
      <c r="E2" s="49"/>
    </row>
    <row r="3" spans="2:6" ht="14.4" customHeight="1" x14ac:dyDescent="0.3">
      <c r="B3" s="49"/>
      <c r="C3" s="49"/>
      <c r="D3" s="49"/>
      <c r="E3" s="49"/>
    </row>
    <row r="5" spans="2:6" ht="15" thickBot="1" x14ac:dyDescent="0.35">
      <c r="B5" s="7" t="s">
        <v>7</v>
      </c>
      <c r="C5" s="7" t="s">
        <v>76</v>
      </c>
      <c r="D5" s="7" t="s">
        <v>0</v>
      </c>
    </row>
    <row r="6" spans="2:6" ht="15" thickTop="1" x14ac:dyDescent="0.3">
      <c r="B6" s="8" t="s">
        <v>1</v>
      </c>
      <c r="C6" s="9">
        <v>472500</v>
      </c>
      <c r="D6" s="10">
        <v>0.63</v>
      </c>
      <c r="E6" s="31"/>
      <c r="F6" s="31"/>
    </row>
    <row r="7" spans="2:6" x14ac:dyDescent="0.3">
      <c r="B7" s="3" t="s">
        <v>2</v>
      </c>
      <c r="C7" s="4">
        <v>150000</v>
      </c>
      <c r="D7" s="5">
        <v>0.2</v>
      </c>
      <c r="E7" s="31"/>
    </row>
    <row r="8" spans="2:6" x14ac:dyDescent="0.3">
      <c r="B8" s="3" t="s">
        <v>3</v>
      </c>
      <c r="C8" s="4">
        <v>52500</v>
      </c>
      <c r="D8" s="5">
        <v>7.0000000000000007E-2</v>
      </c>
      <c r="E8" s="31"/>
    </row>
    <row r="9" spans="2:6" ht="15" thickBot="1" x14ac:dyDescent="0.35">
      <c r="B9" s="11" t="s">
        <v>4</v>
      </c>
      <c r="C9" s="12">
        <v>75000</v>
      </c>
      <c r="D9" s="13">
        <v>0.1</v>
      </c>
      <c r="E9" s="31"/>
    </row>
    <row r="10" spans="2:6" ht="15" thickTop="1" x14ac:dyDescent="0.3">
      <c r="B10" s="2"/>
      <c r="C10" s="1">
        <f>SUM(C6:C9)</f>
        <v>750000</v>
      </c>
      <c r="D10" s="6">
        <v>1</v>
      </c>
      <c r="E10" s="31"/>
    </row>
    <row r="29" spans="1:5" ht="15" thickBot="1" x14ac:dyDescent="0.35"/>
    <row r="30" spans="1:5" ht="15" thickBot="1" x14ac:dyDescent="0.35">
      <c r="A30" s="18" t="s">
        <v>61</v>
      </c>
      <c r="B30" s="19" t="s">
        <v>7</v>
      </c>
      <c r="C30" s="19" t="s">
        <v>62</v>
      </c>
      <c r="D30" s="50" t="s">
        <v>63</v>
      </c>
      <c r="E30" s="51"/>
    </row>
    <row r="31" spans="1:5" ht="83.4" customHeight="1" thickBot="1" x14ac:dyDescent="0.35">
      <c r="A31" s="20">
        <v>45950</v>
      </c>
      <c r="B31" s="21" t="s">
        <v>64</v>
      </c>
      <c r="C31" s="25" t="s">
        <v>65</v>
      </c>
      <c r="D31" s="52" t="s">
        <v>77</v>
      </c>
      <c r="E31" s="53"/>
    </row>
    <row r="32" spans="1:5" ht="15" thickBot="1" x14ac:dyDescent="0.35">
      <c r="A32" s="22"/>
      <c r="B32" s="23"/>
      <c r="C32" s="24"/>
      <c r="D32" s="47"/>
      <c r="E32" s="48"/>
    </row>
    <row r="33" spans="1:5" ht="15" thickBot="1" x14ac:dyDescent="0.35">
      <c r="A33" s="22"/>
      <c r="B33" s="23"/>
      <c r="C33" s="24"/>
      <c r="D33" s="47"/>
      <c r="E33" s="48"/>
    </row>
  </sheetData>
  <mergeCells count="5">
    <mergeCell ref="D33:E33"/>
    <mergeCell ref="B1:E3"/>
    <mergeCell ref="D30:E30"/>
    <mergeCell ref="D31:E31"/>
    <mergeCell ref="D32:E32"/>
  </mergeCells>
  <pageMargins left="0.7" right="0.7" top="0.75" bottom="0.75" header="0.3" footer="0.3"/>
  <pageSetup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20"/>
  <sheetViews>
    <sheetView showGridLines="0" zoomScaleNormal="100" workbookViewId="0"/>
  </sheetViews>
  <sheetFormatPr baseColWidth="10" defaultColWidth="8.88671875" defaultRowHeight="14.4" x14ac:dyDescent="0.3"/>
  <cols>
    <col min="3" max="3" width="30" bestFit="1" customWidth="1"/>
    <col min="4" max="4" width="13.77734375" bestFit="1" customWidth="1"/>
    <col min="5" max="5" width="11.44140625" bestFit="1" customWidth="1"/>
    <col min="6" max="6" width="36.5546875" bestFit="1" customWidth="1"/>
    <col min="8" max="8" width="12.33203125" bestFit="1" customWidth="1"/>
    <col min="9" max="9" width="11.5546875" bestFit="1" customWidth="1"/>
  </cols>
  <sheetData>
    <row r="1" spans="2:9" ht="14.4" customHeight="1" x14ac:dyDescent="0.3">
      <c r="B1" s="49" t="s">
        <v>58</v>
      </c>
      <c r="C1" s="49"/>
      <c r="D1" s="49"/>
      <c r="E1" s="49"/>
      <c r="F1" s="49"/>
      <c r="G1" s="49"/>
    </row>
    <row r="2" spans="2:9" ht="14.4" customHeight="1" x14ac:dyDescent="0.3">
      <c r="B2" s="49"/>
      <c r="C2" s="49"/>
      <c r="D2" s="49"/>
      <c r="E2" s="49"/>
      <c r="F2" s="49"/>
      <c r="G2" s="49"/>
    </row>
    <row r="3" spans="2:9" ht="14.4" customHeight="1" x14ac:dyDescent="0.3">
      <c r="B3" s="49"/>
      <c r="C3" s="49"/>
      <c r="D3" s="49"/>
      <c r="E3" s="49"/>
      <c r="F3" s="49"/>
      <c r="G3" s="49"/>
    </row>
    <row r="4" spans="2:9" x14ac:dyDescent="0.3">
      <c r="B4" s="49"/>
      <c r="C4" s="49"/>
      <c r="D4" s="49"/>
      <c r="E4" s="49"/>
      <c r="F4" s="49"/>
      <c r="G4" s="49"/>
    </row>
    <row r="5" spans="2:9" ht="15" thickBot="1" x14ac:dyDescent="0.35">
      <c r="C5" s="16" t="s">
        <v>5</v>
      </c>
      <c r="D5" s="16" t="s">
        <v>76</v>
      </c>
      <c r="E5" s="16" t="s">
        <v>6</v>
      </c>
      <c r="F5" s="16" t="s">
        <v>7</v>
      </c>
    </row>
    <row r="6" spans="2:9" ht="15" thickTop="1" x14ac:dyDescent="0.3">
      <c r="C6" s="14" t="s">
        <v>8</v>
      </c>
      <c r="D6" s="15">
        <f>Global!C$6*Organizacional!E6</f>
        <v>37800</v>
      </c>
      <c r="E6" s="35">
        <v>0.08</v>
      </c>
      <c r="F6" s="14" t="s">
        <v>22</v>
      </c>
      <c r="I6" s="32"/>
    </row>
    <row r="7" spans="2:9" x14ac:dyDescent="0.3">
      <c r="C7" s="3" t="s">
        <v>9</v>
      </c>
      <c r="D7" s="15">
        <f>Global!C$6*Organizacional!E7</f>
        <v>33075</v>
      </c>
      <c r="E7" s="5">
        <v>7.0000000000000007E-2</v>
      </c>
      <c r="F7" s="3" t="s">
        <v>23</v>
      </c>
      <c r="H7" s="31"/>
      <c r="I7" s="32"/>
    </row>
    <row r="8" spans="2:9" x14ac:dyDescent="0.3">
      <c r="C8" s="3" t="s">
        <v>10</v>
      </c>
      <c r="D8" s="15">
        <f>Global!C$6*Organizacional!E8</f>
        <v>37800</v>
      </c>
      <c r="E8" s="5">
        <v>0.08</v>
      </c>
      <c r="F8" s="3" t="s">
        <v>24</v>
      </c>
      <c r="I8" s="32"/>
    </row>
    <row r="9" spans="2:9" x14ac:dyDescent="0.3">
      <c r="C9" s="3" t="s">
        <v>11</v>
      </c>
      <c r="D9" s="15">
        <f>Global!C$6*Organizacional!E9</f>
        <v>33075</v>
      </c>
      <c r="E9" s="5">
        <v>7.0000000000000007E-2</v>
      </c>
      <c r="F9" s="3" t="s">
        <v>25</v>
      </c>
      <c r="I9" s="32"/>
    </row>
    <row r="10" spans="2:9" x14ac:dyDescent="0.3">
      <c r="C10" s="3" t="s">
        <v>12</v>
      </c>
      <c r="D10" s="15">
        <f>Global!C$6*Organizacional!E10</f>
        <v>37800</v>
      </c>
      <c r="E10" s="5">
        <v>0.08</v>
      </c>
      <c r="F10" s="3" t="s">
        <v>26</v>
      </c>
      <c r="I10" s="32"/>
    </row>
    <row r="11" spans="2:9" x14ac:dyDescent="0.3">
      <c r="C11" s="3" t="s">
        <v>13</v>
      </c>
      <c r="D11" s="15">
        <f>Global!C$6*Organizacional!E11</f>
        <v>37800</v>
      </c>
      <c r="E11" s="5">
        <v>0.08</v>
      </c>
      <c r="F11" s="3" t="s">
        <v>27</v>
      </c>
      <c r="I11" s="32"/>
    </row>
    <row r="12" spans="2:9" x14ac:dyDescent="0.3">
      <c r="C12" s="3" t="s">
        <v>14</v>
      </c>
      <c r="D12" s="15">
        <f>Global!C$6*Organizacional!E12</f>
        <v>28350</v>
      </c>
      <c r="E12" s="5">
        <v>0.06</v>
      </c>
      <c r="F12" s="3" t="s">
        <v>28</v>
      </c>
      <c r="I12" s="32"/>
    </row>
    <row r="13" spans="2:9" x14ac:dyDescent="0.3">
      <c r="C13" s="3" t="s">
        <v>15</v>
      </c>
      <c r="D13" s="15">
        <f>Global!C$6*Organizacional!E13</f>
        <v>28350</v>
      </c>
      <c r="E13" s="5">
        <v>0.06</v>
      </c>
      <c r="F13" s="3" t="s">
        <v>29</v>
      </c>
      <c r="I13" s="32"/>
    </row>
    <row r="14" spans="2:9" x14ac:dyDescent="0.3">
      <c r="C14" s="3" t="s">
        <v>16</v>
      </c>
      <c r="D14" s="15">
        <f>Global!C$6*Organizacional!E14</f>
        <v>33075</v>
      </c>
      <c r="E14" s="5">
        <v>7.0000000000000007E-2</v>
      </c>
      <c r="F14" s="3" t="s">
        <v>30</v>
      </c>
      <c r="I14" s="32"/>
    </row>
    <row r="15" spans="2:9" x14ac:dyDescent="0.3">
      <c r="C15" s="3" t="s">
        <v>17</v>
      </c>
      <c r="D15" s="15">
        <f>Global!C$6*Organizacional!E15</f>
        <v>33075</v>
      </c>
      <c r="E15" s="5">
        <v>7.0000000000000007E-2</v>
      </c>
      <c r="F15" s="3" t="s">
        <v>31</v>
      </c>
      <c r="I15" s="32"/>
    </row>
    <row r="16" spans="2:9" x14ac:dyDescent="0.3">
      <c r="C16" s="3" t="s">
        <v>18</v>
      </c>
      <c r="D16" s="15">
        <f>Global!C$6*Organizacional!E16</f>
        <v>33075</v>
      </c>
      <c r="E16" s="5">
        <v>7.0000000000000007E-2</v>
      </c>
      <c r="F16" s="3" t="s">
        <v>32</v>
      </c>
      <c r="I16" s="32"/>
    </row>
    <row r="17" spans="3:9" x14ac:dyDescent="0.3">
      <c r="C17" s="3" t="s">
        <v>19</v>
      </c>
      <c r="D17" s="15">
        <f>Global!C$6*Organizacional!E17</f>
        <v>28350</v>
      </c>
      <c r="E17" s="5">
        <v>0.06</v>
      </c>
      <c r="F17" s="3" t="s">
        <v>33</v>
      </c>
      <c r="I17" s="32"/>
    </row>
    <row r="18" spans="3:9" x14ac:dyDescent="0.3">
      <c r="C18" s="3" t="s">
        <v>20</v>
      </c>
      <c r="D18" s="15">
        <f>Global!C$6*Organizacional!E18</f>
        <v>51975</v>
      </c>
      <c r="E18" s="5">
        <v>0.11</v>
      </c>
      <c r="F18" s="3" t="s">
        <v>34</v>
      </c>
      <c r="I18" s="32"/>
    </row>
    <row r="19" spans="3:9" x14ac:dyDescent="0.3">
      <c r="C19" s="3" t="s">
        <v>21</v>
      </c>
      <c r="D19" s="15">
        <f>Global!C$6*Organizacional!E19</f>
        <v>18900</v>
      </c>
      <c r="E19" s="5">
        <v>0.04</v>
      </c>
      <c r="F19" s="3" t="s">
        <v>35</v>
      </c>
      <c r="I19" s="32"/>
    </row>
    <row r="20" spans="3:9" x14ac:dyDescent="0.3">
      <c r="D20" s="1">
        <f>SUM(D6:D19)</f>
        <v>472500</v>
      </c>
      <c r="E20" s="6">
        <f>SUM(E6:E19)</f>
        <v>1.0000000000000002</v>
      </c>
      <c r="I20" s="32"/>
    </row>
  </sheetData>
  <mergeCells count="1">
    <mergeCell ref="B1:G4"/>
  </mergeCells>
  <pageMargins left="0.7" right="0.7" top="0.75" bottom="0.75" header="0.3" footer="0.3"/>
  <pageSetup scale="82" orientation="landscape" r:id="rId1"/>
  <headerFooter>
    <oddFooter>&amp;R&amp;8Página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7"/>
  <sheetViews>
    <sheetView showGridLines="0" zoomScaleNormal="100" workbookViewId="0"/>
  </sheetViews>
  <sheetFormatPr baseColWidth="10" defaultColWidth="8.88671875" defaultRowHeight="14.4" x14ac:dyDescent="0.3"/>
  <cols>
    <col min="2" max="2" width="16.5546875" bestFit="1" customWidth="1"/>
    <col min="3" max="3" width="13.77734375" bestFit="1" customWidth="1"/>
    <col min="4" max="4" width="11.44140625" bestFit="1" customWidth="1"/>
    <col min="5" max="5" width="37.77734375" bestFit="1" customWidth="1"/>
  </cols>
  <sheetData>
    <row r="1" spans="2:5" ht="14.4" customHeight="1" x14ac:dyDescent="0.3">
      <c r="B1" s="49" t="s">
        <v>59</v>
      </c>
      <c r="C1" s="49"/>
      <c r="D1" s="49"/>
      <c r="E1" s="49"/>
    </row>
    <row r="2" spans="2:5" ht="14.4" customHeight="1" x14ac:dyDescent="0.3">
      <c r="B2" s="49"/>
      <c r="C2" s="49"/>
      <c r="D2" s="49"/>
      <c r="E2" s="49"/>
    </row>
    <row r="3" spans="2:5" ht="14.4" customHeight="1" x14ac:dyDescent="0.3">
      <c r="B3" s="49"/>
      <c r="C3" s="49"/>
      <c r="D3" s="49"/>
      <c r="E3" s="49"/>
    </row>
    <row r="5" spans="2:5" ht="15" thickBot="1" x14ac:dyDescent="0.35">
      <c r="B5" s="16" t="s">
        <v>5</v>
      </c>
      <c r="C5" s="16" t="s">
        <v>76</v>
      </c>
      <c r="D5" s="16" t="s">
        <v>6</v>
      </c>
      <c r="E5" s="16" t="s">
        <v>7</v>
      </c>
    </row>
    <row r="6" spans="2:5" ht="15" thickTop="1" x14ac:dyDescent="0.3">
      <c r="B6" s="14" t="s">
        <v>36</v>
      </c>
      <c r="C6" s="15">
        <f>Global!C$7*Administrativo!D6</f>
        <v>37500</v>
      </c>
      <c r="D6" s="35">
        <v>0.25</v>
      </c>
      <c r="E6" s="14" t="s">
        <v>40</v>
      </c>
    </row>
    <row r="7" spans="2:5" x14ac:dyDescent="0.3">
      <c r="B7" s="3" t="s">
        <v>37</v>
      </c>
      <c r="C7" s="15">
        <f>Global!C$7*Administrativo!D7</f>
        <v>37500</v>
      </c>
      <c r="D7" s="5">
        <v>0.25</v>
      </c>
      <c r="E7" s="3" t="s">
        <v>41</v>
      </c>
    </row>
    <row r="8" spans="2:5" x14ac:dyDescent="0.3">
      <c r="B8" s="3" t="s">
        <v>38</v>
      </c>
      <c r="C8" s="15">
        <f>Global!C$7*Administrativo!D8</f>
        <v>37500</v>
      </c>
      <c r="D8" s="5">
        <v>0.25</v>
      </c>
      <c r="E8" s="3" t="s">
        <v>42</v>
      </c>
    </row>
    <row r="9" spans="2:5" x14ac:dyDescent="0.3">
      <c r="B9" s="3" t="s">
        <v>39</v>
      </c>
      <c r="C9" s="15">
        <f>Global!C$7*Administrativo!D9</f>
        <v>37500</v>
      </c>
      <c r="D9" s="5">
        <v>0.25</v>
      </c>
      <c r="E9" s="3" t="s">
        <v>43</v>
      </c>
    </row>
    <row r="10" spans="2:5" x14ac:dyDescent="0.3">
      <c r="B10" s="33"/>
      <c r="C10" s="34">
        <f>SUM(C6:C9)</f>
        <v>150000</v>
      </c>
      <c r="D10" s="36">
        <f>SUM(D6:D9)</f>
        <v>1</v>
      </c>
    </row>
    <row r="33" spans="2:4" x14ac:dyDescent="0.3">
      <c r="B33" s="46"/>
      <c r="C33" s="46"/>
      <c r="D33" s="46"/>
    </row>
    <row r="34" spans="2:4" x14ac:dyDescent="0.3">
      <c r="C34" s="1"/>
      <c r="D34" s="6"/>
    </row>
    <row r="35" spans="2:4" x14ac:dyDescent="0.3">
      <c r="C35" s="1"/>
      <c r="D35" s="6"/>
    </row>
    <row r="36" spans="2:4" x14ac:dyDescent="0.3">
      <c r="C36" s="1"/>
      <c r="D36" s="6"/>
    </row>
    <row r="37" spans="2:4" x14ac:dyDescent="0.3">
      <c r="C37" s="1"/>
      <c r="D37" s="6"/>
    </row>
  </sheetData>
  <mergeCells count="1">
    <mergeCell ref="B1:E3"/>
  </mergeCells>
  <pageMargins left="0.7" right="0.7" top="0.75" bottom="0.75" header="0.3" footer="0.3"/>
  <pageSetup orientation="portrait" r:id="rId1"/>
  <headerFooter>
    <oddFooter>&amp;R&amp;8Página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1"/>
  <sheetViews>
    <sheetView showGridLines="0" zoomScaleNormal="100" workbookViewId="0"/>
  </sheetViews>
  <sheetFormatPr baseColWidth="10" defaultColWidth="8.88671875" defaultRowHeight="14.4" x14ac:dyDescent="0.3"/>
  <cols>
    <col min="2" max="2" width="38.5546875" bestFit="1" customWidth="1"/>
    <col min="3" max="3" width="13.77734375" bestFit="1" customWidth="1"/>
    <col min="4" max="4" width="11.44140625" bestFit="1" customWidth="1"/>
    <col min="5" max="5" width="28.6640625" bestFit="1" customWidth="1"/>
  </cols>
  <sheetData>
    <row r="1" spans="2:6" ht="14.4" customHeight="1" x14ac:dyDescent="0.3">
      <c r="B1" s="49" t="s">
        <v>74</v>
      </c>
      <c r="C1" s="49"/>
      <c r="D1" s="49"/>
      <c r="E1" s="49"/>
      <c r="F1" s="17"/>
    </row>
    <row r="2" spans="2:6" ht="14.4" customHeight="1" x14ac:dyDescent="0.3">
      <c r="B2" s="49"/>
      <c r="C2" s="49"/>
      <c r="D2" s="49"/>
      <c r="E2" s="49"/>
      <c r="F2" s="17"/>
    </row>
    <row r="3" spans="2:6" ht="14.4" customHeight="1" x14ac:dyDescent="0.3">
      <c r="B3" s="49"/>
      <c r="C3" s="49"/>
      <c r="D3" s="49"/>
      <c r="E3" s="49"/>
      <c r="F3" s="17"/>
    </row>
    <row r="4" spans="2:6" x14ac:dyDescent="0.3">
      <c r="B4" s="54"/>
      <c r="C4" s="54"/>
      <c r="D4" s="54"/>
      <c r="E4" s="54"/>
    </row>
    <row r="5" spans="2:6" ht="15" thickBot="1" x14ac:dyDescent="0.35">
      <c r="B5" s="16" t="s">
        <v>44</v>
      </c>
      <c r="C5" s="16" t="s">
        <v>76</v>
      </c>
      <c r="D5" s="16" t="s">
        <v>6</v>
      </c>
      <c r="E5" s="16" t="s">
        <v>7</v>
      </c>
    </row>
    <row r="6" spans="2:6" ht="15" thickTop="1" x14ac:dyDescent="0.3">
      <c r="B6" s="14" t="s">
        <v>45</v>
      </c>
      <c r="C6" s="15">
        <f>Global!C$8*'Gastos Operativos Generales'!D6</f>
        <v>18900</v>
      </c>
      <c r="D6" s="40">
        <v>0.36</v>
      </c>
      <c r="E6" s="14" t="s">
        <v>50</v>
      </c>
    </row>
    <row r="7" spans="2:6" x14ac:dyDescent="0.3">
      <c r="B7" s="3" t="s">
        <v>46</v>
      </c>
      <c r="C7" s="15">
        <f>Global!C$8*'Gastos Operativos Generales'!D7</f>
        <v>10500</v>
      </c>
      <c r="D7" s="41">
        <v>0.2</v>
      </c>
      <c r="E7" s="3" t="s">
        <v>51</v>
      </c>
    </row>
    <row r="8" spans="2:6" x14ac:dyDescent="0.3">
      <c r="B8" s="3" t="s">
        <v>47</v>
      </c>
      <c r="C8" s="15">
        <f>Global!C$8*'Gastos Operativos Generales'!D8</f>
        <v>7350.0000000000009</v>
      </c>
      <c r="D8" s="41">
        <v>0.14000000000000001</v>
      </c>
      <c r="E8" s="3" t="s">
        <v>52</v>
      </c>
    </row>
    <row r="9" spans="2:6" x14ac:dyDescent="0.3">
      <c r="B9" s="3" t="s">
        <v>48</v>
      </c>
      <c r="C9" s="15">
        <f>Global!C$8*'Gastos Operativos Generales'!D9</f>
        <v>7350.0000000000009</v>
      </c>
      <c r="D9" s="41">
        <v>0.14000000000000001</v>
      </c>
      <c r="E9" s="3" t="s">
        <v>53</v>
      </c>
    </row>
    <row r="10" spans="2:6" x14ac:dyDescent="0.3">
      <c r="B10" s="3" t="s">
        <v>49</v>
      </c>
      <c r="C10" s="15">
        <f>Global!C$8*'Gastos Operativos Generales'!D10</f>
        <v>8400</v>
      </c>
      <c r="D10" s="41">
        <v>0.16</v>
      </c>
      <c r="E10" s="3" t="s">
        <v>54</v>
      </c>
    </row>
    <row r="11" spans="2:6" x14ac:dyDescent="0.3">
      <c r="C11" s="1">
        <f>SUM(C6:C10)</f>
        <v>52500</v>
      </c>
      <c r="D11" s="42">
        <f>SUM(D6:D10)</f>
        <v>1</v>
      </c>
    </row>
  </sheetData>
  <mergeCells count="1">
    <mergeCell ref="B1:E4"/>
  </mergeCells>
  <pageMargins left="0.7" right="0.7" top="0.75" bottom="0.75" header="0.3" footer="0.3"/>
  <pageSetup orientation="landscape" r:id="rId1"/>
  <headerFooter>
    <oddFooter>&amp;R&amp;8Página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2"/>
  <sheetViews>
    <sheetView showGridLines="0" zoomScaleNormal="100" zoomScaleSheetLayoutView="145" workbookViewId="0"/>
  </sheetViews>
  <sheetFormatPr baseColWidth="10" defaultColWidth="8.88671875" defaultRowHeight="14.4" x14ac:dyDescent="0.3"/>
  <cols>
    <col min="1" max="1" width="8.88671875" customWidth="1"/>
    <col min="2" max="2" width="25.33203125" customWidth="1"/>
    <col min="3" max="3" width="13.77734375" bestFit="1" customWidth="1"/>
    <col min="4" max="4" width="11.5546875" bestFit="1" customWidth="1"/>
    <col min="5" max="5" width="44.5546875" customWidth="1"/>
  </cols>
  <sheetData>
    <row r="1" spans="2:8" x14ac:dyDescent="0.3">
      <c r="B1" s="49" t="s">
        <v>60</v>
      </c>
      <c r="C1" s="49"/>
      <c r="D1" s="49"/>
      <c r="E1" s="49"/>
    </row>
    <row r="2" spans="2:8" ht="14.4" customHeight="1" x14ac:dyDescent="0.3">
      <c r="B2" s="49"/>
      <c r="C2" s="49"/>
      <c r="D2" s="49"/>
      <c r="E2" s="49"/>
    </row>
    <row r="3" spans="2:8" ht="14.4" customHeight="1" x14ac:dyDescent="0.3">
      <c r="B3" s="49"/>
      <c r="C3" s="49"/>
      <c r="D3" s="49"/>
      <c r="E3" s="49"/>
    </row>
    <row r="4" spans="2:8" ht="14.4" customHeight="1" x14ac:dyDescent="0.3">
      <c r="B4" s="54"/>
      <c r="C4" s="54"/>
      <c r="D4" s="54"/>
      <c r="E4" s="54"/>
    </row>
    <row r="5" spans="2:8" ht="14.4" customHeight="1" thickBot="1" x14ac:dyDescent="0.35">
      <c r="B5" s="16" t="s">
        <v>44</v>
      </c>
      <c r="C5" s="16" t="s">
        <v>76</v>
      </c>
      <c r="D5" s="16" t="s">
        <v>75</v>
      </c>
      <c r="E5" s="16" t="s">
        <v>7</v>
      </c>
    </row>
    <row r="6" spans="2:8" ht="29.4" thickTop="1" x14ac:dyDescent="0.3">
      <c r="B6" s="26" t="s">
        <v>55</v>
      </c>
      <c r="C6" s="27">
        <f>Global!C$9*'Reserva Estratégica'!D6</f>
        <v>20250</v>
      </c>
      <c r="D6" s="37">
        <v>0.27</v>
      </c>
      <c r="E6" s="28" t="s">
        <v>67</v>
      </c>
      <c r="H6" s="32"/>
    </row>
    <row r="7" spans="2:8" ht="28.8" x14ac:dyDescent="0.3">
      <c r="B7" s="29" t="s">
        <v>56</v>
      </c>
      <c r="C7" s="27">
        <f>Global!C$9*'Reserva Estratégica'!D7</f>
        <v>17250</v>
      </c>
      <c r="D7" s="38">
        <v>0.23</v>
      </c>
      <c r="E7" s="30" t="s">
        <v>68</v>
      </c>
      <c r="H7" s="32"/>
    </row>
    <row r="8" spans="2:8" ht="28.8" x14ac:dyDescent="0.3">
      <c r="B8" s="30" t="s">
        <v>66</v>
      </c>
      <c r="C8" s="27">
        <f>Global!C$9*'Reserva Estratégica'!D8</f>
        <v>15000</v>
      </c>
      <c r="D8" s="38">
        <v>0.2</v>
      </c>
      <c r="E8" s="30" t="s">
        <v>69</v>
      </c>
      <c r="H8" s="32"/>
    </row>
    <row r="9" spans="2:8" ht="28.8" x14ac:dyDescent="0.3">
      <c r="B9" s="30" t="s">
        <v>72</v>
      </c>
      <c r="C9" s="27">
        <f>Global!C$9*'Reserva Estratégica'!D9</f>
        <v>12750.000000000002</v>
      </c>
      <c r="D9" s="39">
        <v>0.17</v>
      </c>
      <c r="E9" s="30" t="s">
        <v>70</v>
      </c>
      <c r="H9" s="32"/>
    </row>
    <row r="10" spans="2:8" ht="28.8" x14ac:dyDescent="0.3">
      <c r="B10" s="30" t="s">
        <v>73</v>
      </c>
      <c r="C10" s="27">
        <f>Global!C$9*'Reserva Estratégica'!D10</f>
        <v>9750</v>
      </c>
      <c r="D10" s="39">
        <v>0.13</v>
      </c>
      <c r="E10" s="30" t="s">
        <v>71</v>
      </c>
      <c r="H10" s="32"/>
    </row>
    <row r="11" spans="2:8" x14ac:dyDescent="0.3">
      <c r="B11" s="43"/>
      <c r="C11" s="44">
        <f>SUM(C6:C10)</f>
        <v>75000</v>
      </c>
      <c r="D11" s="45">
        <f>SUM(D6:D10)</f>
        <v>1</v>
      </c>
      <c r="E11" s="43"/>
      <c r="H11" s="32"/>
    </row>
    <row r="12" spans="2:8" x14ac:dyDescent="0.3">
      <c r="H12" s="32"/>
    </row>
  </sheetData>
  <mergeCells count="1">
    <mergeCell ref="B1:E4"/>
  </mergeCells>
  <pageMargins left="0.7" right="0.7" top="0.75" bottom="0.75" header="0.3" footer="0.3"/>
  <pageSetup scale="98" orientation="landscape" r:id="rId1"/>
  <headerFooter>
    <oddFooter>&amp;R&amp;8Página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Global</vt:lpstr>
      <vt:lpstr>Organizacional</vt:lpstr>
      <vt:lpstr>Administrativo</vt:lpstr>
      <vt:lpstr>Gastos Operativos Generales</vt:lpstr>
      <vt:lpstr>Reserva Estratégica</vt:lpstr>
      <vt:lpstr>'Reserva Estratégica'!Área_de_impresión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Quintero</cp:lastModifiedBy>
  <cp:lastPrinted>2025-11-05T23:54:55Z</cp:lastPrinted>
  <dcterms:created xsi:type="dcterms:W3CDTF">2025-11-04T19:27:27Z</dcterms:created>
  <dcterms:modified xsi:type="dcterms:W3CDTF">2026-09-27T02:16:52Z</dcterms:modified>
</cp:coreProperties>
</file>