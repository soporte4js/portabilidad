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22C60885-1FC0-49E0-8884-E3ECAA0DC588}" xr6:coauthVersionLast="47" xr6:coauthVersionMax="47" xr10:uidLastSave="{00000000-0000-0000-0000-000000000000}"/>
  <bookViews>
    <workbookView xWindow="-108" yWindow="-108" windowWidth="23256" windowHeight="13896" xr2:uid="{00000000-000D-0000-FFFF-FFFF00000000}"/>
  </bookViews>
  <sheets>
    <sheet name="Históricos" sheetId="1" r:id="rId1"/>
    <sheet name="1.-Factores técnicos" sheetId="2" r:id="rId2"/>
    <sheet name="2.-Factores ambientales" sheetId="3" r:id="rId3"/>
    <sheet name="3.-Casos de uso" sheetId="4" r:id="rId4"/>
    <sheet name="4.-Actores" sheetId="5" r:id="rId5"/>
    <sheet name="5.-Resumen estimación de tamaño" sheetId="6" r:id="rId6"/>
    <sheet name="6.-Estimación esfuerzo y co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D16" i="5"/>
  <c r="D15" i="5"/>
  <c r="D14" i="5"/>
  <c r="D13" i="5"/>
  <c r="D12" i="5"/>
  <c r="D11" i="5"/>
  <c r="B11" i="5"/>
  <c r="B12" i="5" s="1"/>
  <c r="B13" i="5" s="1"/>
  <c r="B14" i="5" s="1"/>
  <c r="B15" i="5" s="1"/>
  <c r="B16" i="5" s="1"/>
  <c r="B17" i="5" s="1"/>
  <c r="B18" i="5" s="1"/>
  <c r="B19" i="5" s="1"/>
  <c r="D10" i="5"/>
  <c r="E6" i="5" a="1"/>
  <c r="E6" i="5" s="1"/>
  <c r="E6" i="6" s="1"/>
  <c r="D17" i="4"/>
  <c r="D16" i="4"/>
  <c r="D15" i="4"/>
  <c r="D14" i="4"/>
  <c r="D13" i="4"/>
  <c r="D12" i="4"/>
  <c r="D11" i="4"/>
  <c r="B11" i="4"/>
  <c r="B12" i="4" s="1"/>
  <c r="B13" i="4" s="1"/>
  <c r="B14" i="4" s="1"/>
  <c r="B15" i="4" s="1"/>
  <c r="B16" i="4" s="1"/>
  <c r="B17" i="4" s="1"/>
  <c r="D10" i="4"/>
  <c r="E4" i="4" a="1"/>
  <c r="E4" i="4" s="1"/>
  <c r="E6" i="4" s="1" a="1"/>
  <c r="E6" i="4" s="1"/>
  <c r="E5" i="6" s="1"/>
  <c r="E12" i="3" a="1"/>
  <c r="E12" i="3"/>
  <c r="E4" i="6" s="1"/>
  <c r="E17" i="2" a="1"/>
  <c r="E17" i="2"/>
  <c r="E3" i="6" s="1"/>
  <c r="D31" i="7"/>
  <c r="E9" i="7"/>
  <c r="E8" i="6" l="1"/>
  <c r="E12" i="6" s="1"/>
  <c r="D6" i="7" s="1"/>
  <c r="D4" i="7"/>
  <c r="D7" i="7"/>
  <c r="F7" i="7" s="1"/>
  <c r="F6" i="7"/>
  <c r="D5" i="7"/>
  <c r="F5" i="7" s="1"/>
  <c r="F4" i="7" l="1"/>
  <c r="F9" i="7" s="1"/>
  <c r="D9" i="7"/>
  <c r="G12" i="7" l="1"/>
  <c r="C22" i="7" s="1"/>
  <c r="D33" i="7" s="1"/>
  <c r="E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00000000-0006-0000-0000-000001000000}">
      <text>
        <r>
          <rPr>
            <sz val="10"/>
            <rFont val="Arial"/>
          </rPr>
          <t>En esta sección se debe hacer referencia a las estimaciones de otros proyectos en base a los cuales se realizó las estimaciones iniciales del proyecto.
Ver la información historica de los proyectos en la carpeta métricas del repositorio del SGC.</t>
        </r>
      </text>
    </comment>
    <comment ref="F8" authorId="0" shapeId="0" xr:uid="{00000000-0006-0000-0000-000002000000}">
      <text>
        <r>
          <rPr>
            <sz val="10"/>
            <rFont val="Arial"/>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00000000-0006-0000-0100-000001000000}">
      <text>
        <r>
          <rPr>
            <sz val="10"/>
            <rFont val="Arial"/>
          </rPr>
          <t>TCF ( Technical Complexity Factor) = Factor de complejidad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2" authorId="0" shapeId="0" xr:uid="{00000000-0006-0000-0200-000001000000}">
      <text>
        <r>
          <rPr>
            <sz val="10"/>
            <rFont val="Arial"/>
          </rPr>
          <t xml:space="preserve">EF = Enviromentar Factor (Factor ambiental)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F3" authorId="0" shapeId="0" xr:uid="{00000000-0006-0000-0300-000001000000}">
      <text>
        <r>
          <rPr>
            <sz val="10"/>
            <rFont val="Arial"/>
          </rPr>
          <t>Una transacción es un intercambio, donde el actor hace algo y el sistema responde.</t>
        </r>
      </text>
    </comment>
    <comment ref="B6" authorId="0" shapeId="0" xr:uid="{00000000-0006-0000-0300-000002000000}">
      <text>
        <r>
          <rPr>
            <sz val="10"/>
            <rFont val="Arial"/>
          </rPr>
          <t xml:space="preserve">UUCP (Unadjusted Use Case Points) = Puntos de caso de uso sin ajustar.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B2" authorId="0" shapeId="0" xr:uid="{00000000-0006-0000-0400-000001000000}">
      <text>
        <r>
          <rPr>
            <sz val="10"/>
            <rFont val="Arial"/>
          </rPr>
          <t xml:space="preserve">No solo las personas son actores. También otros sistemas son actores. </t>
        </r>
      </text>
    </comment>
    <comment ref="D2" authorId="1" shapeId="0" xr:uid="{00000000-0006-0000-0400-000002000000}">
      <text>
        <r>
          <rPr>
            <sz val="10"/>
            <rFont val="Arial"/>
          </rPr>
          <t>Este multiplicador se aplica en automático en relación al grado de complejidad.</t>
        </r>
      </text>
    </comment>
    <comment ref="E2" authorId="1" shapeId="0" xr:uid="{00000000-0006-0000-0400-000003000000}">
      <text>
        <r>
          <rPr>
            <sz val="10"/>
            <rFont val="Arial"/>
          </rPr>
          <t>Esta sección llena automáticamente de acuerdo a la información registrada en la tabla de actores individuales.</t>
        </r>
      </text>
    </comment>
    <comment ref="B6" authorId="0" shapeId="0" xr:uid="{00000000-0006-0000-0400-000004000000}">
      <text>
        <r>
          <rPr>
            <sz val="10"/>
            <rFont val="Arial"/>
          </rPr>
          <t xml:space="preserve">AW (Actor Weighting) = Ponderación del actor
</t>
        </r>
      </text>
    </comment>
    <comment ref="E9" authorId="1" shapeId="0" xr:uid="{00000000-0006-0000-0400-000005000000}">
      <text>
        <r>
          <rPr>
            <sz val="10"/>
            <rFont val="Arial"/>
          </rPr>
          <t>Es necesario registrar estas celdas o de lo contrario no se contaran los actores en la tabla de arriba.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E10" authorId="0" shapeId="0" xr:uid="{00000000-0006-0000-0500-000001000000}">
      <text>
        <r>
          <rPr>
            <sz val="10"/>
            <rFont val="Arial"/>
          </rPr>
          <t xml:space="preserve">La conversión de horas por punto de caso de uso se ajustará de acuerdo con los históricos.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E3" authorId="0" shapeId="0" xr:uid="{00000000-0006-0000-0600-000001000000}">
      <text>
        <r>
          <rPr>
            <sz val="10"/>
            <rFont val="Arial"/>
          </rPr>
          <t>Estos porcentajes se ajustarán de acuerdo con la información de cada proyecto y a los históricos.</t>
        </r>
      </text>
    </comment>
    <comment ref="A11" authorId="1" shapeId="0" xr:uid="{00000000-0006-0000-0600-000002000000}">
      <text>
        <r>
          <rPr>
            <sz val="10"/>
            <rFont val="Arial"/>
          </rPr>
          <t>Días por persona/mes
&lt;Ingrese el factor de conversión que se usará para convertir meses-persona de esfuerzo en días-persona de esfuerzo, estos son los días laborales de la semana.&gt;
Nota: el valor predeterminado es 21.5 días establecido por nómina.</t>
        </r>
      </text>
    </comment>
    <comment ref="C11" authorId="1" shapeId="0" xr:uid="{00000000-0006-0000-0600-000003000000}">
      <text>
        <r>
          <rPr>
            <sz val="10"/>
            <rFont val="Arial"/>
          </rPr>
          <t>Horas efectivas de trabajo.</t>
        </r>
      </text>
    </comment>
    <comment ref="E11" authorId="1" shapeId="0" xr:uid="{00000000-0006-0000-0600-000004000000}">
      <text>
        <r>
          <rPr>
            <sz val="10"/>
            <rFont val="Arial"/>
          </rPr>
          <t>Días redo</t>
        </r>
      </text>
    </comment>
  </commentList>
</comments>
</file>

<file path=xl/sharedStrings.xml><?xml version="1.0" encoding="utf-8"?>
<sst xmlns="http://schemas.openxmlformats.org/spreadsheetml/2006/main" count="176" uniqueCount="145">
  <si>
    <t>Desglose de horas por actividad</t>
  </si>
  <si>
    <t>Actividades</t>
  </si>
  <si>
    <t>Horas</t>
  </si>
  <si>
    <t>%</t>
  </si>
  <si>
    <t>Días hombre</t>
  </si>
  <si>
    <t>Análisis</t>
  </si>
  <si>
    <t>Diseño</t>
  </si>
  <si>
    <t>Construcción</t>
  </si>
  <si>
    <t>Pruebas</t>
  </si>
  <si>
    <t xml:space="preserve">Total </t>
  </si>
  <si>
    <t>DPM</t>
  </si>
  <si>
    <t>Horas efectivas de trabajo</t>
  </si>
  <si>
    <t>Días totales (red)</t>
  </si>
  <si>
    <t>Plazo en meses</t>
  </si>
  <si>
    <t>Costos</t>
  </si>
  <si>
    <t>Rol</t>
  </si>
  <si>
    <t>Costo por mes</t>
  </si>
  <si>
    <t>Líder de proyecto</t>
  </si>
  <si>
    <t>Líder técnico</t>
  </si>
  <si>
    <t>Analista</t>
  </si>
  <si>
    <t>Arquitecto</t>
  </si>
  <si>
    <t>Desarrollador</t>
  </si>
  <si>
    <t>Tester</t>
  </si>
  <si>
    <t>Otros conceptos</t>
  </si>
  <si>
    <t>Conceptos</t>
  </si>
  <si>
    <t>Costo</t>
  </si>
  <si>
    <t>Horas extra</t>
  </si>
  <si>
    <t>Licencias</t>
  </si>
  <si>
    <t>Formación</t>
  </si>
  <si>
    <t>Consumibles</t>
  </si>
  <si>
    <t>Presupuesto total</t>
  </si>
  <si>
    <t>Todos los costos ya fueron proveidos con respaldo contractual tanto con el cliente como con la dirección de Four Js, el unico egreso que se vislumbra es el sueldo del personal asignado al proyecto.</t>
  </si>
  <si>
    <t xml:space="preserve">Cliente: </t>
  </si>
  <si>
    <t>ISSSTE</t>
  </si>
  <si>
    <t xml:space="preserve">Proyecto: </t>
  </si>
  <si>
    <t>Re Portabilidad</t>
  </si>
  <si>
    <t>Información histórica de referencia</t>
  </si>
  <si>
    <t>Indique el nombre del proyecto o proyectos de referencia revisados</t>
  </si>
  <si>
    <t>Nombre del proyecto</t>
  </si>
  <si>
    <t>Aspectos considerados</t>
  </si>
  <si>
    <t>Portabilidad</t>
  </si>
  <si>
    <t>Dominio de la aplicación: portabilidad de derechos pensionarios (integración ISSSTE-IMSS). Dominio de la tecnología: Genero BDL/4GL sobre GAS, Informix. Complejidad: media-alta (7 servicios web externos, catálogo de rechazo de 59 claves). Conocimiento del equipo: alto (mismo equipo con experiencia previa en SIPE-AV).</t>
  </si>
  <si>
    <t>Determinar el valor que caracteriza a cada factor de 0 a 5.</t>
  </si>
  <si>
    <t>Factor técnico</t>
  </si>
  <si>
    <t>Peso</t>
  </si>
  <si>
    <t>Magnitud relativa
(Ingrese 0-5)</t>
  </si>
  <si>
    <t>Descripción</t>
  </si>
  <si>
    <t>Sistema Distribuido Requerido</t>
  </si>
  <si>
    <t>La arquitectura de la solución puede ser centralizada o de un solo usuario, o puede ser distribuida (como una solución de "n" niveles) o multiusuario. Los números más altos representan una arquitectura más compleja.</t>
  </si>
  <si>
    <t>El tiempo de respuesta es importante</t>
  </si>
  <si>
    <t>¿La rapidez de respuesta de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</si>
  <si>
    <t>Eficiencia del usuario final</t>
  </si>
  <si>
    <t>¿La aplicación se está desarrollando para optimizar la eficiencia del usuario o solo la capacidad? Los números más altos representan proyectos que dependen más de la aplicación para mejorar la eficiencia del usuario.</t>
  </si>
  <si>
    <t>Procesamiento interno complejo requerido</t>
  </si>
  <si>
    <t>¿Hay mucho trabajo algorítmico difícil de hacer y probar? Los algoritmos complejos (nivelación de recursos, análisis de sistemas en el dominio del tiempo, cubos OLAP) tienen números más altos. Las consultas simples a la base de datos tendrían números bajos.</t>
  </si>
  <si>
    <t>El código reutilizable debe ser un foco</t>
  </si>
  <si>
    <t>¿La reutilización de código pesado es un objetivo o una meta?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</si>
  <si>
    <t>Fácil instalación</t>
  </si>
  <si>
    <t>¿La facilidad de instalación para los usuarios finales es un factor clave? Cuanto mayor sea el nivel de competencia de los usuarios, menor será el número.</t>
  </si>
  <si>
    <t>Usabilidad</t>
  </si>
  <si>
    <t>¿Es la facilidad de uso un criterio principal para la aceptación? Cuanto mayor sea la importancia de la usabilidad, mayor será el número.</t>
  </si>
  <si>
    <t>Soporte multiplataforma</t>
  </si>
  <si>
    <t>¿Se requiere soporte multiplataforma? Cuantas más plataformas deban ser compatibles (esto podría ser versiones de navegador, dispositivos móviles, etc. o Windows/OSX/Unix), mayor será el valor.</t>
  </si>
  <si>
    <t>Fácil de cambiar</t>
  </si>
  <si>
    <t>¿El cliente requiere la capacidad de cambiar o personalizar la aplicación en el futuro? Cuantos más cambios/personalizaciones se requieran en el futuro, mayor será el valor.</t>
  </si>
  <si>
    <t>Altamente concurrente</t>
  </si>
  <si>
    <t>¿Tendrá que abordar el bloqueo de la base de datos y otros problemas de simultaneidad? Cuanta más atención deba dedicar a resolver conflictos en los datos o la aplicación, mayor será el valor.</t>
  </si>
  <si>
    <t>Seguridad personalizada</t>
  </si>
  <si>
    <t>¿Se pueden aprovechar las soluciones de seguridad existentes o se debe desarrollar un código personalizado? Cuanto más trabajo de seguridad personalizado tenga que hacer (nivel de campo, nivel de página o seguridad basada en funciones, por ejemplo), mayor será el valor.</t>
  </si>
  <si>
    <t>Dependencia del código de terceros</t>
  </si>
  <si>
    <t>¿La aplicación requerirá el uso de controles o bibliotecas de terceros? Al igual que el código reutilizable, el código de terceros puede reducir el esfuerzo necesario para implementar una solución. Cuanto más código de terceros (y más fiable sea el código de terceros), menor será el número.</t>
  </si>
  <si>
    <t>Entrenamiento de usuario</t>
  </si>
  <si>
    <t>¿Cuánta capacitación del usuario se requiere? ¿La aplicación es compleja o admite actividades complejas? Cuanto más tarden los usuarios en cruzar el umbral de succión (lograr un nivel de dominio del producto), mayor será el valor.</t>
  </si>
  <si>
    <t xml:space="preserve"> TCF calculados</t>
  </si>
  <si>
    <t>Factor ambiental</t>
  </si>
  <si>
    <t>Magnitud relativa 
(Ingrese 0-5)</t>
  </si>
  <si>
    <t>Familiaridad con el proyecto</t>
  </si>
  <si>
    <t>¿Cuánta experiencia tiene su equipo trabajando en este dominio? El dominio del proyecto será un reflejo de lo que el software pretende lograr, no el lenguaje de implementación. En otras palabras, para un sistema de compensación de seguros escrito en java, te importa la experiencia del equipo en el espacio de compensación de seguros, no cuánto java han escrito. Los niveles más altos de experiencia obtienen un número más alto.</t>
  </si>
  <si>
    <t>Experiencia de aplicación</t>
  </si>
  <si>
    <t>¿Cuánta experiencia tiene su equipo con la aplicación?. Esto solo será relevante cuando se realicen cambios en una aplicación existente. Los números más altos representan más experiencia. Para una nueva aplicación, la experiencia de todos será 0.</t>
  </si>
  <si>
    <t>Experiencia en programación orientada a objetos</t>
  </si>
  <si>
    <t>¿Cuánta experiencia tiene tu equipo en OO? Puede ser fácil olvidar que muchas personas no tienen experiencia en programación orientada a objetos si está acostumbrado a tenerla. Un proyecto centrado en el usuario o basado en casos de uso tendrá una estructura inherentemente OO en la implementación. Los números más altos representan más experiencia OO.</t>
  </si>
  <si>
    <t>Capacidad del analista principal</t>
  </si>
  <si>
    <t>¿Qué tan conocedora y capaz es la persona responsable de los requisitos? Los malos requisitos son el asesino número uno de los proyectos: el Grupo Standish informa que del 40% al 60% de los defectos provienen de malos requisitos. Los números más altos representan una mayor habilidad y conocimiento.</t>
  </si>
  <si>
    <t>Motivación</t>
  </si>
  <si>
    <t>¿Qué tan motivado está tu equipo? Los números más altos representan más motivación</t>
  </si>
  <si>
    <t>Estabilidad de los requisitos</t>
  </si>
  <si>
    <t>¿Qué tanto nos desestabiliza el cambio?, Los cambios en los requisitos pueden causar aumentos en el trabajo. La forma de evitar esto es planificando el cambio e instituyendo un sistema de cronometraje para administrar esos cambios. Algunos retrabajos serán inevitables. Los números más altos representan más cambios (o un sistema menos efectivo para gestionar el cambio).</t>
  </si>
  <si>
    <t>Personal a tiempo parcial</t>
  </si>
  <si>
    <t>¿Hay personal de manera parcial en el proyecto?, se involucran en varios proyectos al mismo tiempo, al tener una persona en tiempo parcial el número es mayor a 0 (cero). Tenga en cuenta que el multiplicador para este número es negativo. Los números más altos reflejan a los miembros del equipo que son a tiempo parcial, consultores externos y desarrolladores que dividen su tiempo en proyectos. El cambio de contexto y otros factores intangibles hacen que estos miembros del equipo sean menos eficientes.</t>
  </si>
  <si>
    <t>Lenguaje de programación difícil</t>
  </si>
  <si>
    <t>Este multiplicador también es negativo. Los idiomas más difíciles representan números más altos. Creemos que la dificultad está en el ojo del be-coder (gemido). Java puede ser difícil para un programador de Fortran. Piénsalo en términos de dificultad para tu equipo, no de dificultad abstracta.</t>
  </si>
  <si>
    <t>EF Calculados</t>
  </si>
  <si>
    <t>Puntos de caso de uso sin ajustar</t>
  </si>
  <si>
    <t>Número de casos de uso</t>
  </si>
  <si>
    <t>Simple</t>
  </si>
  <si>
    <t>Caso de uso simple: Hasta 3 transacciones.</t>
  </si>
  <si>
    <t>Promedio</t>
  </si>
  <si>
    <t>Caso de uso promedio: de 4 a 7 transacciones.</t>
  </si>
  <si>
    <t>Complejo</t>
  </si>
  <si>
    <t>Caso de uso complejo: más de 7 transacciones.</t>
  </si>
  <si>
    <t xml:space="preserve"> UUCP calculados</t>
  </si>
  <si>
    <t>Casos de uso individual</t>
  </si>
  <si>
    <t>Nombre de caso de uso</t>
  </si>
  <si>
    <t>Busqueda y recuperación de derechohabiente</t>
  </si>
  <si>
    <t>Consulta del servicio WS1-IMSS-Consulta de estatus derechoahbiente</t>
  </si>
  <si>
    <t>Consulta del servicio WS2-PROCESAR-consulta estatus</t>
  </si>
  <si>
    <t>Consulta del servicio WS3-IMSS-Consulta de periodos portables</t>
  </si>
  <si>
    <t>Consulta del servicio WS4-PROCESAR-insercion</t>
  </si>
  <si>
    <t>Consulta del servicio WS5-PROCESAR-cancelacion</t>
  </si>
  <si>
    <t>Consulta del servicio WS6-IMSS-Conclusion Portabilidad</t>
  </si>
  <si>
    <t>Consulta del servicio WS7-ISSSTE-Beneficio Pensionario</t>
  </si>
  <si>
    <t>Listado de actores</t>
  </si>
  <si>
    <t>Multiplicador</t>
  </si>
  <si>
    <t>Número de actores</t>
  </si>
  <si>
    <t>Los actores simples son otro sistema que se comunican con el software a través de una API predefinida. Una API podría exponerse a través de una dll, o como REST, SOAP o cualquier API de servicio web o llamada a procedimiento remoto (RPC). El elemento clave es que está exponiendo la interacción con su software a través de un mecanismo específico y bien definido.</t>
  </si>
  <si>
    <t>Los actores promedio son otro sistema interactuando a través de un protocolo (ej. TCP/IP) o una persona interactuando a través de una interfaz en modo texto.</t>
  </si>
  <si>
    <t>La definición original de actores complejos especifica que los usuarios que interactúan con el software a través de una interfaz gráfica de usuario son actores complejos. Si bien eso es cierto, la misma clasificación debería aplicarse a los usuarios que interactúan con el sistema de manera impredecible. Una interfaz AJAX que expone más de la aplicación subyacente (y almacenes de datos) de lo que estaría disponible a través de un protocolo rígido podría introducir una complejidad similar.</t>
  </si>
  <si>
    <t>AW Calculado</t>
  </si>
  <si>
    <t xml:space="preserve">Actor </t>
  </si>
  <si>
    <t>Nombre del actor</t>
  </si>
  <si>
    <t>Operación interna BDUD</t>
  </si>
  <si>
    <t>WS1-IMSS-Consulta de estatus de derechoahbiente</t>
  </si>
  <si>
    <t>WS2-PROCESAR-Consulta</t>
  </si>
  <si>
    <t>WS3-IMSS-Consulta de Periodos</t>
  </si>
  <si>
    <t>WS4-PROCESAR-Insercion</t>
  </si>
  <si>
    <t>WS5-Cancelación</t>
  </si>
  <si>
    <t>WS6-Aviso Conculsion Portabilidad</t>
  </si>
  <si>
    <t>WS7-Consulta de Beneficio Pensionario</t>
  </si>
  <si>
    <t>Nota: si no escribes el "nombre del actor" no se agregarán datos a "número de actores"</t>
  </si>
  <si>
    <t>Cálculos de otras tablas</t>
  </si>
  <si>
    <t>TCF</t>
  </si>
  <si>
    <t>Factor de complejidad técnica</t>
  </si>
  <si>
    <t>EF</t>
  </si>
  <si>
    <t>UUCP</t>
  </si>
  <si>
    <t>Puntos de caso de uso no ajustados</t>
  </si>
  <si>
    <t>AW</t>
  </si>
  <si>
    <t>Ponderación de actores</t>
  </si>
  <si>
    <t>Cálculo de puntos de caso de uso</t>
  </si>
  <si>
    <t>UCP</t>
  </si>
  <si>
    <t>Puntos de caso de uso</t>
  </si>
  <si>
    <t>Cálculo del esfuerzo estimado</t>
  </si>
  <si>
    <t>Relación</t>
  </si>
  <si>
    <t>Horas de esfuerzo por punto de caso de uso</t>
  </si>
  <si>
    <t>Horas de esfuerzo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</si>
</sst>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4" formatCode="_-&quot;$&quot;* #,##0.00_-;\-&quot;$&quot;* #,##0.00_-;_-&quot;$&quot;* &quot;-&quot;??_-;_-@_-"/>
    <numFmt numFmtId="43" formatCode="_-* #,##0.00_-;\-* #,##0.00_-;_-* &quot;-&quot;??_-;_-@_-"/>
    <numFmt numFmtId="164" formatCode="_(* #,##0_);_(* \(#,##0\);_(* &quot;-&quot;??_);_(@_)"/>
    <numFmt numFmtId="165" formatCode="0.0"/>
    <numFmt numFmtId="166" formatCode="#,##0.00\ &quot;€&quot;"/>
    <numFmt numFmtId="167" formatCode="0.00%;[Red]\-0.00%"/>
    <numFmt numFmtId="168" formatCode="_-&quot;$&quot;* #,##0_-;\-&quot;$&quot;* #,##0_-;_-&quot;$&quot;* &quot;-&quot;??_-;_-@_-"/>
    <numFmt numFmtId="169" formatCode="_-[$$-80A]* #,##0.00_-;\-[$$-80A]* #,##0.00_-;_-[$$-80A]* &quot;-&quot;??_-;_-@_-"/>
    <numFmt numFmtId="170" formatCode="#,##0.00\ &quot;€&quot;;\-#,##0.00\ &quot;€&quot;"/>
  </numFmts>
  <fonts count="34" x14ac:knownFonts="1">
    <font>
      <sz val="10"/>
      <name val="Arial"/>
    </font>
    <font>
      <sz val="10"/>
      <name val="Arial"/>
      <family val="2"/>
    </font>
    <font>
      <sz val="12"/>
      <name val="Arial"/>
      <family val="2"/>
    </font>
    <font>
      <b/>
      <sz val="12"/>
      <name val="Arial"/>
      <family val="2"/>
    </font>
    <font>
      <sz val="10"/>
      <name val="Arial"/>
      <family val="2"/>
    </font>
    <font>
      <b/>
      <sz val="10"/>
      <name val="Arial"/>
      <family val="2"/>
    </font>
    <font>
      <b/>
      <sz val="11"/>
      <color indexed="9"/>
      <name val="Arial"/>
      <family val="2"/>
    </font>
    <font>
      <sz val="12"/>
      <name val="Arial"/>
      <family val="2"/>
    </font>
    <font>
      <b/>
      <sz val="12"/>
      <color indexed="9"/>
      <name val="Arial"/>
      <family val="2"/>
    </font>
    <font>
      <b/>
      <sz val="12"/>
      <color theme="0"/>
      <name val="Arial"/>
      <family val="2"/>
    </font>
    <font>
      <b/>
      <sz val="14"/>
      <color theme="1"/>
      <name val="Arial"/>
      <family val="2"/>
    </font>
    <font>
      <b/>
      <sz val="12"/>
      <color theme="1"/>
      <name val="Arial"/>
      <family val="2"/>
    </font>
    <font>
      <b/>
      <sz val="10"/>
      <color theme="1"/>
      <name val="Arial"/>
      <family val="2"/>
    </font>
    <font>
      <b/>
      <sz val="10"/>
      <color theme="0"/>
      <name val="Arial"/>
      <family val="2"/>
    </font>
    <font>
      <b/>
      <sz val="14"/>
      <name val="Arial"/>
      <family val="2"/>
    </font>
    <font>
      <b/>
      <sz val="11"/>
      <color theme="0"/>
      <name val="Arial"/>
      <family val="2"/>
    </font>
    <font>
      <b/>
      <sz val="16"/>
      <color theme="0"/>
      <name val="Calibri"/>
      <family val="2"/>
      <scheme val="minor"/>
    </font>
    <font>
      <b/>
      <sz val="12"/>
      <name val="Calibri"/>
      <family val="2"/>
      <scheme val="minor"/>
    </font>
    <font>
      <sz val="12"/>
      <color theme="1"/>
      <name val="Calibri"/>
      <family val="2"/>
      <scheme val="minor"/>
    </font>
    <font>
      <i/>
      <sz val="11"/>
      <color theme="1" tint="0.249977111117893"/>
      <name val="Calibri"/>
      <family val="2"/>
      <scheme val="minor"/>
    </font>
    <font>
      <sz val="10"/>
      <name val="Arial"/>
      <family val="2"/>
    </font>
    <font>
      <sz val="10"/>
      <name val="Calibri"/>
      <family val="2"/>
      <scheme val="minor"/>
    </font>
    <font>
      <b/>
      <sz val="10"/>
      <name val="Calibri"/>
      <family val="2"/>
      <scheme val="minor"/>
    </font>
    <font>
      <sz val="10"/>
      <color theme="1"/>
      <name val="Calibri"/>
      <family val="2"/>
      <scheme val="minor"/>
    </font>
    <font>
      <sz val="9"/>
      <color indexed="63"/>
      <name val="Verdana"/>
      <family val="2"/>
    </font>
    <font>
      <sz val="9"/>
      <name val="Verdana"/>
      <family val="2"/>
    </font>
    <font>
      <sz val="11"/>
      <name val="Calibri"/>
      <family val="2"/>
      <scheme val="minor"/>
    </font>
    <font>
      <sz val="10"/>
      <color indexed="63"/>
      <name val="Calibri"/>
      <family val="2"/>
      <scheme val="minor"/>
    </font>
    <font>
      <b/>
      <sz val="11"/>
      <color indexed="63"/>
      <name val="Calibri"/>
      <family val="2"/>
      <scheme val="minor"/>
    </font>
    <font>
      <b/>
      <i/>
      <sz val="9"/>
      <name val="Calibri"/>
      <family val="2"/>
      <scheme val="minor"/>
    </font>
    <font>
      <b/>
      <sz val="9"/>
      <color indexed="63"/>
      <name val="Verdana"/>
      <family val="2"/>
    </font>
    <font>
      <b/>
      <sz val="12"/>
      <color theme="0"/>
      <name val="Calibri"/>
      <family val="2"/>
      <scheme val="minor"/>
    </font>
    <font>
      <i/>
      <sz val="11"/>
      <name val="Calibri"/>
      <family val="2"/>
      <scheme val="minor"/>
    </font>
    <font>
      <i/>
      <sz val="10"/>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43" fontId="20" fillId="0" borderId="0"/>
    <xf numFmtId="44" fontId="20" fillId="0" borderId="0"/>
    <xf numFmtId="9" fontId="20" fillId="0" borderId="0"/>
  </cellStyleXfs>
  <cellXfs count="13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xf>
    <xf numFmtId="0" fontId="0" fillId="0" borderId="0" xfId="0" applyAlignment="1">
      <alignment horizontal="left"/>
    </xf>
    <xf numFmtId="164" fontId="3" fillId="3" borderId="12" xfId="1" applyNumberFormat="1" applyFont="1" applyFill="1" applyBorder="1"/>
    <xf numFmtId="0" fontId="8" fillId="2" borderId="5"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5" borderId="14" xfId="0" applyFont="1" applyFill="1" applyBorder="1" applyAlignment="1">
      <alignment horizontal="center" vertical="center"/>
    </xf>
    <xf numFmtId="0" fontId="12" fillId="5" borderId="14" xfId="0" applyFont="1" applyFill="1" applyBorder="1" applyAlignment="1">
      <alignment horizontal="center"/>
    </xf>
    <xf numFmtId="0" fontId="12" fillId="5" borderId="12" xfId="0" applyFont="1" applyFill="1" applyBorder="1" applyAlignment="1">
      <alignment wrapText="1"/>
    </xf>
    <xf numFmtId="0" fontId="15" fillId="2" borderId="5" xfId="0" applyFont="1" applyFill="1" applyBorder="1" applyAlignment="1">
      <alignment horizontal="center" vertical="center" wrapText="1"/>
    </xf>
    <xf numFmtId="0" fontId="4" fillId="3" borderId="1" xfId="0" applyFont="1" applyFill="1" applyBorder="1" applyAlignment="1">
      <alignment horizontal="right" indent="1"/>
    </xf>
    <xf numFmtId="0" fontId="2" fillId="3" borderId="7" xfId="0" applyFont="1" applyFill="1" applyBorder="1"/>
    <xf numFmtId="165" fontId="2" fillId="3" borderId="7" xfId="0" applyNumberFormat="1" applyFont="1" applyFill="1" applyBorder="1"/>
    <xf numFmtId="0" fontId="4" fillId="0" borderId="0" xfId="0" applyFont="1"/>
    <xf numFmtId="0" fontId="0" fillId="5" borderId="1" xfId="0" applyFill="1" applyBorder="1" applyAlignment="1">
      <alignment horizontal="center" vertical="center"/>
    </xf>
    <xf numFmtId="0" fontId="0" fillId="5" borderId="8" xfId="0" applyFill="1" applyBorder="1" applyAlignment="1">
      <alignment horizontal="center" vertical="center"/>
    </xf>
    <xf numFmtId="0" fontId="3" fillId="5" borderId="1" xfId="0" applyFont="1" applyFill="1" applyBorder="1" applyAlignment="1">
      <alignment horizontal="center" vertical="center" wrapText="1"/>
    </xf>
    <xf numFmtId="0" fontId="4" fillId="5" borderId="7" xfId="0" applyFont="1" applyFill="1" applyBorder="1" applyAlignment="1">
      <alignment vertical="center" wrapText="1"/>
    </xf>
    <xf numFmtId="0" fontId="4" fillId="5" borderId="14" xfId="0" applyFont="1" applyFill="1" applyBorder="1" applyAlignment="1">
      <alignment horizontal="center"/>
    </xf>
    <xf numFmtId="0" fontId="14" fillId="5" borderId="14" xfId="0" applyFont="1" applyFill="1" applyBorder="1" applyAlignment="1">
      <alignment horizontal="center" vertical="center"/>
    </xf>
    <xf numFmtId="0" fontId="4" fillId="5" borderId="12" xfId="0" applyFont="1" applyFill="1" applyBorder="1" applyAlignment="1">
      <alignment wrapText="1"/>
    </xf>
    <xf numFmtId="0" fontId="5" fillId="5" borderId="14" xfId="0" applyFont="1" applyFill="1" applyBorder="1" applyAlignment="1">
      <alignment horizontal="center"/>
    </xf>
    <xf numFmtId="0" fontId="0" fillId="5" borderId="7" xfId="0" applyFill="1" applyBorder="1" applyAlignment="1">
      <alignment vertical="center" wrapText="1"/>
    </xf>
    <xf numFmtId="0" fontId="5" fillId="5" borderId="12" xfId="0" applyFont="1" applyFill="1" applyBorder="1" applyAlignment="1">
      <alignment wrapText="1"/>
    </xf>
    <xf numFmtId="0" fontId="14" fillId="5" borderId="1" xfId="0" applyFont="1" applyFill="1" applyBorder="1" applyAlignment="1">
      <alignment horizontal="center" vertical="center"/>
    </xf>
    <xf numFmtId="0" fontId="5" fillId="0" borderId="0" xfId="0" applyFont="1" applyAlignment="1">
      <alignment horizontal="center"/>
    </xf>
    <xf numFmtId="0" fontId="5" fillId="0" borderId="0" xfId="0" applyFont="1" applyAlignment="1">
      <alignment horizontal="center" vertical="center" wrapText="1"/>
    </xf>
    <xf numFmtId="0" fontId="18" fillId="3" borderId="1" xfId="0" applyFont="1" applyFill="1" applyBorder="1" applyAlignment="1">
      <alignment horizontal="center" vertical="center"/>
    </xf>
    <xf numFmtId="0" fontId="21" fillId="4" borderId="0" xfId="0" applyFont="1" applyFill="1"/>
    <xf numFmtId="166" fontId="21" fillId="4" borderId="0" xfId="0" applyNumberFormat="1" applyFont="1" applyFill="1"/>
    <xf numFmtId="0" fontId="21" fillId="0" borderId="0" xfId="0" applyFont="1"/>
    <xf numFmtId="166" fontId="21" fillId="0" borderId="0" xfId="0" applyNumberFormat="1" applyFont="1"/>
    <xf numFmtId="10" fontId="21" fillId="4" borderId="0" xfId="0" applyNumberFormat="1" applyFont="1" applyFill="1"/>
    <xf numFmtId="0" fontId="25" fillId="4" borderId="0" xfId="0" applyFont="1" applyFill="1"/>
    <xf numFmtId="166" fontId="25" fillId="4" borderId="0" xfId="0" applyNumberFormat="1" applyFont="1" applyFill="1"/>
    <xf numFmtId="10" fontId="25" fillId="4" borderId="0" xfId="0" applyNumberFormat="1" applyFont="1" applyFill="1"/>
    <xf numFmtId="166" fontId="24" fillId="6" borderId="1" xfId="0" applyNumberFormat="1" applyFont="1" applyFill="1" applyBorder="1" applyAlignment="1">
      <alignment horizontal="center" vertical="center"/>
    </xf>
    <xf numFmtId="167" fontId="25" fillId="4" borderId="1" xfId="0" applyNumberFormat="1" applyFont="1" applyFill="1" applyBorder="1" applyAlignment="1">
      <alignment vertical="center" shrinkToFit="1"/>
    </xf>
    <xf numFmtId="6" fontId="21" fillId="4" borderId="1" xfId="0" applyNumberFormat="1" applyFont="1" applyFill="1" applyBorder="1" applyAlignment="1">
      <alignment horizontal="center"/>
    </xf>
    <xf numFmtId="44" fontId="21" fillId="0" borderId="1" xfId="2" applyFont="1" applyBorder="1" applyAlignment="1">
      <alignment shrinkToFit="1"/>
    </xf>
    <xf numFmtId="2" fontId="25" fillId="4" borderId="0" xfId="0" applyNumberFormat="1" applyFont="1" applyFill="1"/>
    <xf numFmtId="2" fontId="0" fillId="0" borderId="0" xfId="0" applyNumberFormat="1"/>
    <xf numFmtId="0" fontId="1" fillId="0" borderId="0" xfId="0" applyFont="1"/>
    <xf numFmtId="0" fontId="22" fillId="0" borderId="0" xfId="0" applyFont="1" applyAlignment="1">
      <alignment horizontal="center" vertical="center"/>
    </xf>
    <xf numFmtId="0" fontId="29" fillId="0" borderId="0" xfId="0" applyFont="1"/>
    <xf numFmtId="0" fontId="13" fillId="2" borderId="1" xfId="0" applyFont="1" applyFill="1" applyBorder="1"/>
    <xf numFmtId="1" fontId="23" fillId="3" borderId="1" xfId="0" applyNumberFormat="1" applyFont="1" applyFill="1" applyBorder="1" applyAlignment="1">
      <alignment horizontal="center" vertical="center" shrinkToFit="1"/>
    </xf>
    <xf numFmtId="10" fontId="25" fillId="3" borderId="1" xfId="0" applyNumberFormat="1" applyFont="1" applyFill="1" applyBorder="1" applyAlignment="1">
      <alignment vertical="center" shrinkToFit="1"/>
    </xf>
    <xf numFmtId="2" fontId="25" fillId="3" borderId="1" xfId="0" applyNumberFormat="1" applyFont="1" applyFill="1" applyBorder="1" applyAlignment="1">
      <alignment vertical="center" shrinkToFit="1"/>
    </xf>
    <xf numFmtId="0" fontId="0" fillId="3" borderId="1" xfId="0" applyFill="1" applyBorder="1"/>
    <xf numFmtId="166" fontId="30" fillId="3" borderId="1" xfId="0" applyNumberFormat="1" applyFont="1" applyFill="1" applyBorder="1" applyAlignment="1">
      <alignment horizontal="center" vertical="center"/>
    </xf>
    <xf numFmtId="0" fontId="30" fillId="3" borderId="1" xfId="0" applyFont="1" applyFill="1" applyBorder="1" applyAlignment="1">
      <alignment horizontal="center" vertical="center"/>
    </xf>
    <xf numFmtId="166" fontId="30" fillId="3" borderId="1" xfId="0" applyNumberFormat="1" applyFont="1" applyFill="1" applyBorder="1" applyAlignment="1">
      <alignment horizontal="center" vertical="center" wrapText="1"/>
    </xf>
    <xf numFmtId="44" fontId="22" fillId="3" borderId="1" xfId="2" applyFont="1" applyFill="1" applyBorder="1" applyAlignment="1">
      <alignment horizontal="center" vertical="center" shrinkToFit="1"/>
    </xf>
    <xf numFmtId="2" fontId="0" fillId="0" borderId="0" xfId="0" applyNumberFormat="1" applyAlignment="1">
      <alignment horizontal="center"/>
    </xf>
    <xf numFmtId="0" fontId="27" fillId="0" borderId="0" xfId="0" applyFont="1" applyAlignment="1">
      <alignment vertical="center"/>
    </xf>
    <xf numFmtId="49" fontId="26" fillId="0" borderId="0" xfId="0" applyNumberFormat="1" applyFont="1" applyAlignment="1">
      <alignment vertical="top" wrapText="1" shrinkToFit="1"/>
    </xf>
    <xf numFmtId="168" fontId="22" fillId="3" borderId="3" xfId="2" applyNumberFormat="1" applyFont="1" applyFill="1" applyBorder="1" applyAlignment="1">
      <alignment horizontal="center" vertical="center" shrinkToFit="1"/>
    </xf>
    <xf numFmtId="44" fontId="21" fillId="0" borderId="19" xfId="2" applyFont="1" applyBorder="1" applyAlignment="1">
      <alignment shrinkToFit="1"/>
    </xf>
    <xf numFmtId="169" fontId="21" fillId="3" borderId="1" xfId="2" applyNumberFormat="1" applyFont="1" applyFill="1" applyBorder="1" applyAlignment="1">
      <alignment vertical="center" shrinkToFit="1"/>
    </xf>
    <xf numFmtId="0" fontId="1" fillId="5" borderId="7" xfId="0" applyFont="1" applyFill="1" applyBorder="1" applyAlignment="1">
      <alignment vertical="center" wrapText="1"/>
    </xf>
    <xf numFmtId="0" fontId="2" fillId="4" borderId="7" xfId="0" applyFont="1" applyFill="1" applyBorder="1"/>
    <xf numFmtId="0" fontId="14"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24" fillId="6" borderId="1" xfId="0" applyFont="1" applyFill="1" applyBorder="1" applyAlignment="1">
      <alignment horizontal="center" vertical="center"/>
    </xf>
    <xf numFmtId="0" fontId="0" fillId="0" borderId="2" xfId="0" applyBorder="1"/>
    <xf numFmtId="0" fontId="0" fillId="0" borderId="3" xfId="0" applyBorder="1"/>
    <xf numFmtId="2" fontId="0" fillId="3" borderId="1" xfId="0" applyNumberFormat="1" applyFill="1" applyBorder="1" applyAlignment="1">
      <alignment horizontal="center"/>
    </xf>
    <xf numFmtId="166" fontId="30" fillId="3"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170" fontId="21" fillId="4" borderId="1" xfId="3" applyNumberFormat="1" applyFont="1" applyFill="1" applyBorder="1" applyAlignment="1">
      <alignment horizontal="center" shrinkToFit="1"/>
    </xf>
    <xf numFmtId="0" fontId="30" fillId="3" borderId="1" xfId="0" applyFont="1" applyFill="1" applyBorder="1" applyAlignment="1">
      <alignment horizontal="center" vertical="center"/>
    </xf>
    <xf numFmtId="0" fontId="31" fillId="2" borderId="0" xfId="0" applyFont="1" applyFill="1" applyAlignment="1">
      <alignment horizontal="center" vertical="center"/>
    </xf>
    <xf numFmtId="0" fontId="0" fillId="0" borderId="0" xfId="0"/>
    <xf numFmtId="4" fontId="26" fillId="0" borderId="1" xfId="0" applyNumberFormat="1" applyFont="1" applyBorder="1" applyAlignment="1">
      <alignment horizontal="center"/>
    </xf>
    <xf numFmtId="0" fontId="23" fillId="4" borderId="1" xfId="0" applyFont="1" applyFill="1" applyBorder="1" applyAlignment="1">
      <alignment horizontal="center" vertical="center"/>
    </xf>
    <xf numFmtId="0" fontId="31" fillId="2" borderId="1" xfId="0" applyFont="1" applyFill="1" applyBorder="1" applyAlignment="1">
      <alignment horizontal="center"/>
    </xf>
    <xf numFmtId="0" fontId="31" fillId="2" borderId="20" xfId="0" applyFont="1" applyFill="1" applyBorder="1" applyAlignment="1">
      <alignment horizontal="center"/>
    </xf>
    <xf numFmtId="0" fontId="0" fillId="0" borderId="20" xfId="0" applyBorder="1"/>
    <xf numFmtId="0" fontId="0" fillId="0" borderId="1" xfId="0" applyBorder="1" applyAlignment="1">
      <alignment horizontal="center" vertical="center"/>
    </xf>
    <xf numFmtId="49" fontId="33" fillId="0" borderId="3" xfId="0" applyNumberFormat="1" applyFont="1" applyBorder="1" applyAlignment="1">
      <alignment horizontal="left" vertical="top" wrapText="1" shrinkToFit="1"/>
    </xf>
    <xf numFmtId="0" fontId="0" fillId="0" borderId="21" xfId="0" applyBorder="1"/>
    <xf numFmtId="0" fontId="0" fillId="0" borderId="22" xfId="0" applyBorder="1"/>
    <xf numFmtId="0" fontId="0" fillId="0" borderId="25" xfId="0" applyBorder="1"/>
    <xf numFmtId="0" fontId="0" fillId="0" borderId="26" xfId="0" applyBorder="1"/>
    <xf numFmtId="0" fontId="22" fillId="3" borderId="1" xfId="0" applyFont="1" applyFill="1" applyBorder="1" applyAlignment="1">
      <alignment horizontal="right"/>
    </xf>
    <xf numFmtId="0" fontId="13" fillId="2" borderId="19" xfId="0" applyFont="1" applyFill="1" applyBorder="1" applyAlignment="1">
      <alignment horizontal="center" vertical="center"/>
    </xf>
    <xf numFmtId="0" fontId="30" fillId="3" borderId="1" xfId="0" applyFont="1" applyFill="1" applyBorder="1" applyAlignment="1">
      <alignment horizontal="center"/>
    </xf>
    <xf numFmtId="170" fontId="21" fillId="4" borderId="19" xfId="3" applyNumberFormat="1" applyFont="1" applyFill="1" applyBorder="1" applyAlignment="1">
      <alignment horizontal="center" shrinkToFit="1"/>
    </xf>
    <xf numFmtId="0" fontId="22" fillId="3" borderId="1" xfId="0" applyFont="1" applyFill="1" applyBorder="1" applyAlignment="1">
      <alignment horizontal="center"/>
    </xf>
    <xf numFmtId="0" fontId="28" fillId="3" borderId="1" xfId="0" applyFont="1" applyFill="1" applyBorder="1" applyAlignment="1">
      <alignment horizontal="center"/>
    </xf>
    <xf numFmtId="0" fontId="5" fillId="0" borderId="1" xfId="0" applyFont="1" applyBorder="1" applyAlignment="1">
      <alignment horizontal="center" vertical="center" wrapText="1"/>
    </xf>
    <xf numFmtId="0" fontId="32" fillId="0" borderId="8" xfId="0" applyFont="1" applyBorder="1" applyAlignment="1">
      <alignment horizontal="center" vertical="center" wrapText="1"/>
    </xf>
    <xf numFmtId="0" fontId="17" fillId="3" borderId="8" xfId="0" applyFont="1" applyFill="1" applyBorder="1" applyAlignment="1">
      <alignment horizontal="center" vertical="center" wrapText="1"/>
    </xf>
    <xf numFmtId="0" fontId="32" fillId="0" borderId="1" xfId="0" applyFont="1" applyBorder="1" applyAlignment="1">
      <alignment horizontal="left" vertical="center" wrapText="1"/>
    </xf>
    <xf numFmtId="0" fontId="19" fillId="0" borderId="16" xfId="0" applyFont="1" applyBorder="1" applyAlignment="1">
      <alignment horizontal="center" vertical="center" wrapText="1"/>
    </xf>
    <xf numFmtId="0" fontId="0" fillId="0" borderId="10" xfId="0" applyBorder="1"/>
    <xf numFmtId="0" fontId="0" fillId="0" borderId="11" xfId="0" applyBorder="1"/>
    <xf numFmtId="0" fontId="19" fillId="0" borderId="8" xfId="0" applyFont="1" applyBorder="1" applyAlignment="1">
      <alignment horizontal="center" vertical="center" wrapText="1"/>
    </xf>
    <xf numFmtId="0" fontId="16" fillId="2" borderId="23" xfId="0" applyFont="1" applyFill="1" applyBorder="1" applyAlignment="1">
      <alignment horizontal="center" vertical="center"/>
    </xf>
    <xf numFmtId="0" fontId="0" fillId="0" borderId="17" xfId="0" applyBorder="1"/>
    <xf numFmtId="0" fontId="0" fillId="0" borderId="15" xfId="0" applyBorder="1"/>
    <xf numFmtId="0" fontId="17" fillId="3" borderId="1" xfId="0" applyFont="1" applyFill="1" applyBorder="1" applyAlignment="1">
      <alignment horizontal="center" vertical="center" wrapText="1"/>
    </xf>
    <xf numFmtId="0" fontId="5" fillId="0" borderId="14" xfId="0" applyFont="1" applyBorder="1" applyAlignment="1">
      <alignment horizontal="center" vertical="center" wrapText="1"/>
    </xf>
    <xf numFmtId="0" fontId="8" fillId="2" borderId="4" xfId="0" applyFont="1" applyFill="1" applyBorder="1" applyAlignment="1">
      <alignment horizontal="center" vertical="center"/>
    </xf>
    <xf numFmtId="0" fontId="0" fillId="0" borderId="13" xfId="0" applyBorder="1"/>
    <xf numFmtId="0" fontId="7" fillId="5" borderId="16" xfId="0" applyFont="1" applyFill="1" applyBorder="1" applyAlignment="1">
      <alignment horizontal="center" vertical="center"/>
    </xf>
    <xf numFmtId="0" fontId="4" fillId="0" borderId="18" xfId="0" applyFont="1" applyBorder="1" applyAlignment="1">
      <alignment horizontal="left" vertical="center" readingOrder="1"/>
    </xf>
    <xf numFmtId="0" fontId="0" fillId="0" borderId="18" xfId="0" applyBorder="1"/>
    <xf numFmtId="0" fontId="3" fillId="5" borderId="16" xfId="0" applyFont="1" applyFill="1" applyBorder="1" applyAlignment="1">
      <alignment horizontal="center" vertical="center"/>
    </xf>
    <xf numFmtId="0" fontId="9" fillId="2" borderId="4" xfId="0" applyFont="1" applyFill="1" applyBorder="1" applyAlignment="1">
      <alignment horizontal="center" vertical="center"/>
    </xf>
    <xf numFmtId="0" fontId="1" fillId="4" borderId="7" xfId="0" applyFont="1" applyFill="1" applyBorder="1" applyAlignment="1">
      <alignment vertical="center" wrapText="1"/>
    </xf>
    <xf numFmtId="0" fontId="0" fillId="0" borderId="9" xfId="0" applyBorder="1"/>
    <xf numFmtId="0" fontId="11" fillId="5" borderId="16" xfId="0" applyFont="1" applyFill="1" applyBorder="1" applyAlignment="1">
      <alignment horizontal="center" vertical="center"/>
    </xf>
    <xf numFmtId="0" fontId="9"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 fillId="4" borderId="7" xfId="0" applyFont="1" applyFill="1" applyBorder="1" applyAlignment="1">
      <alignment horizontal="left" vertical="center" wrapText="1"/>
    </xf>
    <xf numFmtId="0" fontId="8" fillId="2" borderId="6" xfId="0" applyFont="1" applyFill="1" applyBorder="1" applyAlignment="1">
      <alignment horizontal="center" vertical="center" wrapText="1"/>
    </xf>
    <xf numFmtId="0" fontId="0" fillId="4" borderId="7" xfId="0" applyFill="1" applyBorder="1" applyAlignment="1">
      <alignment horizontal="left" vertical="center" wrapText="1"/>
    </xf>
    <xf numFmtId="0" fontId="9" fillId="2" borderId="6" xfId="0" applyFont="1" applyFill="1" applyBorder="1" applyAlignment="1">
      <alignment horizontal="center" vertical="center" wrapText="1"/>
    </xf>
    <xf numFmtId="0" fontId="4" fillId="3" borderId="8" xfId="0" applyFont="1" applyFill="1" applyBorder="1" applyAlignment="1">
      <alignment horizontal="right"/>
    </xf>
    <xf numFmtId="0" fontId="6" fillId="2" borderId="8" xfId="0" applyFont="1" applyFill="1" applyBorder="1"/>
    <xf numFmtId="0" fontId="2" fillId="0" borderId="24" xfId="0" applyFont="1" applyBorder="1"/>
    <xf numFmtId="0" fontId="6" fillId="2" borderId="4" xfId="0" applyFont="1" applyFill="1" applyBorder="1"/>
    <xf numFmtId="0" fontId="9" fillId="2" borderId="16" xfId="0" applyFont="1" applyFill="1" applyBorder="1" applyAlignment="1">
      <alignment horizontal="right" indent="1"/>
    </xf>
    <xf numFmtId="0" fontId="0" fillId="0" borderId="3" xfId="0" applyFont="1" applyBorder="1"/>
    <xf numFmtId="0" fontId="0" fillId="0" borderId="2" xfId="0" applyFont="1" applyBorder="1"/>
    <xf numFmtId="0" fontId="1" fillId="0" borderId="1" xfId="0" applyFont="1" applyBorder="1" applyAlignment="1">
      <alignment horizontal="center" vertical="center" wrapText="1"/>
    </xf>
    <xf numFmtId="0" fontId="1" fillId="0" borderId="2" xfId="0" applyFont="1" applyBorder="1"/>
    <xf numFmtId="0" fontId="1" fillId="0" borderId="3" xfId="0" applyFont="1" applyBorder="1"/>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3"/>
  <sheetViews>
    <sheetView showGridLines="0" tabSelected="1" workbookViewId="0">
      <selection activeCell="B1" sqref="B1"/>
    </sheetView>
  </sheetViews>
  <sheetFormatPr baseColWidth="10" defaultRowHeight="13.2" x14ac:dyDescent="0.25"/>
  <sheetData>
    <row r="2" spans="2:11" ht="15.6" customHeight="1" x14ac:dyDescent="0.25">
      <c r="B2" s="36" t="s">
        <v>32</v>
      </c>
      <c r="C2" s="103" t="s">
        <v>33</v>
      </c>
      <c r="D2" s="134"/>
    </row>
    <row r="3" spans="2:11" ht="15.6" customHeight="1" x14ac:dyDescent="0.25">
      <c r="B3" s="36" t="s">
        <v>34</v>
      </c>
      <c r="C3" s="103" t="s">
        <v>35</v>
      </c>
      <c r="D3" s="134"/>
    </row>
    <row r="5" spans="2:11" ht="13.8" customHeight="1" thickBot="1" x14ac:dyDescent="0.3"/>
    <row r="6" spans="2:11" ht="21" customHeight="1" x14ac:dyDescent="0.25">
      <c r="B6" s="108" t="s">
        <v>36</v>
      </c>
      <c r="C6" s="109"/>
      <c r="D6" s="109"/>
      <c r="E6" s="109"/>
      <c r="F6" s="109"/>
      <c r="G6" s="109"/>
      <c r="H6" s="109"/>
      <c r="I6" s="109"/>
      <c r="J6" s="109"/>
      <c r="K6" s="110"/>
    </row>
    <row r="7" spans="2:11" ht="17.55" customHeight="1" x14ac:dyDescent="0.25">
      <c r="B7" s="102" t="s">
        <v>37</v>
      </c>
      <c r="C7" s="74"/>
      <c r="D7" s="74"/>
      <c r="E7" s="74"/>
      <c r="F7" s="74"/>
      <c r="G7" s="74"/>
      <c r="H7" s="74"/>
      <c r="I7" s="74"/>
      <c r="J7" s="74"/>
      <c r="K7" s="75"/>
    </row>
    <row r="8" spans="2:11" ht="13.35" customHeight="1" x14ac:dyDescent="0.25">
      <c r="B8" s="102" t="s">
        <v>38</v>
      </c>
      <c r="C8" s="74"/>
      <c r="D8" s="74"/>
      <c r="E8" s="75"/>
      <c r="F8" s="111" t="s">
        <v>39</v>
      </c>
      <c r="G8" s="74"/>
      <c r="H8" s="74"/>
      <c r="I8" s="74"/>
      <c r="J8" s="74"/>
      <c r="K8" s="75"/>
    </row>
    <row r="9" spans="2:11" ht="83.4" customHeight="1" x14ac:dyDescent="0.25">
      <c r="B9" s="101" t="s">
        <v>40</v>
      </c>
      <c r="C9" s="135"/>
      <c r="D9" s="135"/>
      <c r="E9" s="134"/>
      <c r="F9" s="136" t="s">
        <v>41</v>
      </c>
      <c r="G9" s="137"/>
      <c r="H9" s="137"/>
      <c r="I9" s="137"/>
      <c r="J9" s="137"/>
      <c r="K9" s="138"/>
    </row>
    <row r="10" spans="2:11" ht="14.4" customHeight="1" x14ac:dyDescent="0.25">
      <c r="B10" s="107"/>
      <c r="C10" s="74"/>
      <c r="D10" s="74"/>
      <c r="E10" s="75"/>
      <c r="F10" s="100"/>
      <c r="G10" s="74"/>
      <c r="H10" s="74"/>
      <c r="I10" s="74"/>
      <c r="J10" s="74"/>
      <c r="K10" s="75"/>
    </row>
    <row r="11" spans="2:11" ht="14.4" customHeight="1" x14ac:dyDescent="0.25">
      <c r="B11" s="107"/>
      <c r="C11" s="74"/>
      <c r="D11" s="74"/>
      <c r="E11" s="75"/>
      <c r="F11" s="100"/>
      <c r="G11" s="74"/>
      <c r="H11" s="74"/>
      <c r="I11" s="74"/>
      <c r="J11" s="74"/>
      <c r="K11" s="75"/>
    </row>
    <row r="12" spans="2:11" ht="15" customHeight="1" thickBot="1" x14ac:dyDescent="0.3">
      <c r="B12" s="104"/>
      <c r="C12" s="105"/>
      <c r="D12" s="105"/>
      <c r="E12" s="106"/>
      <c r="F12" s="112"/>
      <c r="G12" s="105"/>
      <c r="H12" s="105"/>
      <c r="I12" s="105"/>
      <c r="J12" s="105"/>
      <c r="K12" s="106"/>
    </row>
    <row r="13" spans="2:11" x14ac:dyDescent="0.25">
      <c r="B13" s="34"/>
      <c r="C13" s="34"/>
      <c r="D13" s="34"/>
      <c r="E13" s="34"/>
      <c r="F13" s="35"/>
      <c r="G13" s="35"/>
      <c r="H13" s="35"/>
      <c r="I13" s="35"/>
      <c r="J13" s="35"/>
      <c r="K13" s="35"/>
    </row>
  </sheetData>
  <mergeCells count="14">
    <mergeCell ref="B12:E12"/>
    <mergeCell ref="B11:E11"/>
    <mergeCell ref="B7:K7"/>
    <mergeCell ref="B6:K6"/>
    <mergeCell ref="F8:K8"/>
    <mergeCell ref="F9:K9"/>
    <mergeCell ref="B10:E10"/>
    <mergeCell ref="F12:K12"/>
    <mergeCell ref="F11:K11"/>
    <mergeCell ref="B9:E9"/>
    <mergeCell ref="B8:E8"/>
    <mergeCell ref="F10:K10"/>
    <mergeCell ref="C2:D2"/>
    <mergeCell ref="C3:D3"/>
  </mergeCell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2:F19"/>
  <sheetViews>
    <sheetView showGridLines="0" zoomScale="85" zoomScaleNormal="85" workbookViewId="0">
      <selection activeCell="B2" sqref="B2"/>
    </sheetView>
  </sheetViews>
  <sheetFormatPr baseColWidth="10" defaultColWidth="8.88671875" defaultRowHeight="13.2" x14ac:dyDescent="0.25"/>
  <cols>
    <col min="1" max="1" width="5.6640625" customWidth="1"/>
    <col min="3" max="3" width="20.6640625" style="2" customWidth="1"/>
    <col min="4" max="4" width="19.44140625" style="2" customWidth="1"/>
    <col min="5" max="5" width="21.77734375" customWidth="1"/>
    <col min="6" max="6" width="61.33203125" style="1" customWidth="1"/>
  </cols>
  <sheetData>
    <row r="2" spans="2:6" ht="13.8" customHeight="1" thickBot="1" x14ac:dyDescent="0.3">
      <c r="E2" s="22" t="s">
        <v>42</v>
      </c>
    </row>
    <row r="3" spans="2:6" s="3" customFormat="1" ht="31.2" customHeight="1" x14ac:dyDescent="0.25">
      <c r="B3" s="113" t="s">
        <v>43</v>
      </c>
      <c r="C3" s="114"/>
      <c r="D3" s="8" t="s">
        <v>44</v>
      </c>
      <c r="E3" s="9" t="s">
        <v>45</v>
      </c>
      <c r="F3" s="10" t="s">
        <v>46</v>
      </c>
    </row>
    <row r="4" spans="2:6" s="3" customFormat="1" ht="52.8" customHeight="1" x14ac:dyDescent="0.25">
      <c r="B4" s="24">
        <v>1</v>
      </c>
      <c r="C4" s="25" t="s">
        <v>47</v>
      </c>
      <c r="D4" s="23">
        <v>2</v>
      </c>
      <c r="E4" s="71">
        <v>1</v>
      </c>
      <c r="F4" s="26" t="s">
        <v>48</v>
      </c>
    </row>
    <row r="5" spans="2:6" s="3" customFormat="1" ht="88.2" customHeight="1" x14ac:dyDescent="0.25">
      <c r="B5" s="24">
        <v>2</v>
      </c>
      <c r="C5" s="25" t="s">
        <v>49</v>
      </c>
      <c r="D5" s="23">
        <v>2</v>
      </c>
      <c r="E5" s="71">
        <v>1</v>
      </c>
      <c r="F5" s="26" t="s">
        <v>50</v>
      </c>
    </row>
    <row r="6" spans="2:6" s="3" customFormat="1" ht="54" customHeight="1" x14ac:dyDescent="0.25">
      <c r="B6" s="24">
        <v>3</v>
      </c>
      <c r="C6" s="25" t="s">
        <v>51</v>
      </c>
      <c r="D6" s="23">
        <v>2</v>
      </c>
      <c r="E6" s="71">
        <v>1</v>
      </c>
      <c r="F6" s="26" t="s">
        <v>52</v>
      </c>
    </row>
    <row r="7" spans="2:6" s="3" customFormat="1" ht="56.4" customHeight="1" x14ac:dyDescent="0.25">
      <c r="B7" s="24">
        <v>4</v>
      </c>
      <c r="C7" s="25" t="s">
        <v>53</v>
      </c>
      <c r="D7" s="23">
        <v>2</v>
      </c>
      <c r="E7" s="71">
        <v>1</v>
      </c>
      <c r="F7" s="26" t="s">
        <v>54</v>
      </c>
    </row>
    <row r="8" spans="2:6" s="3" customFormat="1" ht="97.8" customHeight="1" x14ac:dyDescent="0.25">
      <c r="B8" s="24">
        <v>5</v>
      </c>
      <c r="C8" s="25" t="s">
        <v>55</v>
      </c>
      <c r="D8" s="23">
        <v>3</v>
      </c>
      <c r="E8" s="71">
        <v>2</v>
      </c>
      <c r="F8" s="26" t="s">
        <v>56</v>
      </c>
    </row>
    <row r="9" spans="2:6" s="3" customFormat="1" ht="44.55" customHeight="1" x14ac:dyDescent="0.25">
      <c r="B9" s="24">
        <v>6</v>
      </c>
      <c r="C9" s="25" t="s">
        <v>57</v>
      </c>
      <c r="D9" s="23">
        <v>1</v>
      </c>
      <c r="E9" s="71">
        <v>5</v>
      </c>
      <c r="F9" s="26" t="s">
        <v>58</v>
      </c>
    </row>
    <row r="10" spans="2:6" s="3" customFormat="1" ht="39" customHeight="1" x14ac:dyDescent="0.25">
      <c r="B10" s="24">
        <v>7</v>
      </c>
      <c r="C10" s="25" t="s">
        <v>59</v>
      </c>
      <c r="D10" s="23">
        <v>1</v>
      </c>
      <c r="E10" s="71">
        <v>5</v>
      </c>
      <c r="F10" s="26" t="s">
        <v>60</v>
      </c>
    </row>
    <row r="11" spans="2:6" s="3" customFormat="1" ht="45" customHeight="1" x14ac:dyDescent="0.25">
      <c r="B11" s="24">
        <v>8</v>
      </c>
      <c r="C11" s="25" t="s">
        <v>61</v>
      </c>
      <c r="D11" s="23">
        <v>5</v>
      </c>
      <c r="E11" s="71">
        <v>5</v>
      </c>
      <c r="F11" s="26" t="s">
        <v>62</v>
      </c>
    </row>
    <row r="12" spans="2:6" s="3" customFormat="1" ht="49.65" customHeight="1" x14ac:dyDescent="0.25">
      <c r="B12" s="24">
        <v>9</v>
      </c>
      <c r="C12" s="25" t="s">
        <v>63</v>
      </c>
      <c r="D12" s="23">
        <v>3</v>
      </c>
      <c r="E12" s="71">
        <v>2</v>
      </c>
      <c r="F12" s="26" t="s">
        <v>64</v>
      </c>
    </row>
    <row r="13" spans="2:6" s="3" customFormat="1" ht="43.8" customHeight="1" x14ac:dyDescent="0.25">
      <c r="B13" s="24">
        <v>10</v>
      </c>
      <c r="C13" s="25" t="s">
        <v>65</v>
      </c>
      <c r="D13" s="23">
        <v>5</v>
      </c>
      <c r="E13" s="71">
        <v>3</v>
      </c>
      <c r="F13" s="26" t="s">
        <v>66</v>
      </c>
    </row>
    <row r="14" spans="2:6" s="3" customFormat="1" ht="65.400000000000006" customHeight="1" x14ac:dyDescent="0.25">
      <c r="B14" s="24">
        <v>11</v>
      </c>
      <c r="C14" s="25" t="s">
        <v>67</v>
      </c>
      <c r="D14" s="23">
        <v>2</v>
      </c>
      <c r="E14" s="71">
        <v>2</v>
      </c>
      <c r="F14" s="26" t="s">
        <v>68</v>
      </c>
    </row>
    <row r="15" spans="2:6" s="3" customFormat="1" ht="75" customHeight="1" x14ac:dyDescent="0.25">
      <c r="B15" s="24">
        <v>12</v>
      </c>
      <c r="C15" s="25" t="s">
        <v>69</v>
      </c>
      <c r="D15" s="23">
        <v>3</v>
      </c>
      <c r="E15" s="71">
        <v>3</v>
      </c>
      <c r="F15" s="26" t="s">
        <v>70</v>
      </c>
    </row>
    <row r="16" spans="2:6" s="3" customFormat="1" ht="61.2" customHeight="1" x14ac:dyDescent="0.25">
      <c r="B16" s="24">
        <v>13</v>
      </c>
      <c r="C16" s="25" t="s">
        <v>71</v>
      </c>
      <c r="D16" s="23">
        <v>2</v>
      </c>
      <c r="E16" s="71">
        <v>2</v>
      </c>
      <c r="F16" s="26" t="s">
        <v>72</v>
      </c>
    </row>
    <row r="17" spans="2:6" ht="18" customHeight="1" thickBot="1" x14ac:dyDescent="0.3">
      <c r="B17" s="115" t="s">
        <v>73</v>
      </c>
      <c r="C17" s="106"/>
      <c r="D17" s="27"/>
      <c r="E17" s="28">
        <f t="array" ref="E17">0.6+(SUM(D4:D16*E4:E16)/100)</f>
        <v>1.47</v>
      </c>
      <c r="F17" s="29"/>
    </row>
    <row r="19" spans="2:6" ht="35.549999999999997" customHeight="1" x14ac:dyDescent="0.25"/>
  </sheetData>
  <mergeCells count="2">
    <mergeCell ref="B3:C3"/>
    <mergeCell ref="B17:C17"/>
  </mergeCell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2:F14"/>
  <sheetViews>
    <sheetView showGridLines="0" zoomScale="85" zoomScaleNormal="85" workbookViewId="0">
      <selection activeCell="B3" sqref="B3:C3"/>
    </sheetView>
  </sheetViews>
  <sheetFormatPr baseColWidth="10" defaultColWidth="8.88671875" defaultRowHeight="13.2" x14ac:dyDescent="0.25"/>
  <cols>
    <col min="1" max="1" width="5.6640625" customWidth="1"/>
    <col min="3" max="3" width="20.6640625" style="2" customWidth="1"/>
    <col min="4" max="4" width="14.88671875" style="2" customWidth="1"/>
    <col min="5" max="5" width="16.44140625" customWidth="1"/>
    <col min="6" max="6" width="61.33203125" style="1" customWidth="1"/>
  </cols>
  <sheetData>
    <row r="2" spans="2:6" ht="13.8" customHeight="1" thickBot="1" x14ac:dyDescent="0.3">
      <c r="E2" s="116" t="s">
        <v>42</v>
      </c>
      <c r="F2" s="117"/>
    </row>
    <row r="3" spans="2:6" s="3" customFormat="1" ht="41.4" customHeight="1" x14ac:dyDescent="0.25">
      <c r="B3" s="119" t="s">
        <v>74</v>
      </c>
      <c r="C3" s="114"/>
      <c r="D3" s="11" t="s">
        <v>44</v>
      </c>
      <c r="E3" s="18" t="s">
        <v>75</v>
      </c>
      <c r="F3" s="13" t="s">
        <v>46</v>
      </c>
    </row>
    <row r="4" spans="2:6" s="3" customFormat="1" ht="96" customHeight="1" x14ac:dyDescent="0.25">
      <c r="B4" s="24">
        <v>1</v>
      </c>
      <c r="C4" s="25" t="s">
        <v>76</v>
      </c>
      <c r="D4" s="23">
        <v>3</v>
      </c>
      <c r="E4" s="71">
        <v>3</v>
      </c>
      <c r="F4" s="26" t="s">
        <v>77</v>
      </c>
    </row>
    <row r="5" spans="2:6" s="3" customFormat="1" ht="61.2" customHeight="1" x14ac:dyDescent="0.25">
      <c r="B5" s="24">
        <v>2</v>
      </c>
      <c r="C5" s="25" t="s">
        <v>78</v>
      </c>
      <c r="D5" s="23">
        <v>3</v>
      </c>
      <c r="E5" s="71">
        <v>2</v>
      </c>
      <c r="F5" s="26" t="s">
        <v>79</v>
      </c>
    </row>
    <row r="6" spans="2:6" s="3" customFormat="1" ht="76.650000000000006" customHeight="1" x14ac:dyDescent="0.25">
      <c r="B6" s="24">
        <v>3</v>
      </c>
      <c r="C6" s="25" t="s">
        <v>80</v>
      </c>
      <c r="D6" s="23">
        <v>3</v>
      </c>
      <c r="E6" s="71">
        <v>2</v>
      </c>
      <c r="F6" s="26" t="s">
        <v>81</v>
      </c>
    </row>
    <row r="7" spans="2:6" s="3" customFormat="1" ht="67.650000000000006" customHeight="1" x14ac:dyDescent="0.25">
      <c r="B7" s="24">
        <v>4</v>
      </c>
      <c r="C7" s="25" t="s">
        <v>82</v>
      </c>
      <c r="D7" s="23">
        <v>3</v>
      </c>
      <c r="E7" s="71">
        <v>2</v>
      </c>
      <c r="F7" s="26" t="s">
        <v>83</v>
      </c>
    </row>
    <row r="8" spans="2:6" s="3" customFormat="1" ht="26.4" customHeight="1" x14ac:dyDescent="0.25">
      <c r="B8" s="24">
        <v>5</v>
      </c>
      <c r="C8" s="25" t="s">
        <v>84</v>
      </c>
      <c r="D8" s="23">
        <v>3</v>
      </c>
      <c r="E8" s="71">
        <v>3</v>
      </c>
      <c r="F8" s="26" t="s">
        <v>85</v>
      </c>
    </row>
    <row r="9" spans="2:6" s="3" customFormat="1" ht="84.6" customHeight="1" x14ac:dyDescent="0.25">
      <c r="B9" s="24">
        <v>6</v>
      </c>
      <c r="C9" s="25" t="s">
        <v>86</v>
      </c>
      <c r="D9" s="23">
        <v>1</v>
      </c>
      <c r="E9" s="71">
        <v>1</v>
      </c>
      <c r="F9" s="26" t="s">
        <v>87</v>
      </c>
    </row>
    <row r="10" spans="2:6" s="3" customFormat="1" ht="105.6" customHeight="1" x14ac:dyDescent="0.25">
      <c r="B10" s="24">
        <v>7</v>
      </c>
      <c r="C10" s="25" t="s">
        <v>88</v>
      </c>
      <c r="D10" s="23">
        <v>0</v>
      </c>
      <c r="E10" s="71">
        <v>0</v>
      </c>
      <c r="F10" s="26" t="s">
        <v>89</v>
      </c>
    </row>
    <row r="11" spans="2:6" s="3" customFormat="1" ht="70.2" customHeight="1" x14ac:dyDescent="0.25">
      <c r="B11" s="24">
        <v>8</v>
      </c>
      <c r="C11" s="25" t="s">
        <v>90</v>
      </c>
      <c r="D11" s="23">
        <v>0</v>
      </c>
      <c r="E11" s="71">
        <v>0</v>
      </c>
      <c r="F11" s="31" t="s">
        <v>91</v>
      </c>
    </row>
    <row r="12" spans="2:6" ht="18" customHeight="1" thickBot="1" x14ac:dyDescent="0.3">
      <c r="B12" s="118" t="s">
        <v>92</v>
      </c>
      <c r="C12" s="106"/>
      <c r="D12" s="30"/>
      <c r="E12" s="28">
        <f t="array" ref="E12">1.4-(0.03*SUM(D4:D11*E4:E11))</f>
        <v>0.29000000000000004</v>
      </c>
      <c r="F12" s="32"/>
    </row>
    <row r="14" spans="2:6" ht="33.75" customHeight="1" x14ac:dyDescent="0.25"/>
  </sheetData>
  <mergeCells count="3">
    <mergeCell ref="E2:F2"/>
    <mergeCell ref="B12:C12"/>
    <mergeCell ref="B3:C3"/>
  </mergeCells>
  <pageMargins left="0.75" right="0.75" top="1" bottom="1" header="0.5" footer="0.5"/>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F19"/>
  <sheetViews>
    <sheetView showGridLines="0" zoomScale="85" zoomScaleNormal="85" workbookViewId="0">
      <selection activeCell="B1" sqref="B1"/>
    </sheetView>
  </sheetViews>
  <sheetFormatPr baseColWidth="10" defaultColWidth="8.88671875" defaultRowHeight="13.2" x14ac:dyDescent="0.25"/>
  <cols>
    <col min="1" max="1" width="5.6640625" customWidth="1"/>
    <col min="3" max="3" width="20.6640625" style="2" customWidth="1"/>
    <col min="4" max="4" width="11.5546875" style="2" customWidth="1"/>
    <col min="5" max="5" width="18.44140625" customWidth="1"/>
    <col min="6" max="6" width="61.33203125" style="1" customWidth="1"/>
  </cols>
  <sheetData>
    <row r="1" spans="2:6" ht="13.8" customHeight="1" thickBot="1" x14ac:dyDescent="0.3"/>
    <row r="2" spans="2:6" s="3" customFormat="1" ht="30" customHeight="1" x14ac:dyDescent="0.25">
      <c r="B2" s="123" t="s">
        <v>93</v>
      </c>
      <c r="C2" s="114"/>
      <c r="D2" s="11" t="s">
        <v>44</v>
      </c>
      <c r="E2" s="12" t="s">
        <v>94</v>
      </c>
      <c r="F2" s="13" t="s">
        <v>46</v>
      </c>
    </row>
    <row r="3" spans="2:6" s="3" customFormat="1" ht="15.6" customHeight="1" x14ac:dyDescent="0.25">
      <c r="B3" s="24">
        <v>1</v>
      </c>
      <c r="C3" s="25" t="s">
        <v>95</v>
      </c>
      <c r="D3" s="23">
        <v>5</v>
      </c>
      <c r="E3" s="72">
        <v>5</v>
      </c>
      <c r="F3" s="69" t="s">
        <v>96</v>
      </c>
    </row>
    <row r="4" spans="2:6" s="3" customFormat="1" ht="15.6" customHeight="1" x14ac:dyDescent="0.25">
      <c r="B4" s="24">
        <v>2</v>
      </c>
      <c r="C4" s="25" t="s">
        <v>97</v>
      </c>
      <c r="D4" s="23">
        <v>10</v>
      </c>
      <c r="E4" s="72">
        <f t="array" ref="E4">SUM(IF(C$9:C$17=C4,1,0)*IF(E$9:F$17&lt;&gt;"",1,0))</f>
        <v>2</v>
      </c>
      <c r="F4" s="69" t="s">
        <v>98</v>
      </c>
    </row>
    <row r="5" spans="2:6" s="3" customFormat="1" ht="15.6" customHeight="1" x14ac:dyDescent="0.25">
      <c r="B5" s="24">
        <v>3</v>
      </c>
      <c r="C5" s="25" t="s">
        <v>99</v>
      </c>
      <c r="D5" s="23">
        <v>15</v>
      </c>
      <c r="E5" s="72">
        <v>1</v>
      </c>
      <c r="F5" s="31" t="s">
        <v>100</v>
      </c>
    </row>
    <row r="6" spans="2:6" ht="18" customHeight="1" thickBot="1" x14ac:dyDescent="0.3">
      <c r="B6" s="122" t="s">
        <v>101</v>
      </c>
      <c r="C6" s="106"/>
      <c r="D6" s="16"/>
      <c r="E6" s="15">
        <f t="array" ref="E6">SUM(D3:D5*E3:E5)</f>
        <v>60</v>
      </c>
      <c r="F6" s="17"/>
    </row>
    <row r="8" spans="2:6" ht="13.8" customHeight="1" thickBot="1" x14ac:dyDescent="0.3"/>
    <row r="9" spans="2:6" ht="15.6" customHeight="1" x14ac:dyDescent="0.25">
      <c r="B9" s="124" t="s">
        <v>102</v>
      </c>
      <c r="C9" s="114"/>
      <c r="D9" s="8" t="s">
        <v>44</v>
      </c>
      <c r="E9" s="126" t="s">
        <v>103</v>
      </c>
      <c r="F9" s="110"/>
    </row>
    <row r="10" spans="2:6" x14ac:dyDescent="0.25">
      <c r="B10" s="24">
        <v>1</v>
      </c>
      <c r="C10" s="14" t="s">
        <v>95</v>
      </c>
      <c r="D10" s="23">
        <f t="shared" ref="D10:D17" si="0">SUMIF(C$3:C$5,C10,D$3:D$5)</f>
        <v>5</v>
      </c>
      <c r="E10" s="120" t="s">
        <v>104</v>
      </c>
      <c r="F10" s="121"/>
    </row>
    <row r="11" spans="2:6" x14ac:dyDescent="0.25">
      <c r="B11" s="24">
        <f t="shared" ref="B11:B17" si="1">B10+1</f>
        <v>2</v>
      </c>
      <c r="C11" s="14" t="s">
        <v>95</v>
      </c>
      <c r="D11" s="23">
        <f t="shared" si="0"/>
        <v>5</v>
      </c>
      <c r="E11" s="120" t="s">
        <v>105</v>
      </c>
      <c r="F11" s="121"/>
    </row>
    <row r="12" spans="2:6" x14ac:dyDescent="0.25">
      <c r="B12" s="24">
        <f t="shared" si="1"/>
        <v>3</v>
      </c>
      <c r="C12" s="14" t="s">
        <v>95</v>
      </c>
      <c r="D12" s="23">
        <f t="shared" si="0"/>
        <v>5</v>
      </c>
      <c r="E12" s="120" t="s">
        <v>106</v>
      </c>
      <c r="F12" s="121"/>
    </row>
    <row r="13" spans="2:6" x14ac:dyDescent="0.25">
      <c r="B13" s="24">
        <f t="shared" si="1"/>
        <v>4</v>
      </c>
      <c r="C13" s="14" t="s">
        <v>97</v>
      </c>
      <c r="D13" s="23">
        <f t="shared" si="0"/>
        <v>10</v>
      </c>
      <c r="E13" s="120" t="s">
        <v>107</v>
      </c>
      <c r="F13" s="121"/>
    </row>
    <row r="14" spans="2:6" ht="13.2" customHeight="1" x14ac:dyDescent="0.25">
      <c r="B14" s="24">
        <f t="shared" si="1"/>
        <v>5</v>
      </c>
      <c r="C14" s="14" t="s">
        <v>95</v>
      </c>
      <c r="D14" s="23">
        <f t="shared" si="0"/>
        <v>5</v>
      </c>
      <c r="E14" s="120" t="s">
        <v>108</v>
      </c>
      <c r="F14" s="121"/>
    </row>
    <row r="15" spans="2:6" ht="13.2" customHeight="1" x14ac:dyDescent="0.25">
      <c r="B15" s="24">
        <f t="shared" si="1"/>
        <v>6</v>
      </c>
      <c r="C15" s="14" t="s">
        <v>95</v>
      </c>
      <c r="D15" s="23">
        <f t="shared" si="0"/>
        <v>5</v>
      </c>
      <c r="E15" s="120" t="s">
        <v>109</v>
      </c>
      <c r="F15" s="121"/>
    </row>
    <row r="16" spans="2:6" ht="13.2" customHeight="1" x14ac:dyDescent="0.25">
      <c r="B16" s="24">
        <f t="shared" si="1"/>
        <v>7</v>
      </c>
      <c r="C16" s="14" t="s">
        <v>97</v>
      </c>
      <c r="D16" s="23">
        <f t="shared" si="0"/>
        <v>10</v>
      </c>
      <c r="E16" s="120" t="s">
        <v>110</v>
      </c>
      <c r="F16" s="121"/>
    </row>
    <row r="17" spans="2:6" ht="13.2" customHeight="1" x14ac:dyDescent="0.25">
      <c r="B17" s="24">
        <f t="shared" si="1"/>
        <v>8</v>
      </c>
      <c r="C17" s="14" t="s">
        <v>99</v>
      </c>
      <c r="D17" s="23">
        <f t="shared" si="0"/>
        <v>15</v>
      </c>
      <c r="E17" s="125" t="s">
        <v>111</v>
      </c>
      <c r="F17" s="121"/>
    </row>
    <row r="19" spans="2:6" ht="34.200000000000003" customHeight="1" x14ac:dyDescent="0.25"/>
  </sheetData>
  <mergeCells count="12">
    <mergeCell ref="E17:F17"/>
    <mergeCell ref="E9:F9"/>
    <mergeCell ref="E12:F12"/>
    <mergeCell ref="B6:C6"/>
    <mergeCell ref="B2:C2"/>
    <mergeCell ref="E16:F16"/>
    <mergeCell ref="E15:F15"/>
    <mergeCell ref="E10:F10"/>
    <mergeCell ref="E11:F11"/>
    <mergeCell ref="E13:F13"/>
    <mergeCell ref="E14:F14"/>
    <mergeCell ref="B9:C9"/>
  </mergeCells>
  <dataValidations count="1">
    <dataValidation type="list" allowBlank="1" showInputMessage="1" showErrorMessage="1" sqref="C10:C17" xr:uid="{00000000-0002-0000-0300-000000000000}">
      <formula1>$C$3:$C$5</formula1>
    </dataValidation>
  </dataValidations>
  <pageMargins left="0.75" right="0.75" top="1" bottom="1" header="0.5" footer="0.5"/>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G21"/>
  <sheetViews>
    <sheetView showGridLines="0" zoomScale="85" zoomScaleNormal="85" workbookViewId="0">
      <selection activeCell="B1" sqref="B1"/>
    </sheetView>
  </sheetViews>
  <sheetFormatPr baseColWidth="10" defaultColWidth="8.88671875" defaultRowHeight="13.2" x14ac:dyDescent="0.25"/>
  <cols>
    <col min="1" max="1" width="5.6640625" customWidth="1"/>
    <col min="3" max="3" width="20.6640625" style="2" customWidth="1"/>
    <col min="4" max="4" width="16.21875" style="2" bestFit="1" customWidth="1"/>
    <col min="5" max="5" width="13.5546875" customWidth="1"/>
    <col min="6" max="6" width="61.33203125" style="1" customWidth="1"/>
  </cols>
  <sheetData>
    <row r="1" spans="2:6" ht="13.8" customHeight="1" thickBot="1" x14ac:dyDescent="0.3"/>
    <row r="2" spans="2:6" s="3" customFormat="1" ht="31.2" customHeight="1" x14ac:dyDescent="0.25">
      <c r="B2" s="124" t="s">
        <v>112</v>
      </c>
      <c r="C2" s="114"/>
      <c r="D2" s="8" t="s">
        <v>113</v>
      </c>
      <c r="E2" s="9" t="s">
        <v>114</v>
      </c>
      <c r="F2" s="10" t="s">
        <v>46</v>
      </c>
    </row>
    <row r="3" spans="2:6" s="3" customFormat="1" ht="84.6" customHeight="1" x14ac:dyDescent="0.25">
      <c r="B3" s="24">
        <v>1</v>
      </c>
      <c r="C3" s="25" t="s">
        <v>95</v>
      </c>
      <c r="D3" s="23">
        <v>2</v>
      </c>
      <c r="E3" s="33">
        <v>7</v>
      </c>
      <c r="F3" s="26" t="s">
        <v>115</v>
      </c>
    </row>
    <row r="4" spans="2:6" s="3" customFormat="1" ht="49.35" customHeight="1" x14ac:dyDescent="0.25">
      <c r="B4" s="24">
        <v>2</v>
      </c>
      <c r="C4" s="25" t="s">
        <v>97</v>
      </c>
      <c r="D4" s="23">
        <v>2</v>
      </c>
      <c r="E4" s="33">
        <v>0</v>
      </c>
      <c r="F4" s="69" t="s">
        <v>116</v>
      </c>
    </row>
    <row r="5" spans="2:6" s="3" customFormat="1" ht="105.6" customHeight="1" x14ac:dyDescent="0.25">
      <c r="B5" s="24">
        <v>3</v>
      </c>
      <c r="C5" s="25" t="s">
        <v>99</v>
      </c>
      <c r="D5" s="23">
        <v>3</v>
      </c>
      <c r="E5" s="33">
        <v>1</v>
      </c>
      <c r="F5" s="69" t="s">
        <v>117</v>
      </c>
    </row>
    <row r="6" spans="2:6" ht="18" customHeight="1" thickBot="1" x14ac:dyDescent="0.3">
      <c r="B6" s="122" t="s">
        <v>118</v>
      </c>
      <c r="C6" s="106"/>
      <c r="D6" s="16"/>
      <c r="E6" s="15">
        <f t="array" ref="E6">SUM(D3:D5*E3:E5)</f>
        <v>17</v>
      </c>
      <c r="F6" s="17"/>
    </row>
    <row r="8" spans="2:6" ht="13.8" customHeight="1" thickBot="1" x14ac:dyDescent="0.3"/>
    <row r="9" spans="2:6" ht="15.6" customHeight="1" x14ac:dyDescent="0.25">
      <c r="B9" s="123" t="s">
        <v>119</v>
      </c>
      <c r="C9" s="114"/>
      <c r="D9" s="11" t="s">
        <v>44</v>
      </c>
      <c r="E9" s="128" t="s">
        <v>120</v>
      </c>
      <c r="F9" s="110"/>
    </row>
    <row r="10" spans="2:6" x14ac:dyDescent="0.25">
      <c r="B10" s="24">
        <v>1</v>
      </c>
      <c r="C10" s="14" t="s">
        <v>95</v>
      </c>
      <c r="D10" s="23">
        <f t="shared" ref="D10:D17" si="0">SUMIF(C$3:C$5,C10,D$3:D$5)</f>
        <v>2</v>
      </c>
      <c r="E10" s="120" t="s">
        <v>121</v>
      </c>
      <c r="F10" s="121"/>
    </row>
    <row r="11" spans="2:6" x14ac:dyDescent="0.25">
      <c r="B11" s="24">
        <f t="shared" ref="B11:B19" si="1">B10+1</f>
        <v>2</v>
      </c>
      <c r="C11" s="14" t="s">
        <v>95</v>
      </c>
      <c r="D11" s="23">
        <f t="shared" si="0"/>
        <v>2</v>
      </c>
      <c r="E11" s="120" t="s">
        <v>122</v>
      </c>
      <c r="F11" s="121"/>
    </row>
    <row r="12" spans="2:6" x14ac:dyDescent="0.25">
      <c r="B12" s="24">
        <f t="shared" si="1"/>
        <v>3</v>
      </c>
      <c r="C12" s="14" t="s">
        <v>95</v>
      </c>
      <c r="D12" s="23">
        <f t="shared" si="0"/>
        <v>2</v>
      </c>
      <c r="E12" s="120" t="s">
        <v>123</v>
      </c>
      <c r="F12" s="121"/>
    </row>
    <row r="13" spans="2:6" x14ac:dyDescent="0.25">
      <c r="B13" s="24">
        <f t="shared" si="1"/>
        <v>4</v>
      </c>
      <c r="C13" s="14" t="s">
        <v>95</v>
      </c>
      <c r="D13" s="23">
        <f t="shared" si="0"/>
        <v>2</v>
      </c>
      <c r="E13" s="125" t="s">
        <v>124</v>
      </c>
      <c r="F13" s="121"/>
    </row>
    <row r="14" spans="2:6" x14ac:dyDescent="0.25">
      <c r="B14" s="24">
        <f t="shared" si="1"/>
        <v>5</v>
      </c>
      <c r="C14" s="14" t="s">
        <v>95</v>
      </c>
      <c r="D14" s="23">
        <f t="shared" si="0"/>
        <v>2</v>
      </c>
      <c r="E14" s="125" t="s">
        <v>125</v>
      </c>
      <c r="F14" s="121"/>
    </row>
    <row r="15" spans="2:6" x14ac:dyDescent="0.25">
      <c r="B15" s="24">
        <f t="shared" si="1"/>
        <v>6</v>
      </c>
      <c r="C15" s="14" t="s">
        <v>95</v>
      </c>
      <c r="D15" s="23">
        <f t="shared" si="0"/>
        <v>2</v>
      </c>
      <c r="E15" s="125" t="s">
        <v>126</v>
      </c>
      <c r="F15" s="121"/>
    </row>
    <row r="16" spans="2:6" x14ac:dyDescent="0.25">
      <c r="B16" s="24">
        <f t="shared" si="1"/>
        <v>7</v>
      </c>
      <c r="C16" s="14" t="s">
        <v>95</v>
      </c>
      <c r="D16" s="23">
        <f t="shared" si="0"/>
        <v>2</v>
      </c>
      <c r="E16" s="125" t="s">
        <v>127</v>
      </c>
      <c r="F16" s="121"/>
    </row>
    <row r="17" spans="2:7" x14ac:dyDescent="0.25">
      <c r="B17" s="24">
        <f t="shared" si="1"/>
        <v>8</v>
      </c>
      <c r="C17" s="14" t="s">
        <v>99</v>
      </c>
      <c r="D17" s="23">
        <f t="shared" si="0"/>
        <v>3</v>
      </c>
      <c r="E17" s="125" t="s">
        <v>128</v>
      </c>
      <c r="F17" s="121"/>
    </row>
    <row r="18" spans="2:7" x14ac:dyDescent="0.25">
      <c r="B18" s="24">
        <f t="shared" si="1"/>
        <v>9</v>
      </c>
      <c r="C18" s="14"/>
      <c r="D18" s="23"/>
      <c r="E18" s="127"/>
      <c r="F18" s="121"/>
    </row>
    <row r="19" spans="2:7" x14ac:dyDescent="0.25">
      <c r="B19" s="24">
        <f t="shared" si="1"/>
        <v>10</v>
      </c>
      <c r="C19" s="14"/>
      <c r="D19" s="23"/>
      <c r="E19" s="127"/>
      <c r="F19" s="121"/>
      <c r="G19" s="53" t="s">
        <v>129</v>
      </c>
    </row>
    <row r="21" spans="2:7" ht="38.4" customHeight="1" x14ac:dyDescent="0.25"/>
  </sheetData>
  <mergeCells count="14">
    <mergeCell ref="E10:F10"/>
    <mergeCell ref="E18:F18"/>
    <mergeCell ref="E19:F19"/>
    <mergeCell ref="E11:F11"/>
    <mergeCell ref="E13:F13"/>
    <mergeCell ref="E14:F14"/>
    <mergeCell ref="E17:F17"/>
    <mergeCell ref="E12:F12"/>
    <mergeCell ref="B6:C6"/>
    <mergeCell ref="B2:C2"/>
    <mergeCell ref="E16:F16"/>
    <mergeCell ref="E15:F15"/>
    <mergeCell ref="B9:C9"/>
    <mergeCell ref="E9:F9"/>
  </mergeCells>
  <dataValidations count="1">
    <dataValidation type="list" allowBlank="1" showInputMessage="1" showErrorMessage="1" sqref="C10:C19" xr:uid="{00000000-0002-0000-0400-000000000000}">
      <formula1>$C$3:$C$5</formula1>
    </dataValidation>
  </dataValidations>
  <pageMargins left="0.75" right="0.75" top="1" bottom="1" header="0.5" footer="0.5"/>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
  <dimension ref="B1:E22"/>
  <sheetViews>
    <sheetView showGridLines="0" zoomScale="115" zoomScaleNormal="115" workbookViewId="0">
      <selection activeCell="B1" sqref="B1"/>
    </sheetView>
  </sheetViews>
  <sheetFormatPr baseColWidth="10" defaultColWidth="8.88671875" defaultRowHeight="13.2" x14ac:dyDescent="0.25"/>
  <cols>
    <col min="1" max="1" width="5.6640625" customWidth="1"/>
    <col min="2" max="2" width="3.109375" customWidth="1"/>
    <col min="3" max="3" width="6.5546875" customWidth="1"/>
    <col min="4" max="4" width="49.44140625" style="5" customWidth="1"/>
    <col min="5" max="5" width="12.5546875" customWidth="1"/>
  </cols>
  <sheetData>
    <row r="1" spans="2:5" ht="13.8" customHeight="1" thickBot="1" x14ac:dyDescent="0.3"/>
    <row r="2" spans="2:5" ht="13.8" customHeight="1" x14ac:dyDescent="0.25">
      <c r="B2" s="132" t="s">
        <v>130</v>
      </c>
      <c r="C2" s="109"/>
      <c r="D2" s="109"/>
      <c r="E2" s="114"/>
    </row>
    <row r="3" spans="2:5" ht="15" customHeight="1" x14ac:dyDescent="0.25">
      <c r="B3" s="129" t="s">
        <v>131</v>
      </c>
      <c r="C3" s="75"/>
      <c r="D3" s="19" t="s">
        <v>132</v>
      </c>
      <c r="E3" s="20">
        <f>'1.-Factores técnicos'!E17</f>
        <v>1.47</v>
      </c>
    </row>
    <row r="4" spans="2:5" ht="15" customHeight="1" x14ac:dyDescent="0.25">
      <c r="B4" s="129" t="s">
        <v>133</v>
      </c>
      <c r="C4" s="75"/>
      <c r="D4" s="19" t="s">
        <v>74</v>
      </c>
      <c r="E4" s="20">
        <f>'2.-Factores ambientales'!E12</f>
        <v>0.29000000000000004</v>
      </c>
    </row>
    <row r="5" spans="2:5" ht="15" customHeight="1" x14ac:dyDescent="0.25">
      <c r="B5" s="129" t="s">
        <v>134</v>
      </c>
      <c r="C5" s="75"/>
      <c r="D5" s="19" t="s">
        <v>135</v>
      </c>
      <c r="E5" s="20">
        <f>'3.-Casos de uso'!E6</f>
        <v>60</v>
      </c>
    </row>
    <row r="6" spans="2:5" ht="15" customHeight="1" x14ac:dyDescent="0.25">
      <c r="B6" s="129" t="s">
        <v>136</v>
      </c>
      <c r="C6" s="75"/>
      <c r="D6" s="19" t="s">
        <v>137</v>
      </c>
      <c r="E6" s="20">
        <f>'4.-Actores'!E6</f>
        <v>17</v>
      </c>
    </row>
    <row r="7" spans="2:5" ht="13.8" customHeight="1" x14ac:dyDescent="0.25">
      <c r="B7" s="130" t="s">
        <v>138</v>
      </c>
      <c r="C7" s="74"/>
      <c r="D7" s="74"/>
      <c r="E7" s="75"/>
    </row>
    <row r="8" spans="2:5" ht="15" customHeight="1" x14ac:dyDescent="0.25">
      <c r="B8" s="129" t="s">
        <v>139</v>
      </c>
      <c r="C8" s="75"/>
      <c r="D8" s="19" t="s">
        <v>140</v>
      </c>
      <c r="E8" s="21">
        <f>(E5+E6)*E3*E4</f>
        <v>32.825100000000006</v>
      </c>
    </row>
    <row r="9" spans="2:5" ht="13.8" customHeight="1" x14ac:dyDescent="0.25">
      <c r="B9" s="130" t="s">
        <v>141</v>
      </c>
      <c r="C9" s="74"/>
      <c r="D9" s="74"/>
      <c r="E9" s="75"/>
    </row>
    <row r="10" spans="2:5" ht="15" customHeight="1" x14ac:dyDescent="0.25">
      <c r="B10" s="129" t="s">
        <v>142</v>
      </c>
      <c r="C10" s="75"/>
      <c r="D10" s="19" t="s">
        <v>143</v>
      </c>
      <c r="E10" s="70">
        <v>24</v>
      </c>
    </row>
    <row r="11" spans="2:5" ht="15" customHeight="1" x14ac:dyDescent="0.25">
      <c r="B11" s="131"/>
      <c r="C11" s="74"/>
      <c r="D11" s="74"/>
      <c r="E11" s="121"/>
    </row>
    <row r="12" spans="2:5" ht="16.2" customHeight="1" thickBot="1" x14ac:dyDescent="0.35">
      <c r="B12" s="133" t="s">
        <v>144</v>
      </c>
      <c r="C12" s="105"/>
      <c r="D12" s="106"/>
      <c r="E12" s="7">
        <f>E8*E10</f>
        <v>787.80240000000015</v>
      </c>
    </row>
    <row r="22" spans="4:4" x14ac:dyDescent="0.25">
      <c r="D22" s="6"/>
    </row>
  </sheetData>
  <mergeCells count="11">
    <mergeCell ref="B11:E11"/>
    <mergeCell ref="B2:E2"/>
    <mergeCell ref="B12:D12"/>
    <mergeCell ref="B8:C8"/>
    <mergeCell ref="B4:C4"/>
    <mergeCell ref="B6:C6"/>
    <mergeCell ref="B9:E9"/>
    <mergeCell ref="B3:C3"/>
    <mergeCell ref="B5:C5"/>
    <mergeCell ref="B10:C10"/>
    <mergeCell ref="B7:E7"/>
  </mergeCells>
  <pageMargins left="0.75" right="0.75" top="1" bottom="1" header="0.5" footer="0.5"/>
  <pageSetup paperSize="9"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45"/>
  <sheetViews>
    <sheetView showGridLines="0" zoomScale="85" zoomScaleNormal="85" workbookViewId="0"/>
  </sheetViews>
  <sheetFormatPr baseColWidth="10" defaultRowHeight="13.2" x14ac:dyDescent="0.25"/>
  <cols>
    <col min="7" max="7" width="14" bestFit="1" customWidth="1"/>
    <col min="8" max="8" width="13.6640625" customWidth="1"/>
  </cols>
  <sheetData>
    <row r="2" spans="1:9" ht="15.6" customHeight="1" x14ac:dyDescent="0.25">
      <c r="A2" s="81" t="s">
        <v>0</v>
      </c>
      <c r="B2" s="82"/>
      <c r="C2" s="82"/>
      <c r="D2" s="82"/>
      <c r="E2" s="82"/>
      <c r="F2" s="82"/>
    </row>
    <row r="3" spans="1:9" x14ac:dyDescent="0.25">
      <c r="A3" s="80" t="s">
        <v>1</v>
      </c>
      <c r="B3" s="74"/>
      <c r="C3" s="75"/>
      <c r="D3" s="59" t="s">
        <v>2</v>
      </c>
      <c r="E3" s="60" t="s">
        <v>3</v>
      </c>
      <c r="F3" s="59" t="s">
        <v>4</v>
      </c>
    </row>
    <row r="4" spans="1:9" ht="13.8" customHeight="1" x14ac:dyDescent="0.25">
      <c r="A4" s="84" t="s">
        <v>5</v>
      </c>
      <c r="B4" s="74"/>
      <c r="C4" s="75"/>
      <c r="D4" s="55">
        <f>D6*E4</f>
        <v>78.78024000000002</v>
      </c>
      <c r="E4" s="46">
        <v>0.1</v>
      </c>
      <c r="F4" s="57">
        <f>D4/$C12</f>
        <v>9.8475300000000026</v>
      </c>
    </row>
    <row r="5" spans="1:9" ht="13.8" customHeight="1" x14ac:dyDescent="0.25">
      <c r="A5" s="84" t="s">
        <v>6</v>
      </c>
      <c r="B5" s="74"/>
      <c r="C5" s="75"/>
      <c r="D5" s="55">
        <f>D6*E5</f>
        <v>157.56048000000004</v>
      </c>
      <c r="E5" s="46">
        <v>0.2</v>
      </c>
      <c r="F5" s="57">
        <f>D5/$C12</f>
        <v>19.695060000000005</v>
      </c>
    </row>
    <row r="6" spans="1:9" ht="13.8" customHeight="1" x14ac:dyDescent="0.25">
      <c r="A6" s="84" t="s">
        <v>7</v>
      </c>
      <c r="B6" s="74"/>
      <c r="C6" s="75"/>
      <c r="D6" s="55">
        <f>'5.-Resumen estimación de tamaño'!E12</f>
        <v>787.80240000000015</v>
      </c>
      <c r="E6" s="46">
        <v>0.6</v>
      </c>
      <c r="F6" s="57">
        <f>D6/$C12</f>
        <v>98.475300000000018</v>
      </c>
    </row>
    <row r="7" spans="1:9" ht="13.8" customHeight="1" x14ac:dyDescent="0.25">
      <c r="A7" s="84" t="s">
        <v>8</v>
      </c>
      <c r="B7" s="74"/>
      <c r="C7" s="75"/>
      <c r="D7" s="55">
        <f>D6*E7</f>
        <v>78.78024000000002</v>
      </c>
      <c r="E7" s="46">
        <v>0.1</v>
      </c>
      <c r="F7" s="57">
        <f>D7/$C12</f>
        <v>9.8475300000000026</v>
      </c>
      <c r="H7" s="50"/>
    </row>
    <row r="8" spans="1:9" ht="6.75" customHeight="1" x14ac:dyDescent="0.25">
      <c r="A8" s="42"/>
      <c r="B8" s="42"/>
      <c r="C8" s="42"/>
      <c r="D8" s="43"/>
      <c r="E8" s="44"/>
      <c r="F8" s="49"/>
    </row>
    <row r="9" spans="1:9" ht="13.8" customHeight="1" x14ac:dyDescent="0.25">
      <c r="A9" s="96" t="s">
        <v>9</v>
      </c>
      <c r="B9" s="74"/>
      <c r="C9" s="75"/>
      <c r="D9" s="55">
        <f>SUM(D4:D7)</f>
        <v>1102.9233600000002</v>
      </c>
      <c r="E9" s="56">
        <f>SUM(E4:E7)</f>
        <v>1</v>
      </c>
      <c r="F9" s="57">
        <f>SUM(F4:F7)</f>
        <v>137.86542000000003</v>
      </c>
      <c r="G9" s="51"/>
    </row>
    <row r="10" spans="1:9" x14ac:dyDescent="0.25">
      <c r="A10" s="42"/>
      <c r="B10" s="42"/>
      <c r="C10" s="42"/>
      <c r="D10" s="43"/>
      <c r="E10" s="43"/>
      <c r="F10" s="49"/>
    </row>
    <row r="11" spans="1:9" x14ac:dyDescent="0.25">
      <c r="A11" s="78" t="s">
        <v>10</v>
      </c>
      <c r="B11" s="75"/>
      <c r="C11" s="78" t="s">
        <v>11</v>
      </c>
      <c r="D11" s="75"/>
      <c r="E11" s="95" t="s">
        <v>12</v>
      </c>
      <c r="F11" s="91"/>
      <c r="G11" s="54" t="s">
        <v>13</v>
      </c>
    </row>
    <row r="12" spans="1:9" x14ac:dyDescent="0.25">
      <c r="A12" s="88">
        <v>21.5</v>
      </c>
      <c r="B12" s="75"/>
      <c r="C12" s="88">
        <v>8</v>
      </c>
      <c r="D12" s="75"/>
      <c r="E12" s="76">
        <f>ROUNDUP(F9,0)</f>
        <v>138</v>
      </c>
      <c r="F12" s="75"/>
      <c r="G12" s="58">
        <f>ROUNDUP((F9/A12),0)</f>
        <v>7</v>
      </c>
    </row>
    <row r="13" spans="1:9" x14ac:dyDescent="0.25">
      <c r="A13" s="4"/>
      <c r="B13" s="4"/>
      <c r="C13" s="4"/>
      <c r="D13" s="4"/>
      <c r="E13" s="63"/>
      <c r="F13" s="63"/>
    </row>
    <row r="14" spans="1:9" ht="15.6" customHeight="1" x14ac:dyDescent="0.3">
      <c r="A14" s="85" t="s">
        <v>14</v>
      </c>
      <c r="B14" s="74"/>
      <c r="C14" s="75"/>
      <c r="D14" s="38"/>
      <c r="E14" s="40"/>
      <c r="F14" s="40"/>
      <c r="G14" s="40"/>
      <c r="H14" s="40"/>
      <c r="I14" s="37"/>
    </row>
    <row r="15" spans="1:9" ht="22.8" customHeight="1" x14ac:dyDescent="0.3">
      <c r="A15" s="77" t="s">
        <v>15</v>
      </c>
      <c r="B15" s="75"/>
      <c r="C15" s="61" t="s">
        <v>16</v>
      </c>
      <c r="D15" s="40"/>
      <c r="E15" s="40"/>
      <c r="F15" s="40"/>
      <c r="G15" s="40"/>
    </row>
    <row r="16" spans="1:9" ht="14.4" customHeight="1" x14ac:dyDescent="0.3">
      <c r="A16" s="83" t="s">
        <v>17</v>
      </c>
      <c r="B16" s="75"/>
      <c r="C16" s="47"/>
      <c r="D16" s="40"/>
      <c r="E16" s="40"/>
      <c r="F16" s="40"/>
      <c r="G16" s="40"/>
    </row>
    <row r="17" spans="1:9" ht="14.4" customHeight="1" x14ac:dyDescent="0.3">
      <c r="A17" s="83" t="s">
        <v>18</v>
      </c>
      <c r="B17" s="75"/>
      <c r="C17" s="47"/>
      <c r="D17" s="40"/>
      <c r="E17" s="40"/>
      <c r="F17" s="40"/>
      <c r="G17" s="40"/>
    </row>
    <row r="18" spans="1:9" ht="14.4" customHeight="1" x14ac:dyDescent="0.3">
      <c r="A18" s="83" t="s">
        <v>19</v>
      </c>
      <c r="B18" s="75"/>
      <c r="C18" s="47"/>
      <c r="D18" s="40"/>
      <c r="E18" s="40"/>
      <c r="F18" s="37"/>
      <c r="G18" s="37"/>
    </row>
    <row r="19" spans="1:9" ht="14.4" customHeight="1" x14ac:dyDescent="0.3">
      <c r="A19" s="83" t="s">
        <v>20</v>
      </c>
      <c r="B19" s="75"/>
      <c r="C19" s="47"/>
      <c r="D19" s="40"/>
      <c r="E19" s="40"/>
      <c r="F19" s="37"/>
      <c r="G19" s="37"/>
    </row>
    <row r="20" spans="1:9" ht="14.4" customHeight="1" x14ac:dyDescent="0.3">
      <c r="A20" s="83" t="s">
        <v>21</v>
      </c>
      <c r="B20" s="75"/>
      <c r="C20" s="47">
        <v>40000</v>
      </c>
      <c r="D20" s="40"/>
      <c r="E20" s="40"/>
      <c r="F20" s="37"/>
      <c r="G20" s="37"/>
    </row>
    <row r="21" spans="1:9" ht="14.4" customHeight="1" x14ac:dyDescent="0.3">
      <c r="A21" s="83" t="s">
        <v>22</v>
      </c>
      <c r="B21" s="75"/>
      <c r="C21" s="47"/>
      <c r="D21" s="40"/>
      <c r="E21" s="40"/>
      <c r="F21" s="37"/>
      <c r="G21" s="37"/>
    </row>
    <row r="22" spans="1:9" ht="13.8" customHeight="1" x14ac:dyDescent="0.3">
      <c r="A22" s="96" t="s">
        <v>9</v>
      </c>
      <c r="B22" s="75"/>
      <c r="C22" s="62">
        <f>SUM(C16:C21)*G12</f>
        <v>280000</v>
      </c>
      <c r="E22" s="38"/>
      <c r="F22" s="38"/>
      <c r="G22" s="37"/>
      <c r="H22" s="37"/>
    </row>
    <row r="23" spans="1:9" ht="13.8" customHeight="1" x14ac:dyDescent="0.3">
      <c r="A23" s="37"/>
      <c r="B23" s="37"/>
      <c r="C23" s="37"/>
      <c r="D23" s="38"/>
      <c r="E23" s="38"/>
      <c r="F23" s="38"/>
      <c r="G23" s="38"/>
      <c r="H23" s="38"/>
    </row>
    <row r="24" spans="1:9" ht="15.6" customHeight="1" x14ac:dyDescent="0.3">
      <c r="A24" s="86" t="s">
        <v>23</v>
      </c>
      <c r="B24" s="87"/>
      <c r="C24" s="87"/>
      <c r="D24" s="87"/>
      <c r="E24" s="38"/>
      <c r="F24" s="38"/>
      <c r="G24" s="38"/>
      <c r="H24" s="38"/>
      <c r="I24" s="38"/>
    </row>
    <row r="25" spans="1:9" ht="13.8" customHeight="1" x14ac:dyDescent="0.3">
      <c r="A25" s="73" t="s">
        <v>24</v>
      </c>
      <c r="B25" s="74"/>
      <c r="C25" s="75"/>
      <c r="D25" s="45" t="s">
        <v>25</v>
      </c>
      <c r="E25" s="38"/>
      <c r="F25" s="38"/>
      <c r="G25" s="38"/>
      <c r="H25" s="38"/>
      <c r="I25" s="38"/>
    </row>
    <row r="26" spans="1:9" ht="13.8" customHeight="1" x14ac:dyDescent="0.3">
      <c r="A26" s="79" t="s">
        <v>26</v>
      </c>
      <c r="B26" s="74"/>
      <c r="C26" s="75"/>
      <c r="D26" s="48">
        <v>0</v>
      </c>
      <c r="E26" s="38"/>
      <c r="F26" s="38"/>
      <c r="G26" s="38"/>
      <c r="H26" s="38"/>
      <c r="I26" s="38"/>
    </row>
    <row r="27" spans="1:9" ht="13.8" customHeight="1" x14ac:dyDescent="0.3">
      <c r="A27" s="79" t="s">
        <v>27</v>
      </c>
      <c r="B27" s="74"/>
      <c r="C27" s="75"/>
      <c r="D27" s="48">
        <v>0</v>
      </c>
      <c r="E27" s="38"/>
      <c r="F27" s="38"/>
      <c r="G27" s="38"/>
      <c r="H27" s="38"/>
      <c r="I27" s="38"/>
    </row>
    <row r="28" spans="1:9" ht="13.8" customHeight="1" x14ac:dyDescent="0.3">
      <c r="A28" s="79" t="s">
        <v>28</v>
      </c>
      <c r="B28" s="74"/>
      <c r="C28" s="75"/>
      <c r="D28" s="48">
        <v>0</v>
      </c>
      <c r="E28" s="38"/>
      <c r="F28" s="38"/>
      <c r="G28" s="38"/>
      <c r="H28" s="38"/>
      <c r="I28" s="38"/>
    </row>
    <row r="29" spans="1:9" ht="13.8" customHeight="1" x14ac:dyDescent="0.3">
      <c r="A29" s="79" t="s">
        <v>29</v>
      </c>
      <c r="B29" s="74"/>
      <c r="C29" s="75"/>
      <c r="D29" s="48">
        <v>0</v>
      </c>
      <c r="E29" s="38"/>
      <c r="F29" s="38"/>
      <c r="G29" s="38"/>
      <c r="H29" s="38"/>
      <c r="I29" s="38"/>
    </row>
    <row r="30" spans="1:9" ht="13.8" customHeight="1" x14ac:dyDescent="0.3">
      <c r="A30" s="97"/>
      <c r="B30" s="90"/>
      <c r="C30" s="91"/>
      <c r="D30" s="67"/>
      <c r="E30" s="38"/>
      <c r="F30" s="38"/>
      <c r="G30" s="38"/>
      <c r="H30" s="38"/>
      <c r="I30" s="38"/>
    </row>
    <row r="31" spans="1:9" ht="13.8" customHeight="1" x14ac:dyDescent="0.3">
      <c r="A31" s="94" t="s">
        <v>9</v>
      </c>
      <c r="B31" s="74"/>
      <c r="C31" s="75"/>
      <c r="D31" s="68">
        <f>SUM(D26:D30)</f>
        <v>0</v>
      </c>
      <c r="E31" s="38"/>
      <c r="F31" s="38"/>
      <c r="G31" s="40"/>
      <c r="H31" s="40"/>
      <c r="I31" s="40"/>
    </row>
    <row r="32" spans="1:9" ht="13.8" customHeight="1" x14ac:dyDescent="0.3">
      <c r="A32" s="37"/>
      <c r="B32" s="39"/>
      <c r="C32" s="37"/>
      <c r="D32" s="40"/>
      <c r="E32" s="38"/>
      <c r="F32" s="38"/>
      <c r="G32" s="40"/>
      <c r="H32" s="40"/>
      <c r="I32" s="40"/>
    </row>
    <row r="33" spans="1:9" ht="13.8" customHeight="1" x14ac:dyDescent="0.3">
      <c r="B33" s="98" t="s">
        <v>30</v>
      </c>
      <c r="C33" s="75"/>
      <c r="D33" s="66">
        <f>C22+D31</f>
        <v>280000</v>
      </c>
      <c r="E33" s="38"/>
      <c r="F33" s="38"/>
      <c r="G33" s="52"/>
      <c r="H33" s="64"/>
      <c r="I33" s="40"/>
    </row>
    <row r="34" spans="1:9" ht="13.8" customHeight="1" x14ac:dyDescent="0.3">
      <c r="A34" s="37"/>
      <c r="B34" s="37"/>
      <c r="C34" s="37"/>
      <c r="D34" s="38"/>
      <c r="E34" s="38"/>
      <c r="F34" s="38"/>
      <c r="G34" s="40"/>
      <c r="H34" s="39"/>
      <c r="I34" s="40"/>
    </row>
    <row r="35" spans="1:9" ht="13.8" customHeight="1" x14ac:dyDescent="0.3">
      <c r="A35" s="37"/>
      <c r="B35" s="39"/>
      <c r="C35" s="37"/>
      <c r="D35" s="40"/>
      <c r="E35" s="41"/>
      <c r="F35" s="41"/>
      <c r="G35" s="41"/>
      <c r="H35" s="38"/>
      <c r="I35" s="38"/>
    </row>
    <row r="36" spans="1:9" ht="15" customHeight="1" x14ac:dyDescent="0.3">
      <c r="B36" s="99" t="s">
        <v>5</v>
      </c>
      <c r="C36" s="75"/>
      <c r="D36" s="89" t="s">
        <v>31</v>
      </c>
      <c r="E36" s="90"/>
      <c r="F36" s="90"/>
      <c r="G36" s="91"/>
      <c r="I36" s="65"/>
    </row>
    <row r="37" spans="1:9" ht="13.65" customHeight="1" x14ac:dyDescent="0.3">
      <c r="A37" s="37"/>
      <c r="B37" s="37"/>
      <c r="C37" s="37"/>
      <c r="D37" s="82"/>
      <c r="E37" s="82"/>
      <c r="F37" s="82"/>
      <c r="G37" s="92"/>
      <c r="H37" s="65"/>
      <c r="I37" s="65"/>
    </row>
    <row r="38" spans="1:9" ht="13.65" customHeight="1" x14ac:dyDescent="0.3">
      <c r="A38" s="37"/>
      <c r="B38" s="37"/>
      <c r="C38" s="37"/>
      <c r="D38" s="82"/>
      <c r="E38" s="82"/>
      <c r="F38" s="82"/>
      <c r="G38" s="92"/>
      <c r="H38" s="65"/>
      <c r="I38" s="65"/>
    </row>
    <row r="39" spans="1:9" ht="13.65" customHeight="1" x14ac:dyDescent="0.3">
      <c r="A39" s="37"/>
      <c r="B39" s="37"/>
      <c r="C39" s="37"/>
      <c r="D39" s="82"/>
      <c r="E39" s="82"/>
      <c r="F39" s="82"/>
      <c r="G39" s="92"/>
      <c r="H39" s="65"/>
      <c r="I39" s="65"/>
    </row>
    <row r="40" spans="1:9" ht="13.65" customHeight="1" x14ac:dyDescent="0.3">
      <c r="A40" s="37"/>
      <c r="B40" s="37"/>
      <c r="C40" s="37"/>
      <c r="D40" s="82"/>
      <c r="E40" s="82"/>
      <c r="F40" s="82"/>
      <c r="G40" s="92"/>
      <c r="H40" s="65"/>
      <c r="I40" s="65"/>
    </row>
    <row r="41" spans="1:9" ht="13.65" customHeight="1" x14ac:dyDescent="0.3">
      <c r="A41" s="37"/>
      <c r="B41" s="37"/>
      <c r="C41" s="37"/>
      <c r="D41" s="82"/>
      <c r="E41" s="82"/>
      <c r="F41" s="82"/>
      <c r="G41" s="92"/>
      <c r="H41" s="65"/>
      <c r="I41" s="65"/>
    </row>
    <row r="42" spans="1:9" ht="13.65" customHeight="1" x14ac:dyDescent="0.3">
      <c r="A42" s="37"/>
      <c r="B42" s="37"/>
      <c r="C42" s="37"/>
      <c r="D42" s="82"/>
      <c r="E42" s="82"/>
      <c r="F42" s="82"/>
      <c r="G42" s="92"/>
      <c r="H42" s="65"/>
      <c r="I42" s="65"/>
    </row>
    <row r="43" spans="1:9" ht="13.65" customHeight="1" x14ac:dyDescent="0.3">
      <c r="A43" s="37"/>
      <c r="B43" s="37"/>
      <c r="C43" s="37"/>
      <c r="D43" s="82"/>
      <c r="E43" s="82"/>
      <c r="F43" s="82"/>
      <c r="G43" s="92"/>
      <c r="H43" s="65"/>
      <c r="I43" s="65"/>
    </row>
    <row r="44" spans="1:9" ht="13.65" customHeight="1" x14ac:dyDescent="0.3">
      <c r="A44" s="37"/>
      <c r="B44" s="37"/>
      <c r="C44" s="37"/>
      <c r="D44" s="82"/>
      <c r="E44" s="82"/>
      <c r="F44" s="82"/>
      <c r="G44" s="92"/>
      <c r="H44" s="65"/>
      <c r="I44" s="65"/>
    </row>
    <row r="45" spans="1:9" ht="13.65" customHeight="1" x14ac:dyDescent="0.3">
      <c r="A45" s="37"/>
      <c r="B45" s="37"/>
      <c r="C45" s="37"/>
      <c r="D45" s="87"/>
      <c r="E45" s="87"/>
      <c r="F45" s="87"/>
      <c r="G45" s="93"/>
      <c r="H45" s="65"/>
      <c r="I45" s="65"/>
    </row>
  </sheetData>
  <mergeCells count="33">
    <mergeCell ref="D36:G45"/>
    <mergeCell ref="C11:D11"/>
    <mergeCell ref="A31:C31"/>
    <mergeCell ref="E11:F11"/>
    <mergeCell ref="A9:C9"/>
    <mergeCell ref="A30:C30"/>
    <mergeCell ref="A17:B17"/>
    <mergeCell ref="A22:B22"/>
    <mergeCell ref="A20:B20"/>
    <mergeCell ref="B33:C33"/>
    <mergeCell ref="A19:B19"/>
    <mergeCell ref="B36:C36"/>
    <mergeCell ref="A29:C29"/>
    <mergeCell ref="A12:B12"/>
    <mergeCell ref="A28:C28"/>
    <mergeCell ref="C12:D12"/>
    <mergeCell ref="A21:B21"/>
    <mergeCell ref="A3:C3"/>
    <mergeCell ref="A26:C26"/>
    <mergeCell ref="A2:F2"/>
    <mergeCell ref="A16:B16"/>
    <mergeCell ref="A5:C5"/>
    <mergeCell ref="A14:C14"/>
    <mergeCell ref="A24:D24"/>
    <mergeCell ref="A18:B18"/>
    <mergeCell ref="A4:C4"/>
    <mergeCell ref="A6:C6"/>
    <mergeCell ref="A7:C7"/>
    <mergeCell ref="A25:C25"/>
    <mergeCell ref="E12:F12"/>
    <mergeCell ref="A15:B15"/>
    <mergeCell ref="A11:B11"/>
    <mergeCell ref="A27:C27"/>
  </mergeCells>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Históricos</vt:lpstr>
      <vt:lpstr>1.-Factores técnicos</vt:lpstr>
      <vt:lpstr>2.-Factores ambientales</vt:lpstr>
      <vt:lpstr>3.-Casos de uso</vt:lpstr>
      <vt:lpstr>4.-Actores</vt:lpstr>
      <vt:lpstr>5.-Resumen estimación de tamaño</vt:lpstr>
      <vt:lpstr>6.-Estimación esfuerzo y costo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dcterms:created xsi:type="dcterms:W3CDTF">2007-02-21T01:19:06Z</dcterms:created>
  <dcterms:modified xsi:type="dcterms:W3CDTF">2026-09-30T01:00:23Z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lpwstr>1</vt:lpwstr>
  </property>
  <property fmtid="{D5CDD505-2E9C-101B-9397-08002B2CF9AE}" pid="3" name="ContentTypeId">
    <vt:lpwstr>0x0101005F79CA91C779E94BAF39074ADA180F65</vt:lpwstr>
  </property>
  <property fmtid="{D5CDD505-2E9C-101B-9397-08002B2CF9AE}" pid="4" name="MediaServiceImageTags">
    <vt:lpwstr/>
  </property>
</Properties>
</file>