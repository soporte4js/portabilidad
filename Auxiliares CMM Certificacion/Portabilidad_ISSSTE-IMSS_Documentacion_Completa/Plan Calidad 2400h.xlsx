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28A06C00-20A2-4AC2-BFF9-C4C7D8DB3F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 Calidad 2400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<sst xmlns="http://schemas.openxmlformats.org/spreadsheetml/2006/main" count="18" uniqueCount="18">
  <si>
    <t>Categoría</t>
  </si>
  <si>
    <t>Indicador</t>
  </si>
  <si>
    <t>Meta</t>
  </si>
  <si>
    <t>Resultado</t>
  </si>
  <si>
    <t>Semáforo</t>
  </si>
  <si>
    <t>Fórmula Semáforo</t>
  </si>
  <si>
    <t>Calidad</t>
  </si>
  <si>
    <t>Defectos por entrega</t>
  </si>
  <si>
    <t>&lt;=3</t>
  </si>
  <si>
    <t>Productividad</t>
  </si>
  <si>
    <t>Horas devengadas (mensuales)</t>
  </si>
  <si>
    <t>200</t>
  </si>
  <si>
    <t>Cliente</t>
  </si>
  <si>
    <t>Aceptación sin ajustes (%)</t>
  </si>
  <si>
    <t>&gt;=85%</t>
  </si>
  <si>
    <t>Gestión</t>
  </si>
  <si>
    <t>Documentación entregada (%)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</si>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</sst>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4</v>
  </rv>
  <rv s="0">
    <v>2</v>
    <v>5</v>
  </rv>
  <rv s="0">
    <v>3</v>
    <v>5</v>
  </rv>
  <rv s="0">
    <v>1</v>
    <v>5</v>
  </rv>
  <rv s="0">
    <v>3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baseColWidth="10" defaultColWidth="8.88671875" defaultRowHeight="14.4" x14ac:dyDescent="0.3"/>
  <cols>
    <col min="1" max="1" width="15" customWidth="1"/>
    <col min="2" max="2" width="30" customWidth="1"/>
    <col min="3" max="3" width="7" customWidth="1"/>
    <col min="4" max="4" width="11" customWidth="1"/>
    <col min="5" max="5" width="10" customWidth="1"/>
    <col min="6" max="6" width="1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 s="2" t="e" vm="1">
        <v>#VALUE!</v>
      </c>
      <c r="F2" s="5" t="e" vm="2">
        <f>IF(D2&lt;=3,E5,IF(D2&lt;=5,E4,E2))</f>
        <v>#VALUE!</v>
      </c>
    </row>
    <row r="3" spans="1:6" x14ac:dyDescent="0.3">
      <c r="A3" t="s">
        <v>9</v>
      </c>
      <c r="B3" t="s">
        <v>10</v>
      </c>
      <c r="C3" t="s">
        <v>11</v>
      </c>
      <c r="D3">
        <v>200</v>
      </c>
      <c r="E3" s="3" t="e" vm="3">
        <v>#VALUE!</v>
      </c>
      <c r="F3" s="5" t="e" vm="2">
        <f>IF(D3&gt;=200,E5,IF(D3&gt;=180,E4,E2))</f>
        <v>#VALUE!</v>
      </c>
    </row>
    <row r="4" spans="1:6" x14ac:dyDescent="0.3">
      <c r="A4" t="s">
        <v>12</v>
      </c>
      <c r="B4" t="s">
        <v>13</v>
      </c>
      <c r="C4" t="s">
        <v>14</v>
      </c>
      <c r="D4">
        <v>89</v>
      </c>
      <c r="E4" s="4" t="e" vm="4">
        <v>#VALUE!</v>
      </c>
      <c r="F4" s="5" t="e" vm="2">
        <f>IF(D4&gt;=85,E5,IF(D4&gt;=70,E4,E2))</f>
        <v>#VALUE!</v>
      </c>
    </row>
    <row r="5" spans="1:6" x14ac:dyDescent="0.3">
      <c r="A5" t="s">
        <v>15</v>
      </c>
      <c r="B5" t="s">
        <v>16</v>
      </c>
      <c r="C5" t="s">
        <v>17</v>
      </c>
      <c r="D5">
        <v>99</v>
      </c>
      <c r="E5" s="1" t="e" vm="5">
        <v>#VALUE!</v>
      </c>
      <c r="F5" s="5" t="e" vm="6">
        <f>IF(D5=100,E5,IF(D5&gt;=80,E4,E2))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Calidad 2400h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2025-12-05T20:27:51Z</dcterms:created>
  <dcterms:modified xsi:type="dcterms:W3CDTF">2026-09-30T06:31:03Z</dcterms:modified>
</cp:coreProperties>
</file>