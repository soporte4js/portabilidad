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86B2F945-5A45-4FC5-9A68-23E427B6BA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FO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" l="1"/>
  <c r="E40" i="2"/>
  <c r="J21" i="2"/>
  <c r="H21" i="2"/>
  <c r="E21" i="2"/>
  <c r="J20" i="2"/>
  <c r="J19" i="2"/>
  <c r="J18" i="2"/>
  <c r="J17" i="2"/>
  <c r="J16" i="2"/>
  <c r="J15" i="2"/>
  <c r="J14" i="2"/>
  <c r="J13" i="2"/>
  <c r="J12" i="2"/>
  <c r="J11" i="2"/>
  <c r="J10" i="2"/>
  <c r="J22" i="2" s="1"/>
  <c r="J9" i="2"/>
  <c r="J8" i="2"/>
  <c r="H41" i="2" l="1"/>
  <c r="O4" i="2" s="1"/>
  <c r="H22" i="2"/>
  <c r="E41" i="2"/>
  <c r="O3" i="2" s="1"/>
  <c r="E22" i="2"/>
  <c r="J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  <author>Pedro Alatorre</author>
  </authors>
  <commentList>
    <comment ref="B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 Factores internos: son internas ya que es posible actuar sobre ellas.
Análisis de la situación interna: identificación de las fortalezas y debilidades con base en:
a. Análisis financieros.
b. Identificación de recursos.</t>
        </r>
      </text>
    </comment>
    <comment ref="C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Sugerencia para realizar análisis
1.- Ser realista, no engañarse.
2.- Definir con claridad el objetivo en relación con el cual se realiza el análisis FODA. Eso ayudará tanto al análisis como a la definición de las estrategias.
3.- Hacer un listado con las características fundamentales de la organización para encontrar fortalezas y debilidades.
4.- Para localizar oportunidades piense en cuáles son las fortalezas de la organización y si éstas conducen a alguna oportunidad, o bien si eliminando o reduciendo alguna debilidad se abren nuevas oportunidades en el futuro.
5.- Comience por una lluvia de ideas, pero acabe realizando un análisis priorizando cada factor.
6.- Debatir sobre las amenazas y debilidades de la organización puede conducir a que se traten aspectos delicados; es necesario un buen ambiente previo, mucha confianza, tolerancia y respeto para que el diálogo se desarrolle libre y satisfactoriamente.
9.- Los factores de análisis son:
a. Gente.
b. Procedimientos.
c. Tecnología.</t>
        </r>
      </text>
    </comment>
    <comment ref="J3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Fecha en que se realizó el análisis.
</t>
        </r>
      </text>
    </comment>
    <comment ref="D4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Son las capacidades especiales con que cuenta la empresa, y que le permiten una posición privilegiada frente a la competencia; recursos que se controlan, capacidades y habilidades que se poseen, actividades positivamente, etc.
</t>
        </r>
      </text>
    </comment>
    <comment ref="G4" authorId="1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Son aquellos factores que provocan una posición desfavorable frente a la competencia, recursos de los que carece, habilidades que no poseen, actividades que no se desarrollan positivamente, etc.
</t>
        </r>
      </text>
    </comment>
    <comment ref="J4" authorId="2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Pedro Alatorre:
Puesto de la persona que realiza en análisis </t>
        </r>
      </text>
    </comment>
    <comment ref="D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Descripción del factor Interno</t>
        </r>
      </text>
    </comment>
    <comment ref="E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Factor de ponderación:
Se debera de ponderar cada uno de los elementos identificados, en este campo se deberá indicar el numero según la ponderación.
Alto=3
Media=2
Baja=1</t>
        </r>
      </text>
    </comment>
    <comment ref="G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Descripción del factor interno</t>
        </r>
      </text>
    </comment>
    <comment ref="H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Factor de ponderación:
Se debera de ponderar cada uno de los elementos identificados, en este campo se deberá indicar el numero según la ponderación.
Alto=3
Media=2
Baja=1</t>
        </r>
      </text>
    </comment>
    <comment ref="B2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Factores de externos 
identificación de oportunidades y amenazas con base en:
a. Necesidades de los clientes.
b. Información sobre competidores.
c. Tendencias tecnológicas.</t>
        </r>
      </text>
    </comment>
    <comment ref="D23" authorId="1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Son aquellos factores que resultan positivos, favorables, explotables, que se deben descubrir en el entorno en el que actúa la empresa, y que podrían favorecer el logro de los objetivos.</t>
        </r>
      </text>
    </comment>
    <comment ref="G23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Son aquellas situaciones que provienen del entorno y que pueden llegar a atentar incluso contra la permanencia de la organización.</t>
        </r>
      </text>
    </comment>
    <comment ref="D2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Descripción del factor externo</t>
        </r>
      </text>
    </comment>
    <comment ref="E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Factor de ponderación:
Se debera de ponderar cada uno de los elementos identificados, en este campo se deberá indicar el numero según la ponderación.
Alto=3
Media=2
Baja=1</t>
        </r>
      </text>
    </comment>
    <comment ref="G2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Descripción del factor externo</t>
        </r>
      </text>
    </comment>
    <comment ref="H2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Factor de ponderación:
Se debera de ponderar cada uno de los elementos identificados, en este campo se deberá indicar el numero según la ponderación.
Alto=3
Media=2
Baja=1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<sst xmlns="http://schemas.openxmlformats.org/spreadsheetml/2006/main" count="74" uniqueCount="58">
  <si>
    <t>Balance estratégico</t>
  </si>
  <si>
    <t>Matriz FODA</t>
  </si>
  <si>
    <t>Fecha:</t>
  </si>
  <si>
    <t>Oportunidad + Fortaleza</t>
  </si>
  <si>
    <t>#</t>
  </si>
  <si>
    <t>Fortalezas</t>
  </si>
  <si>
    <t>Debilidades</t>
  </si>
  <si>
    <t>Autor (rol):</t>
  </si>
  <si>
    <t>Amenazas + Debilidades</t>
  </si>
  <si>
    <t>Descripción</t>
  </si>
  <si>
    <t>F.P.</t>
  </si>
  <si>
    <t>Orientación a resultados y calidad.</t>
  </si>
  <si>
    <t>Deficiencia en el seguimiento de la planeación de trabajo y tiempos estimados.</t>
  </si>
  <si>
    <t>Adaptabilidad tecnológica e integracion con otras herramientas.</t>
  </si>
  <si>
    <t>Gestión de procesos. (Estimaciones imprecisas de esfuerzo y tiempos).</t>
  </si>
  <si>
    <t>Total F. P.</t>
  </si>
  <si>
    <t>Trabajo en equipo.</t>
  </si>
  <si>
    <t>Falta de especialistas en áreas especificas (DBA, sysadmin, redes).</t>
  </si>
  <si>
    <t>Compromiso y sentido de responsabilidad.</t>
  </si>
  <si>
    <t>Falta de documentación y estandarización de procesos.</t>
  </si>
  <si>
    <t>Implementacion de metodologías de desarrollo agil.</t>
  </si>
  <si>
    <t>Consolidacion en los procesos de control de calidad y pruebas (documento o manual).</t>
  </si>
  <si>
    <t>Proactividad.</t>
  </si>
  <si>
    <t>Ausencia de métricas reales de desempeño (KPI's), productividad o rentabilidad.</t>
  </si>
  <si>
    <t>Buen manejo de las relaciones y comunicación con los usuarios.</t>
  </si>
  <si>
    <t>Gestion de riesgos y comunicación con el cliente durante el proyecto para evitar posibles retrazos y/o retrabajos.</t>
  </si>
  <si>
    <t>Productos de software innovadores y de alta calidad.</t>
  </si>
  <si>
    <t>Transferencia de conocimiento al cliente.</t>
  </si>
  <si>
    <t>Menor curva de aprendizaje.</t>
  </si>
  <si>
    <t>Capacidad de trabajar de forma remota o distribuida sin perder coordinación.</t>
  </si>
  <si>
    <t>Total de F.P.</t>
  </si>
  <si>
    <t>Porcentaje de ponderación</t>
  </si>
  <si>
    <t>Oportunidades</t>
  </si>
  <si>
    <t>Amenazas</t>
  </si>
  <si>
    <t>Capacitación continua en diferentes tecnologías. (Transofmración digital y automatización, apps, nube, IA, etc).</t>
  </si>
  <si>
    <t>Competencia (costo).</t>
  </si>
  <si>
    <t>Implementacion de nuevas soluciones tecnologicas</t>
  </si>
  <si>
    <t>Obsolescencia tecnológica e infraestructura obsoleta de los clientes.</t>
  </si>
  <si>
    <t>Crecimiento del mercado (Marketing)</t>
  </si>
  <si>
    <t>Clientes con resistencia al cambio.</t>
  </si>
  <si>
    <t>Colaboraciones externas (Partners, Nearshoring: empresas extranjeras buscan proveedores en Latinoamérica.)</t>
  </si>
  <si>
    <t>Falta de documentación y versionamiento del software del cliente en proyectos de mantenimiento/migración.</t>
  </si>
  <si>
    <t>Experiencia consolidada en el sector: los clientes valoran mayormente los procesos y calidad, no solo precio.</t>
  </si>
  <si>
    <t>Cambios en las tendencias del mercado que afectan la preferencia del cliente.</t>
  </si>
  <si>
    <t>Adopción de modelos de desarrollo de software.</t>
  </si>
  <si>
    <t>Software de código abierto.</t>
  </si>
  <si>
    <t>Detección de problemas en procesos de negocio.</t>
  </si>
  <si>
    <t>Cumplimiento normativo (CMMI/ ISO).</t>
  </si>
  <si>
    <t>Desgaste operativo del equipo (burnout, multitarea, horas extra constantes).</t>
  </si>
  <si>
    <t>El alcance es a nivel organizacional</t>
  </si>
  <si>
    <t>Historial de versiones</t>
  </si>
  <si>
    <t>Fecha</t>
  </si>
  <si>
    <t>Versión</t>
  </si>
  <si>
    <t>Autor</t>
  </si>
  <si>
    <t>Version 1.0</t>
  </si>
  <si>
    <t>Generación del documento</t>
  </si>
  <si>
    <t>Miguel A. López Hernández / Carlos Quintero / Oscar Vera</t>
  </si>
  <si>
    <t>Si se tiene un sistema de gestión de versiones eliminar esta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</si>
</sst>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34998626667073579"/>
      <name val="Calibri"/>
      <family val="2"/>
    </font>
    <font>
      <i/>
      <sz val="11"/>
      <color theme="1" tint="0.3499862666707357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rgb="FF000000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/>
  </cellStyleXfs>
  <cellXfs count="82">
    <xf numFmtId="0" fontId="0" fillId="0" borderId="0" xfId="0"/>
    <xf numFmtId="0" fontId="2" fillId="2" borderId="0" xfId="0" applyFont="1" applyFill="1"/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justify" vertical="center" wrapText="1"/>
    </xf>
    <xf numFmtId="0" fontId="4" fillId="0" borderId="3" xfId="0" applyFont="1" applyBorder="1"/>
    <xf numFmtId="0" fontId="4" fillId="0" borderId="0" xfId="0" applyFont="1"/>
    <xf numFmtId="0" fontId="6" fillId="2" borderId="10" xfId="0" applyFont="1" applyFill="1" applyBorder="1"/>
    <xf numFmtId="0" fontId="2" fillId="2" borderId="10" xfId="0" applyFont="1" applyFill="1" applyBorder="1"/>
    <xf numFmtId="0" fontId="2" fillId="0" borderId="0" xfId="0" applyFont="1"/>
    <xf numFmtId="0" fontId="11" fillId="5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9" fontId="12" fillId="7" borderId="10" xfId="1" applyFill="1" applyBorder="1"/>
    <xf numFmtId="9" fontId="2" fillId="6" borderId="10" xfId="0" applyNumberFormat="1" applyFont="1" applyFill="1" applyBorder="1"/>
    <xf numFmtId="0" fontId="14" fillId="0" borderId="4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9" fontId="1" fillId="6" borderId="19" xfId="1" applyFont="1" applyFill="1" applyBorder="1"/>
    <xf numFmtId="0" fontId="17" fillId="6" borderId="10" xfId="0" applyFont="1" applyFill="1" applyBorder="1" applyAlignment="1">
      <alignment vertical="center"/>
    </xf>
    <xf numFmtId="0" fontId="17" fillId="6" borderId="17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1" fillId="6" borderId="10" xfId="0" applyFont="1" applyFill="1" applyBorder="1"/>
    <xf numFmtId="0" fontId="1" fillId="6" borderId="1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7" fillId="8" borderId="13" xfId="0" applyFont="1" applyFill="1" applyBorder="1" applyAlignment="1">
      <alignment vertical="center"/>
    </xf>
    <xf numFmtId="0" fontId="17" fillId="6" borderId="13" xfId="0" applyFont="1" applyFill="1" applyBorder="1" applyAlignment="1">
      <alignment vertical="center"/>
    </xf>
    <xf numFmtId="0" fontId="17" fillId="6" borderId="18" xfId="0" applyFon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17" fillId="8" borderId="10" xfId="0" applyFont="1" applyFill="1" applyBorder="1" applyAlignment="1">
      <alignment vertical="center"/>
    </xf>
    <xf numFmtId="0" fontId="3" fillId="6" borderId="17" xfId="0" applyFont="1" applyFill="1" applyBorder="1"/>
    <xf numFmtId="0" fontId="1" fillId="6" borderId="12" xfId="0" applyFont="1" applyFill="1" applyBorder="1"/>
    <xf numFmtId="9" fontId="12" fillId="6" borderId="17" xfId="1" applyFill="1" applyBorder="1"/>
    <xf numFmtId="0" fontId="1" fillId="6" borderId="12" xfId="0" applyFont="1" applyFill="1" applyBorder="1" applyAlignment="1">
      <alignment vertical="center"/>
    </xf>
    <xf numFmtId="0" fontId="16" fillId="4" borderId="10" xfId="0" applyFont="1" applyFill="1" applyBorder="1"/>
    <xf numFmtId="0" fontId="15" fillId="3" borderId="11" xfId="0" applyFont="1" applyFill="1" applyBorder="1"/>
    <xf numFmtId="0" fontId="15" fillId="2" borderId="11" xfId="0" applyFont="1" applyFill="1" applyBorder="1"/>
    <xf numFmtId="0" fontId="0" fillId="6" borderId="16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9" fontId="1" fillId="6" borderId="21" xfId="1" applyFont="1" applyFill="1" applyBorder="1"/>
    <xf numFmtId="0" fontId="1" fillId="6" borderId="20" xfId="0" applyFont="1" applyFill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wrapText="1"/>
    </xf>
    <xf numFmtId="0" fontId="15" fillId="3" borderId="11" xfId="0" applyFont="1" applyFill="1" applyBorder="1" applyAlignment="1">
      <alignment wrapText="1"/>
    </xf>
    <xf numFmtId="0" fontId="0" fillId="3" borderId="17" xfId="0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vertical="center"/>
    </xf>
    <xf numFmtId="0" fontId="15" fillId="2" borderId="11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15" fillId="2" borderId="11" xfId="0" applyFont="1" applyFill="1" applyBorder="1" applyAlignment="1">
      <alignment vertical="center" wrapText="1"/>
    </xf>
    <xf numFmtId="14" fontId="14" fillId="0" borderId="4" xfId="0" applyNumberFormat="1" applyFont="1" applyBorder="1" applyAlignment="1">
      <alignment horizontal="center" vertical="center" wrapText="1"/>
    </xf>
    <xf numFmtId="14" fontId="2" fillId="2" borderId="10" xfId="0" applyNumberFormat="1" applyFont="1" applyFill="1" applyBorder="1"/>
    <xf numFmtId="0" fontId="2" fillId="2" borderId="10" xfId="0" applyFont="1" applyFill="1" applyBorder="1" applyAlignment="1">
      <alignment horizontal="center"/>
    </xf>
    <xf numFmtId="0" fontId="0" fillId="0" borderId="12" xfId="0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/>
    <xf numFmtId="0" fontId="13" fillId="6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9" fontId="2" fillId="6" borderId="10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0" borderId="14" xfId="0" applyBorder="1"/>
    <xf numFmtId="0" fontId="7" fillId="0" borderId="22" xfId="0" applyFon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10" fillId="0" borderId="0" xfId="0" applyFont="1" applyAlignment="1">
      <alignment horizontal="left" vertical="center"/>
    </xf>
    <xf numFmtId="0" fontId="4" fillId="0" borderId="0" xfId="0" applyFont="1"/>
    <xf numFmtId="0" fontId="9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4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sqref="A1:B2"/>
    </sheetView>
  </sheetViews>
  <sheetFormatPr baseColWidth="10" defaultColWidth="11.44140625" defaultRowHeight="30.75" customHeight="1" x14ac:dyDescent="0.3"/>
  <cols>
    <col min="1" max="1" width="20.33203125" style="6" bestFit="1" customWidth="1"/>
    <col min="2" max="2" width="23.5546875" style="6" customWidth="1"/>
    <col min="3" max="3" width="47.44140625" style="6" customWidth="1"/>
    <col min="4" max="4" width="26.5546875" style="6" customWidth="1"/>
    <col min="5" max="6" width="11.44140625" style="6" customWidth="1"/>
    <col min="7" max="16384" width="11.44140625" style="6"/>
  </cols>
  <sheetData>
    <row r="1" spans="1:4" ht="14.4" customHeight="1" x14ac:dyDescent="0.3">
      <c r="A1" s="71" t="e" vm="1">
        <v>#VALUE!</v>
      </c>
      <c r="B1" s="72"/>
      <c r="C1" s="5"/>
    </row>
    <row r="2" spans="1:4" ht="54.75" customHeight="1" thickBot="1" x14ac:dyDescent="0.35">
      <c r="A2" s="73"/>
      <c r="B2" s="74"/>
      <c r="C2" s="5"/>
    </row>
    <row r="3" spans="1:4" ht="30.75" customHeight="1" x14ac:dyDescent="0.3">
      <c r="A3" s="75" t="s">
        <v>49</v>
      </c>
      <c r="B3" s="76"/>
    </row>
    <row r="4" spans="1:4" ht="14.4" customHeight="1" x14ac:dyDescent="0.3"/>
    <row r="5" spans="1:4" ht="14.4" customHeight="1" x14ac:dyDescent="0.3"/>
    <row r="6" spans="1:4" ht="18" customHeight="1" x14ac:dyDescent="0.35">
      <c r="A6" s="79" t="s">
        <v>50</v>
      </c>
      <c r="B6" s="78"/>
      <c r="C6" s="78"/>
      <c r="D6" s="78"/>
    </row>
    <row r="7" spans="1:4" ht="15" customHeight="1" thickBot="1" x14ac:dyDescent="0.35"/>
    <row r="8" spans="1:4" ht="18.600000000000001" customHeight="1" thickBot="1" x14ac:dyDescent="0.35">
      <c r="A8" s="10" t="s">
        <v>51</v>
      </c>
      <c r="B8" s="11" t="s">
        <v>52</v>
      </c>
      <c r="C8" s="11" t="s">
        <v>9</v>
      </c>
      <c r="D8" s="11" t="s">
        <v>53</v>
      </c>
    </row>
    <row r="9" spans="1:4" ht="32.25" customHeight="1" thickBot="1" x14ac:dyDescent="0.35">
      <c r="A9" s="60">
        <v>46023</v>
      </c>
      <c r="B9" s="16" t="s">
        <v>54</v>
      </c>
      <c r="C9" s="16" t="s">
        <v>55</v>
      </c>
      <c r="D9" s="16" t="s">
        <v>56</v>
      </c>
    </row>
    <row r="10" spans="1:4" ht="32.25" customHeight="1" thickBot="1" x14ac:dyDescent="0.35">
      <c r="A10" s="2"/>
      <c r="B10" s="3"/>
      <c r="C10" s="4"/>
      <c r="D10" s="3"/>
    </row>
    <row r="11" spans="1:4" ht="32.25" customHeight="1" thickBot="1" x14ac:dyDescent="0.35">
      <c r="A11" s="2"/>
      <c r="B11" s="3"/>
      <c r="C11" s="4"/>
      <c r="D11" s="3"/>
    </row>
    <row r="13" spans="1:4" ht="15.6" customHeight="1" x14ac:dyDescent="0.3">
      <c r="A13" s="77" t="s">
        <v>57</v>
      </c>
      <c r="B13" s="78"/>
      <c r="C13" s="78"/>
      <c r="D13" s="78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N96"/>
  <sheetViews>
    <sheetView showGridLines="0" tabSelected="1" zoomScale="115" zoomScaleNormal="115" workbookViewId="0">
      <selection activeCell="C1" sqref="C1:D2"/>
    </sheetView>
  </sheetViews>
  <sheetFormatPr baseColWidth="10" defaultColWidth="0" defaultRowHeight="0" customHeight="1" zeroHeight="1" x14ac:dyDescent="0.3"/>
  <cols>
    <col min="1" max="1" width="11.44140625" style="1" customWidth="1"/>
    <col min="2" max="2" width="8" style="1" customWidth="1"/>
    <col min="3" max="3" width="3.44140625" style="1" customWidth="1"/>
    <col min="4" max="4" width="79.33203125" style="1" customWidth="1"/>
    <col min="5" max="5" width="8" style="1" customWidth="1"/>
    <col min="6" max="6" width="3.44140625" style="1" customWidth="1"/>
    <col min="7" max="7" width="79.33203125" style="1" customWidth="1"/>
    <col min="8" max="8" width="8" style="1" customWidth="1"/>
    <col min="9" max="10" width="11.44140625" style="1" customWidth="1"/>
    <col min="11" max="11" width="14.88671875" style="1" bestFit="1" customWidth="1"/>
    <col min="12" max="12" width="11.44140625" style="1" customWidth="1"/>
    <col min="13" max="13" width="14.88671875" style="1" customWidth="1"/>
    <col min="14" max="14" width="10.5546875" style="1" customWidth="1"/>
    <col min="15" max="239" width="11.44140625" style="1" customWidth="1"/>
    <col min="240" max="240" width="59.6640625" style="1" customWidth="1"/>
    <col min="241" max="241" width="27.5546875" style="1" customWidth="1"/>
    <col min="242" max="242" width="23.5546875" style="1" customWidth="1"/>
    <col min="243" max="243" width="18.6640625" style="1" customWidth="1"/>
    <col min="244" max="244" width="15.109375" style="1" customWidth="1"/>
    <col min="245" max="262" width="11.44140625" style="1" customWidth="1"/>
    <col min="263" max="500" width="13" style="1" hidden="1" customWidth="1"/>
    <col min="501" max="518" width="11.44140625" style="1" customWidth="1"/>
    <col min="519" max="756" width="13" style="1" hidden="1" customWidth="1"/>
    <col min="757" max="774" width="11.44140625" style="1" customWidth="1"/>
    <col min="775" max="1012" width="13" style="1" hidden="1" customWidth="1"/>
    <col min="1013" max="1030" width="11.44140625" style="1" customWidth="1"/>
    <col min="1031" max="1268" width="13" style="1" hidden="1" customWidth="1"/>
    <col min="1269" max="1286" width="11.44140625" style="1" customWidth="1"/>
    <col min="1287" max="1524" width="13" style="1" hidden="1" customWidth="1"/>
    <col min="1525" max="1542" width="11.44140625" style="1" customWidth="1"/>
    <col min="1543" max="1780" width="13" style="1" hidden="1" customWidth="1"/>
    <col min="1781" max="1798" width="11.44140625" style="1" customWidth="1"/>
    <col min="1799" max="2036" width="13" style="1" hidden="1" customWidth="1"/>
    <col min="2037" max="2054" width="11.44140625" style="1" customWidth="1"/>
    <col min="2055" max="2292" width="13" style="1" hidden="1" customWidth="1"/>
    <col min="2293" max="2310" width="11.44140625" style="1" customWidth="1"/>
    <col min="2311" max="2548" width="13" style="1" hidden="1" customWidth="1"/>
    <col min="2549" max="2566" width="11.44140625" style="1" customWidth="1"/>
    <col min="2567" max="2804" width="13" style="1" hidden="1" customWidth="1"/>
    <col min="2805" max="2822" width="11.44140625" style="1" customWidth="1"/>
    <col min="2823" max="3060" width="13" style="1" hidden="1" customWidth="1"/>
    <col min="3061" max="3078" width="11.44140625" style="1" customWidth="1"/>
    <col min="3079" max="3316" width="13" style="1" hidden="1" customWidth="1"/>
    <col min="3317" max="3334" width="11.44140625" style="1" customWidth="1"/>
    <col min="3335" max="3572" width="13" style="1" hidden="1" customWidth="1"/>
    <col min="3573" max="3590" width="11.44140625" style="1" customWidth="1"/>
    <col min="3591" max="3828" width="13" style="1" hidden="1" customWidth="1"/>
    <col min="3829" max="3846" width="11.44140625" style="1" customWidth="1"/>
    <col min="3847" max="4084" width="13" style="1" hidden="1" customWidth="1"/>
    <col min="4085" max="4102" width="11.44140625" style="1" customWidth="1"/>
    <col min="4103" max="4340" width="13" style="1" hidden="1" customWidth="1"/>
    <col min="4341" max="4358" width="11.44140625" style="1" customWidth="1"/>
    <col min="4359" max="4596" width="13" style="1" hidden="1" customWidth="1"/>
    <col min="4597" max="4614" width="11.44140625" style="1" customWidth="1"/>
    <col min="4615" max="4852" width="13" style="1" hidden="1" customWidth="1"/>
    <col min="4853" max="4870" width="11.44140625" style="1" customWidth="1"/>
    <col min="4871" max="5108" width="13" style="1" hidden="1" customWidth="1"/>
    <col min="5109" max="5126" width="11.44140625" style="1" customWidth="1"/>
    <col min="5127" max="5364" width="13" style="1" hidden="1" customWidth="1"/>
    <col min="5365" max="5382" width="11.44140625" style="1" customWidth="1"/>
    <col min="5383" max="5620" width="13" style="1" hidden="1" customWidth="1"/>
    <col min="5621" max="5638" width="11.44140625" style="1" customWidth="1"/>
    <col min="5639" max="5876" width="13" style="1" hidden="1" customWidth="1"/>
    <col min="5877" max="5894" width="11.44140625" style="1" customWidth="1"/>
    <col min="5895" max="6132" width="13" style="1" hidden="1" customWidth="1"/>
    <col min="6133" max="6150" width="11.44140625" style="1" customWidth="1"/>
    <col min="6151" max="6388" width="13" style="1" hidden="1" customWidth="1"/>
    <col min="6389" max="6406" width="11.44140625" style="1" customWidth="1"/>
    <col min="6407" max="6644" width="13" style="1" hidden="1" customWidth="1"/>
    <col min="6645" max="6662" width="11.44140625" style="1" customWidth="1"/>
    <col min="6663" max="6900" width="13" style="1" hidden="1" customWidth="1"/>
    <col min="6901" max="6918" width="11.44140625" style="1" customWidth="1"/>
    <col min="6919" max="7156" width="13" style="1" hidden="1" customWidth="1"/>
    <col min="7157" max="7174" width="11.44140625" style="1" customWidth="1"/>
    <col min="7175" max="7412" width="13" style="1" hidden="1" customWidth="1"/>
    <col min="7413" max="7430" width="11.44140625" style="1" customWidth="1"/>
    <col min="7431" max="7668" width="13" style="1" hidden="1" customWidth="1"/>
    <col min="7669" max="7686" width="11.44140625" style="1" customWidth="1"/>
    <col min="7687" max="7924" width="13" style="1" hidden="1" customWidth="1"/>
    <col min="7925" max="7942" width="11.44140625" style="1" customWidth="1"/>
    <col min="7943" max="8180" width="13" style="1" hidden="1" customWidth="1"/>
    <col min="8181" max="8198" width="11.44140625" style="1" customWidth="1"/>
    <col min="8199" max="8436" width="13" style="1" hidden="1" customWidth="1"/>
    <col min="8437" max="8454" width="11.44140625" style="1" customWidth="1"/>
    <col min="8455" max="8692" width="13" style="1" hidden="1" customWidth="1"/>
    <col min="8693" max="8710" width="11.44140625" style="1" customWidth="1"/>
    <col min="8711" max="8948" width="13" style="1" hidden="1" customWidth="1"/>
    <col min="8949" max="8966" width="11.44140625" style="1" customWidth="1"/>
    <col min="8967" max="9204" width="13" style="1" hidden="1" customWidth="1"/>
    <col min="9205" max="9222" width="11.44140625" style="1" customWidth="1"/>
    <col min="9223" max="9460" width="13" style="1" hidden="1" customWidth="1"/>
    <col min="9461" max="9478" width="11.44140625" style="1" customWidth="1"/>
    <col min="9479" max="9716" width="13" style="1" hidden="1" customWidth="1"/>
    <col min="9717" max="9734" width="11.44140625" style="1" customWidth="1"/>
    <col min="9735" max="9972" width="13" style="1" hidden="1" customWidth="1"/>
    <col min="9973" max="9990" width="11.44140625" style="1" customWidth="1"/>
    <col min="9991" max="10228" width="13" style="1" hidden="1" customWidth="1"/>
    <col min="10229" max="10246" width="11.44140625" style="1" customWidth="1"/>
    <col min="10247" max="10484" width="13" style="1" hidden="1" customWidth="1"/>
    <col min="10485" max="10502" width="11.44140625" style="1" customWidth="1"/>
    <col min="10503" max="10740" width="13" style="1" hidden="1" customWidth="1"/>
    <col min="10741" max="10758" width="11.44140625" style="1" customWidth="1"/>
    <col min="10759" max="10996" width="13" style="1" hidden="1" customWidth="1"/>
    <col min="10997" max="11014" width="11.44140625" style="1" customWidth="1"/>
    <col min="11015" max="11252" width="13" style="1" hidden="1" customWidth="1"/>
    <col min="11253" max="11270" width="11.44140625" style="1" customWidth="1"/>
    <col min="11271" max="11508" width="13" style="1" hidden="1" customWidth="1"/>
    <col min="11509" max="11526" width="11.44140625" style="1" customWidth="1"/>
    <col min="11527" max="11764" width="13" style="1" hidden="1" customWidth="1"/>
    <col min="11765" max="11782" width="11.44140625" style="1" customWidth="1"/>
    <col min="11783" max="12020" width="13" style="1" hidden="1" customWidth="1"/>
    <col min="12021" max="12038" width="11.44140625" style="1" customWidth="1"/>
    <col min="12039" max="12276" width="13" style="1" hidden="1" customWidth="1"/>
    <col min="12277" max="12294" width="11.44140625" style="1" customWidth="1"/>
    <col min="12295" max="12532" width="13" style="1" hidden="1" customWidth="1"/>
    <col min="12533" max="12550" width="11.44140625" style="1" customWidth="1"/>
    <col min="12551" max="12788" width="13" style="1" hidden="1" customWidth="1"/>
    <col min="12789" max="12806" width="11.44140625" style="1" customWidth="1"/>
    <col min="12807" max="13044" width="13" style="1" hidden="1" customWidth="1"/>
    <col min="13045" max="13062" width="11.44140625" style="1" customWidth="1"/>
    <col min="13063" max="13300" width="13" style="1" hidden="1" customWidth="1"/>
    <col min="13301" max="13318" width="11.44140625" style="1" customWidth="1"/>
    <col min="13319" max="13556" width="13" style="1" hidden="1" customWidth="1"/>
    <col min="13557" max="13574" width="11.44140625" style="1" customWidth="1"/>
    <col min="13575" max="13812" width="13" style="1" hidden="1" customWidth="1"/>
    <col min="13813" max="13830" width="11.44140625" style="1" customWidth="1"/>
    <col min="13831" max="14068" width="13" style="1" hidden="1" customWidth="1"/>
    <col min="14069" max="14086" width="11.44140625" style="1" customWidth="1"/>
    <col min="14087" max="14324" width="13" style="1" hidden="1" customWidth="1"/>
    <col min="14325" max="14342" width="11.44140625" style="1" customWidth="1"/>
    <col min="14343" max="14580" width="13" style="1" hidden="1" customWidth="1"/>
    <col min="14581" max="14598" width="11.44140625" style="1" customWidth="1"/>
    <col min="14599" max="14836" width="13" style="1" hidden="1" customWidth="1"/>
    <col min="14837" max="14854" width="11.44140625" style="1" customWidth="1"/>
    <col min="14855" max="15092" width="13" style="1" hidden="1" customWidth="1"/>
    <col min="15093" max="15110" width="11.44140625" style="1" customWidth="1"/>
    <col min="15111" max="15348" width="13" style="1" hidden="1" customWidth="1"/>
    <col min="15349" max="15366" width="11.44140625" style="1" customWidth="1"/>
    <col min="15367" max="15604" width="13" style="1" hidden="1" customWidth="1"/>
    <col min="15605" max="15622" width="11.44140625" style="1" customWidth="1"/>
    <col min="15623" max="15860" width="13" style="1" hidden="1" customWidth="1"/>
    <col min="15861" max="15878" width="11.44140625" style="1" customWidth="1"/>
    <col min="15879" max="16116" width="13" style="1" hidden="1" customWidth="1"/>
    <col min="16117" max="16134" width="11.44140625" style="1" customWidth="1"/>
    <col min="16135" max="16384" width="13" style="1" hidden="1" customWidth="1"/>
  </cols>
  <sheetData>
    <row r="1" spans="2:15" ht="13.8" customHeight="1" x14ac:dyDescent="0.3">
      <c r="C1" s="80" t="e" vm="1">
        <v>#VALUE!</v>
      </c>
      <c r="D1" s="80"/>
    </row>
    <row r="2" spans="2:15" ht="18" customHeight="1" x14ac:dyDescent="0.35">
      <c r="C2" s="81"/>
      <c r="D2" s="81"/>
      <c r="M2" s="69" t="s">
        <v>0</v>
      </c>
      <c r="N2" s="70"/>
      <c r="O2" s="70"/>
    </row>
    <row r="3" spans="2:15" ht="21" customHeight="1" x14ac:dyDescent="0.4">
      <c r="B3"/>
      <c r="C3" s="36" t="s">
        <v>1</v>
      </c>
      <c r="D3" s="36"/>
      <c r="E3" s="36"/>
      <c r="F3" s="36"/>
      <c r="G3" s="36"/>
      <c r="H3" s="36"/>
      <c r="J3" s="7" t="s">
        <v>2</v>
      </c>
      <c r="K3" s="61">
        <v>45950</v>
      </c>
      <c r="M3" s="66" t="s">
        <v>3</v>
      </c>
      <c r="N3" s="63"/>
      <c r="O3" s="15">
        <f>E41+E22</f>
        <v>0.48749999999999999</v>
      </c>
    </row>
    <row r="4" spans="2:15" ht="15.6" customHeight="1" x14ac:dyDescent="0.3">
      <c r="C4" s="29" t="s">
        <v>4</v>
      </c>
      <c r="D4" s="20" t="s">
        <v>5</v>
      </c>
      <c r="E4" s="21"/>
      <c r="F4" s="30" t="s">
        <v>4</v>
      </c>
      <c r="G4" s="31" t="s">
        <v>6</v>
      </c>
      <c r="H4" s="31"/>
      <c r="J4" s="8" t="s">
        <v>7</v>
      </c>
      <c r="K4" s="8"/>
      <c r="M4" s="66" t="s">
        <v>8</v>
      </c>
      <c r="N4" s="63"/>
      <c r="O4" s="15">
        <f>H41+H22</f>
        <v>0.51249999999999996</v>
      </c>
    </row>
    <row r="5" spans="2:15" ht="15.6" customHeight="1" x14ac:dyDescent="0.3">
      <c r="C5" s="29"/>
      <c r="D5" s="22" t="s">
        <v>9</v>
      </c>
      <c r="E5" s="32" t="s">
        <v>10</v>
      </c>
      <c r="F5" s="30"/>
      <c r="G5" s="22" t="s">
        <v>9</v>
      </c>
      <c r="H5" s="18" t="s">
        <v>10</v>
      </c>
    </row>
    <row r="6" spans="2:15" ht="14.4" customHeight="1" x14ac:dyDescent="0.3">
      <c r="C6" s="44">
        <v>1</v>
      </c>
      <c r="D6" s="55" t="s">
        <v>11</v>
      </c>
      <c r="E6" s="50">
        <v>3</v>
      </c>
      <c r="F6" s="46">
        <v>1</v>
      </c>
      <c r="G6" s="49" t="s">
        <v>12</v>
      </c>
      <c r="H6" s="44">
        <v>2</v>
      </c>
    </row>
    <row r="7" spans="2:15" ht="18.75" customHeight="1" x14ac:dyDescent="0.3">
      <c r="C7" s="45">
        <v>2</v>
      </c>
      <c r="D7" s="56" t="s">
        <v>13</v>
      </c>
      <c r="E7" s="51">
        <v>2</v>
      </c>
      <c r="F7" s="47">
        <v>2</v>
      </c>
      <c r="G7" s="38" t="s">
        <v>14</v>
      </c>
      <c r="H7" s="53">
        <v>2</v>
      </c>
      <c r="J7" s="66" t="s">
        <v>15</v>
      </c>
      <c r="K7" s="63"/>
    </row>
    <row r="8" spans="2:15" ht="14.4" customHeight="1" x14ac:dyDescent="0.3">
      <c r="C8" s="44">
        <v>3</v>
      </c>
      <c r="D8" s="55" t="s">
        <v>16</v>
      </c>
      <c r="E8" s="50">
        <v>3</v>
      </c>
      <c r="F8" s="46">
        <v>3</v>
      </c>
      <c r="G8" s="49" t="s">
        <v>17</v>
      </c>
      <c r="H8" s="44">
        <v>3</v>
      </c>
      <c r="J8" s="62">
        <f t="shared" ref="J8:J21" si="0">E6+H6+E25+H25</f>
        <v>10</v>
      </c>
      <c r="K8" s="63"/>
    </row>
    <row r="9" spans="2:15" ht="14.4" customHeight="1" x14ac:dyDescent="0.3">
      <c r="C9" s="45">
        <v>4</v>
      </c>
      <c r="D9" s="56" t="s">
        <v>18</v>
      </c>
      <c r="E9" s="51">
        <v>3</v>
      </c>
      <c r="F9" s="47">
        <v>4</v>
      </c>
      <c r="G9" s="48" t="s">
        <v>19</v>
      </c>
      <c r="H9" s="53">
        <v>3</v>
      </c>
      <c r="J9" s="62">
        <f t="shared" si="0"/>
        <v>9</v>
      </c>
      <c r="K9" s="63"/>
      <c r="L9" s="64"/>
      <c r="M9" s="65"/>
    </row>
    <row r="10" spans="2:15" ht="14.4" customHeight="1" x14ac:dyDescent="0.3">
      <c r="C10" s="44">
        <v>5</v>
      </c>
      <c r="D10" s="55" t="s">
        <v>20</v>
      </c>
      <c r="E10" s="50">
        <v>1</v>
      </c>
      <c r="F10" s="46">
        <v>5</v>
      </c>
      <c r="G10" s="49" t="s">
        <v>21</v>
      </c>
      <c r="H10" s="44">
        <v>3</v>
      </c>
      <c r="J10" s="62">
        <f t="shared" si="0"/>
        <v>10</v>
      </c>
      <c r="K10" s="63"/>
      <c r="L10" s="64"/>
      <c r="M10" s="65"/>
    </row>
    <row r="11" spans="2:15" ht="18.75" customHeight="1" x14ac:dyDescent="0.3">
      <c r="C11" s="45">
        <v>6</v>
      </c>
      <c r="D11" s="56" t="s">
        <v>22</v>
      </c>
      <c r="E11" s="51">
        <v>2</v>
      </c>
      <c r="F11" s="47">
        <v>6</v>
      </c>
      <c r="G11" s="38" t="s">
        <v>23</v>
      </c>
      <c r="H11" s="53">
        <v>3</v>
      </c>
      <c r="J11" s="62">
        <f t="shared" si="0"/>
        <v>10</v>
      </c>
      <c r="K11" s="63"/>
    </row>
    <row r="12" spans="2:15" ht="18.75" customHeight="1" x14ac:dyDescent="0.3">
      <c r="C12" s="44">
        <v>7</v>
      </c>
      <c r="D12" s="55" t="s">
        <v>24</v>
      </c>
      <c r="E12" s="50">
        <v>2</v>
      </c>
      <c r="F12" s="46">
        <v>7</v>
      </c>
      <c r="G12" s="37" t="s">
        <v>25</v>
      </c>
      <c r="H12" s="44">
        <v>2</v>
      </c>
      <c r="J12" s="62">
        <f t="shared" si="0"/>
        <v>8</v>
      </c>
      <c r="K12" s="63"/>
    </row>
    <row r="13" spans="2:15" ht="18.75" customHeight="1" x14ac:dyDescent="0.3">
      <c r="C13" s="45">
        <v>8</v>
      </c>
      <c r="D13" s="56" t="s">
        <v>26</v>
      </c>
      <c r="E13" s="51">
        <v>3</v>
      </c>
      <c r="F13" s="47">
        <v>8</v>
      </c>
      <c r="G13" s="38" t="s">
        <v>27</v>
      </c>
      <c r="H13" s="53">
        <v>3</v>
      </c>
      <c r="J13" s="62">
        <f t="shared" si="0"/>
        <v>9</v>
      </c>
      <c r="K13" s="63"/>
    </row>
    <row r="14" spans="2:15" ht="18.75" customHeight="1" x14ac:dyDescent="0.3">
      <c r="C14" s="44">
        <v>9</v>
      </c>
      <c r="D14" s="55" t="s">
        <v>28</v>
      </c>
      <c r="E14" s="50">
        <v>3</v>
      </c>
      <c r="F14" s="46">
        <v>9</v>
      </c>
      <c r="G14" s="37"/>
      <c r="H14" s="44"/>
      <c r="J14" s="62">
        <f t="shared" si="0"/>
        <v>9</v>
      </c>
      <c r="K14" s="63"/>
    </row>
    <row r="15" spans="2:15" ht="14.4" customHeight="1" x14ac:dyDescent="0.3">
      <c r="C15" s="45">
        <v>10</v>
      </c>
      <c r="D15" s="56" t="s">
        <v>29</v>
      </c>
      <c r="E15" s="51">
        <v>3</v>
      </c>
      <c r="F15" s="47">
        <v>10</v>
      </c>
      <c r="G15" s="48"/>
      <c r="H15" s="53"/>
      <c r="J15" s="62">
        <f t="shared" si="0"/>
        <v>9</v>
      </c>
      <c r="K15" s="63"/>
    </row>
    <row r="16" spans="2:15" ht="18.75" customHeight="1" x14ac:dyDescent="0.3">
      <c r="C16" s="44">
        <v>11</v>
      </c>
      <c r="D16" s="55"/>
      <c r="E16" s="50"/>
      <c r="F16" s="46">
        <v>11</v>
      </c>
      <c r="G16" s="37"/>
      <c r="H16" s="44"/>
      <c r="J16" s="62">
        <f t="shared" si="0"/>
        <v>3</v>
      </c>
      <c r="K16" s="63"/>
    </row>
    <row r="17" spans="2:13" ht="18.75" customHeight="1" x14ac:dyDescent="0.3">
      <c r="C17" s="45">
        <v>12</v>
      </c>
      <c r="D17" s="56"/>
      <c r="E17" s="51"/>
      <c r="F17" s="47">
        <v>12</v>
      </c>
      <c r="G17" s="38"/>
      <c r="H17" s="53"/>
      <c r="J17" s="62">
        <f t="shared" si="0"/>
        <v>3</v>
      </c>
      <c r="K17" s="63"/>
    </row>
    <row r="18" spans="2:13" ht="18.75" customHeight="1" x14ac:dyDescent="0.3">
      <c r="C18" s="44">
        <v>13</v>
      </c>
      <c r="D18" s="55"/>
      <c r="E18" s="50"/>
      <c r="F18" s="46">
        <v>13</v>
      </c>
      <c r="G18" s="37"/>
      <c r="H18" s="44"/>
      <c r="J18" s="62">
        <f t="shared" si="0"/>
        <v>0</v>
      </c>
      <c r="K18" s="63"/>
    </row>
    <row r="19" spans="2:13" ht="18.75" customHeight="1" x14ac:dyDescent="0.3">
      <c r="C19" s="45">
        <v>14</v>
      </c>
      <c r="D19" s="56"/>
      <c r="E19" s="51"/>
      <c r="F19" s="47">
        <v>14</v>
      </c>
      <c r="G19" s="38"/>
      <c r="H19" s="53"/>
      <c r="J19" s="62">
        <f t="shared" si="0"/>
        <v>0</v>
      </c>
      <c r="K19" s="63"/>
    </row>
    <row r="20" spans="2:13" ht="18.75" customHeight="1" x14ac:dyDescent="0.3">
      <c r="C20" s="44">
        <v>15</v>
      </c>
      <c r="D20" s="55"/>
      <c r="E20" s="50"/>
      <c r="F20" s="46">
        <v>15</v>
      </c>
      <c r="G20" s="37"/>
      <c r="H20" s="44"/>
      <c r="J20" s="62">
        <f t="shared" si="0"/>
        <v>0</v>
      </c>
      <c r="K20" s="63"/>
      <c r="M20" s="9"/>
    </row>
    <row r="21" spans="2:13" ht="14.4" customHeight="1" x14ac:dyDescent="0.3">
      <c r="C21" s="23" t="s">
        <v>30</v>
      </c>
      <c r="D21" s="23"/>
      <c r="E21" s="52">
        <f>SUM(E6:E20)</f>
        <v>25</v>
      </c>
      <c r="F21" s="33" t="s">
        <v>30</v>
      </c>
      <c r="G21" s="23"/>
      <c r="H21" s="54">
        <f>SUM(H6:H20)</f>
        <v>21</v>
      </c>
      <c r="J21" s="62">
        <f t="shared" si="0"/>
        <v>0</v>
      </c>
      <c r="K21" s="63"/>
      <c r="M21" s="9"/>
    </row>
    <row r="22" spans="2:13" ht="15" customHeight="1" thickBot="1" x14ac:dyDescent="0.35">
      <c r="C22" s="24" t="s">
        <v>31</v>
      </c>
      <c r="D22" s="24"/>
      <c r="E22" s="41">
        <f>IF(J22=0, 0, E21/J22)</f>
        <v>0.3125</v>
      </c>
      <c r="F22" s="42" t="s">
        <v>31</v>
      </c>
      <c r="G22" s="24"/>
      <c r="H22" s="19">
        <f>IF(J22=0, 0, H21/J22)</f>
        <v>0.26250000000000001</v>
      </c>
      <c r="J22" s="67">
        <f>SUM(J8:K21)</f>
        <v>80</v>
      </c>
      <c r="K22" s="63"/>
      <c r="M22" s="9"/>
    </row>
    <row r="23" spans="2:13" ht="16.2" customHeight="1" thickTop="1" x14ac:dyDescent="0.3">
      <c r="B23"/>
      <c r="C23" s="43" t="s">
        <v>4</v>
      </c>
      <c r="D23" s="27" t="s">
        <v>32</v>
      </c>
      <c r="E23" s="28"/>
      <c r="F23" s="39" t="s">
        <v>4</v>
      </c>
      <c r="G23" s="26" t="s">
        <v>33</v>
      </c>
      <c r="H23" s="26"/>
      <c r="J23" s="68">
        <f>SUM(E22,H22,E41,H41)</f>
        <v>1</v>
      </c>
      <c r="K23" s="63"/>
    </row>
    <row r="24" spans="2:13" ht="15.6" customHeight="1" x14ac:dyDescent="0.3">
      <c r="C24" s="29"/>
      <c r="D24" s="22" t="s">
        <v>9</v>
      </c>
      <c r="E24" s="32" t="s">
        <v>10</v>
      </c>
      <c r="F24" s="40"/>
      <c r="G24" s="22" t="s">
        <v>9</v>
      </c>
      <c r="H24" s="18" t="s">
        <v>10</v>
      </c>
    </row>
    <row r="25" spans="2:13" ht="28.8" customHeight="1" x14ac:dyDescent="0.3">
      <c r="C25" s="44">
        <v>1</v>
      </c>
      <c r="D25" s="49" t="s">
        <v>34</v>
      </c>
      <c r="E25" s="50">
        <v>3</v>
      </c>
      <c r="F25" s="44">
        <v>1</v>
      </c>
      <c r="G25" s="55" t="s">
        <v>35</v>
      </c>
      <c r="H25" s="12">
        <v>2</v>
      </c>
    </row>
    <row r="26" spans="2:13" ht="18.75" customHeight="1" x14ac:dyDescent="0.3">
      <c r="C26" s="45">
        <v>2</v>
      </c>
      <c r="D26" s="38" t="s">
        <v>36</v>
      </c>
      <c r="E26" s="57">
        <v>2</v>
      </c>
      <c r="F26" s="45">
        <v>2</v>
      </c>
      <c r="G26" s="56" t="s">
        <v>37</v>
      </c>
      <c r="H26" s="17">
        <v>3</v>
      </c>
    </row>
    <row r="27" spans="2:13" ht="18.75" customHeight="1" x14ac:dyDescent="0.3">
      <c r="C27" s="44">
        <v>3</v>
      </c>
      <c r="D27" s="37" t="s">
        <v>38</v>
      </c>
      <c r="E27" s="50">
        <v>2</v>
      </c>
      <c r="F27" s="44">
        <v>3</v>
      </c>
      <c r="G27" s="55" t="s">
        <v>39</v>
      </c>
      <c r="H27" s="12">
        <v>2</v>
      </c>
    </row>
    <row r="28" spans="2:13" ht="28.8" customHeight="1" x14ac:dyDescent="0.3">
      <c r="C28" s="45">
        <v>4</v>
      </c>
      <c r="D28" s="48" t="s">
        <v>40</v>
      </c>
      <c r="E28" s="57">
        <v>2</v>
      </c>
      <c r="F28" s="45">
        <v>4</v>
      </c>
      <c r="G28" s="59" t="s">
        <v>41</v>
      </c>
      <c r="H28" s="17">
        <v>2</v>
      </c>
    </row>
    <row r="29" spans="2:13" ht="28.8" customHeight="1" x14ac:dyDescent="0.3">
      <c r="C29" s="44">
        <v>5</v>
      </c>
      <c r="D29" s="49" t="s">
        <v>42</v>
      </c>
      <c r="E29" s="50">
        <v>2</v>
      </c>
      <c r="F29" s="44">
        <v>5</v>
      </c>
      <c r="G29" s="55" t="s">
        <v>43</v>
      </c>
      <c r="H29" s="12">
        <v>2</v>
      </c>
    </row>
    <row r="30" spans="2:13" ht="18.75" customHeight="1" x14ac:dyDescent="0.3">
      <c r="C30" s="45">
        <v>6</v>
      </c>
      <c r="D30" s="38" t="s">
        <v>44</v>
      </c>
      <c r="E30" s="57">
        <v>1</v>
      </c>
      <c r="F30" s="45">
        <v>6</v>
      </c>
      <c r="G30" s="56" t="s">
        <v>45</v>
      </c>
      <c r="H30" s="17">
        <v>3</v>
      </c>
    </row>
    <row r="31" spans="2:13" ht="18.75" customHeight="1" x14ac:dyDescent="0.3">
      <c r="C31" s="44">
        <v>7</v>
      </c>
      <c r="D31" s="37" t="s">
        <v>46</v>
      </c>
      <c r="E31" s="50">
        <v>2</v>
      </c>
      <c r="F31" s="44">
        <v>7</v>
      </c>
      <c r="G31" s="55" t="s">
        <v>47</v>
      </c>
      <c r="H31" s="12">
        <v>3</v>
      </c>
    </row>
    <row r="32" spans="2:13" ht="18.75" customHeight="1" x14ac:dyDescent="0.3">
      <c r="C32" s="45">
        <v>8</v>
      </c>
      <c r="D32" s="38"/>
      <c r="E32" s="57"/>
      <c r="F32" s="45">
        <v>8</v>
      </c>
      <c r="G32" s="56" t="s">
        <v>48</v>
      </c>
      <c r="H32" s="17">
        <v>3</v>
      </c>
    </row>
    <row r="33" spans="3:8" ht="18.75" customHeight="1" x14ac:dyDescent="0.3">
      <c r="C33" s="44">
        <v>9</v>
      </c>
      <c r="D33" s="37"/>
      <c r="E33" s="50"/>
      <c r="F33" s="44">
        <v>9</v>
      </c>
      <c r="G33" s="55"/>
      <c r="H33" s="12"/>
    </row>
    <row r="34" spans="3:8" ht="18.75" customHeight="1" x14ac:dyDescent="0.3">
      <c r="C34" s="45">
        <v>10</v>
      </c>
      <c r="D34" s="38"/>
      <c r="E34" s="57"/>
      <c r="F34" s="45">
        <v>10</v>
      </c>
      <c r="G34" s="56"/>
      <c r="H34" s="17"/>
    </row>
    <row r="35" spans="3:8" ht="18.75" customHeight="1" x14ac:dyDescent="0.3">
      <c r="C35" s="44">
        <v>11</v>
      </c>
      <c r="D35" s="37"/>
      <c r="E35" s="50"/>
      <c r="F35" s="44">
        <v>11</v>
      </c>
      <c r="G35" s="55"/>
      <c r="H35" s="12"/>
    </row>
    <row r="36" spans="3:8" ht="18.75" customHeight="1" x14ac:dyDescent="0.3">
      <c r="C36" s="45">
        <v>12</v>
      </c>
      <c r="D36" s="38"/>
      <c r="E36" s="57"/>
      <c r="F36" s="45">
        <v>12</v>
      </c>
      <c r="G36" s="56"/>
      <c r="H36" s="17"/>
    </row>
    <row r="37" spans="3:8" ht="18.75" customHeight="1" x14ac:dyDescent="0.3">
      <c r="C37" s="44">
        <v>13</v>
      </c>
      <c r="D37" s="37"/>
      <c r="E37" s="50"/>
      <c r="F37" s="44">
        <v>13</v>
      </c>
      <c r="G37" s="55"/>
      <c r="H37" s="12"/>
    </row>
    <row r="38" spans="3:8" ht="18.75" customHeight="1" x14ac:dyDescent="0.3">
      <c r="C38" s="45">
        <v>14</v>
      </c>
      <c r="D38" s="38"/>
      <c r="E38" s="57"/>
      <c r="F38" s="45">
        <v>14</v>
      </c>
      <c r="G38" s="56"/>
      <c r="H38" s="17"/>
    </row>
    <row r="39" spans="3:8" ht="18.75" customHeight="1" x14ac:dyDescent="0.3">
      <c r="C39" s="44">
        <v>15</v>
      </c>
      <c r="D39" s="37"/>
      <c r="E39" s="50"/>
      <c r="F39" s="44">
        <v>15</v>
      </c>
      <c r="G39" s="55"/>
      <c r="H39" s="12"/>
    </row>
    <row r="40" spans="3:8" ht="14.4" customHeight="1" x14ac:dyDescent="0.3">
      <c r="C40" s="23" t="s">
        <v>30</v>
      </c>
      <c r="D40" s="23"/>
      <c r="E40" s="58">
        <f>SUM(E25:E39)</f>
        <v>14</v>
      </c>
      <c r="F40" s="33" t="s">
        <v>30</v>
      </c>
      <c r="G40" s="23"/>
      <c r="H40" s="13">
        <f>SUM(H25:H39)</f>
        <v>20</v>
      </c>
    </row>
    <row r="41" spans="3:8" ht="14.4" customHeight="1" x14ac:dyDescent="0.3">
      <c r="C41" s="25" t="s">
        <v>31</v>
      </c>
      <c r="D41" s="25"/>
      <c r="E41" s="34">
        <f>IF(J22=0, 0, E40/J22)</f>
        <v>0.17499999999999999</v>
      </c>
      <c r="F41" s="35" t="s">
        <v>31</v>
      </c>
      <c r="G41" s="25"/>
      <c r="H41" s="14">
        <f>IF(J22=0, 0, H40/J22)</f>
        <v>0.25</v>
      </c>
    </row>
    <row r="42" spans="3:8" ht="14.4" customHeight="1" x14ac:dyDescent="0.3"/>
    <row r="43" spans="3:8" ht="16.649999999999999" customHeight="1" x14ac:dyDescent="0.3"/>
    <row r="44" spans="3:8" ht="16.649999999999999" customHeight="1" x14ac:dyDescent="0.3"/>
    <row r="45" spans="3:8" ht="16.649999999999999" customHeight="1" x14ac:dyDescent="0.3"/>
    <row r="46" spans="3:8" ht="16.649999999999999" customHeight="1" x14ac:dyDescent="0.3"/>
    <row r="47" spans="3:8" ht="16.649999999999999" customHeight="1" x14ac:dyDescent="0.3"/>
    <row r="48" spans="3:8" ht="16.649999999999999" customHeight="1" x14ac:dyDescent="0.3"/>
    <row r="49" ht="16.649999999999999" customHeight="1" x14ac:dyDescent="0.3"/>
    <row r="50" ht="16.649999999999999" customHeight="1" x14ac:dyDescent="0.3"/>
    <row r="51" ht="16.649999999999999" customHeight="1" x14ac:dyDescent="0.3"/>
    <row r="52" ht="16.649999999999999" customHeight="1" x14ac:dyDescent="0.3"/>
    <row r="53" ht="16.649999999999999" customHeight="1" x14ac:dyDescent="0.3"/>
    <row r="54" ht="16.649999999999999" customHeight="1" x14ac:dyDescent="0.3"/>
    <row r="55" ht="16.649999999999999" customHeight="1" x14ac:dyDescent="0.3"/>
    <row r="56" ht="16.649999999999999" customHeight="1" x14ac:dyDescent="0.3"/>
    <row r="57" ht="15" hidden="1" customHeight="1" x14ac:dyDescent="0.3"/>
    <row r="58" ht="12.75" hidden="1" customHeight="1" x14ac:dyDescent="0.3"/>
    <row r="59" ht="12.75" hidden="1" customHeight="1" x14ac:dyDescent="0.3"/>
    <row r="60" ht="12.75" hidden="1" customHeight="1" x14ac:dyDescent="0.3"/>
    <row r="61" ht="12.75" hidden="1" customHeight="1" x14ac:dyDescent="0.3"/>
    <row r="62" ht="12.75" hidden="1" customHeight="1" x14ac:dyDescent="0.3"/>
    <row r="63" ht="12.75" hidden="1" customHeight="1" x14ac:dyDescent="0.3"/>
    <row r="64" ht="12.75" hidden="1" customHeight="1" x14ac:dyDescent="0.3"/>
    <row r="65" ht="12.75" hidden="1" customHeight="1" x14ac:dyDescent="0.3"/>
    <row r="66" ht="12.75" hidden="1" customHeight="1" x14ac:dyDescent="0.3"/>
    <row r="67" ht="12.75" hidden="1" customHeight="1" x14ac:dyDescent="0.3"/>
    <row r="68" ht="12.75" hidden="1" customHeight="1" x14ac:dyDescent="0.3"/>
    <row r="69" ht="12.75" hidden="1" customHeight="1" x14ac:dyDescent="0.3"/>
    <row r="70" ht="12.75" hidden="1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  <row r="76" ht="12.75" hidden="1" customHeight="1" x14ac:dyDescent="0.3"/>
    <row r="77" ht="12.75" hidden="1" customHeight="1" x14ac:dyDescent="0.3"/>
    <row r="78" ht="12.75" hidden="1" customHeight="1" x14ac:dyDescent="0.3"/>
    <row r="79" ht="12.75" hidden="1" customHeight="1" x14ac:dyDescent="0.3"/>
    <row r="80" ht="12.75" hidden="1" customHeight="1" x14ac:dyDescent="0.3"/>
    <row r="81" ht="12.75" hidden="1" customHeight="1" x14ac:dyDescent="0.3"/>
    <row r="82" ht="12.75" hidden="1" customHeight="1" x14ac:dyDescent="0.3"/>
    <row r="83" ht="12.75" hidden="1" customHeight="1" x14ac:dyDescent="0.3"/>
    <row r="84" ht="12.75" hidden="1" customHeight="1" x14ac:dyDescent="0.3"/>
    <row r="85" ht="12.75" hidden="1" customHeight="1" x14ac:dyDescent="0.3"/>
    <row r="86" ht="12.75" hidden="1" customHeight="1" x14ac:dyDescent="0.3"/>
    <row r="87" ht="12.75" hidden="1" customHeight="1" x14ac:dyDescent="0.3"/>
    <row r="88" ht="12.75" hidden="1" customHeight="1" x14ac:dyDescent="0.3"/>
    <row r="89" ht="12.75" hidden="1" customHeight="1" x14ac:dyDescent="0.3"/>
    <row r="90" ht="12.75" hidden="1" customHeight="1" x14ac:dyDescent="0.3"/>
    <row r="91" ht="12.75" hidden="1" customHeight="1" x14ac:dyDescent="0.3"/>
    <row r="92" ht="12.75" hidden="1" customHeight="1" x14ac:dyDescent="0.3"/>
    <row r="93" ht="12.75" hidden="1" customHeight="1" x14ac:dyDescent="0.3"/>
    <row r="94" ht="12.75" hidden="1" customHeight="1" x14ac:dyDescent="0.3"/>
    <row r="95" ht="12.75" hidden="1" customHeight="1" x14ac:dyDescent="0.3"/>
    <row r="96" ht="12.75" hidden="1" customHeight="1" x14ac:dyDescent="0.3"/>
  </sheetData>
  <mergeCells count="23">
    <mergeCell ref="C1:D2"/>
    <mergeCell ref="J23:K23"/>
    <mergeCell ref="J8:K8"/>
    <mergeCell ref="M4:N4"/>
    <mergeCell ref="M2:O2"/>
    <mergeCell ref="J17:K17"/>
    <mergeCell ref="M3:N3"/>
    <mergeCell ref="J22:K22"/>
    <mergeCell ref="L9:M9"/>
    <mergeCell ref="J21:K21"/>
    <mergeCell ref="J12:K12"/>
    <mergeCell ref="J18:K18"/>
    <mergeCell ref="J20:K20"/>
    <mergeCell ref="J11:K11"/>
    <mergeCell ref="J16:K16"/>
    <mergeCell ref="L10:M10"/>
    <mergeCell ref="J7:K7"/>
    <mergeCell ref="J14:K14"/>
    <mergeCell ref="J10:K10"/>
    <mergeCell ref="J19:K19"/>
    <mergeCell ref="J13:K13"/>
    <mergeCell ref="J9:K9"/>
    <mergeCell ref="J15:K15"/>
  </mergeCells>
  <pageMargins left="0.7" right="0.7" top="0.75" bottom="0.75" header="0.3" footer="0.3"/>
  <pageSetup orientation="portrait" horizontalDpi="360" verticalDpi="36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FODA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2019-10-23T15:32:11Z</dcterms:created>
  <dcterms:modified xsi:type="dcterms:W3CDTF">2026-09-29T19:59:33Z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