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A1359A14-5B36-49FD-9639-1A6B3643D829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E9" i="2" s="1"/>
  <c r="F2" i="4"/>
  <c r="F2" i="3"/>
  <c r="D1" i="5"/>
  <c r="F1" i="4"/>
  <c r="F1" i="3"/>
  <c r="E7" i="2"/>
  <c r="E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<sst xmlns="http://schemas.openxmlformats.org/spreadsheetml/2006/main" count="139" uniqueCount="59">
  <si>
    <t>Preguntas aprobadas</t>
  </si>
  <si>
    <t>% de apego</t>
  </si>
  <si>
    <t>Auditoria de procedimientos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</si>
  <si>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</si>
  <si>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</si>
  <si>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</si>
  <si>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</si>
  <si>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</si>
  <si>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</si>
  <si>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</si>
  <si>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</si>
  <si>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 xml:space="preserve">¿Se elaboro o actualizo el plan de auditorias en los últimos 6 meses? </t>
  </si>
  <si>
    <t>¿El plan menciona los proyectos que serán auditados?</t>
  </si>
  <si>
    <t>¿El plan menciona los procesos que serán auditados?</t>
  </si>
  <si>
    <t>¿El plan menciona los documentos que serán auditados?</t>
  </si>
  <si>
    <t>¿El plan menciona los recursos necesarios para las auditorias así como las dependencias?</t>
  </si>
  <si>
    <t>¿El plan muestra el calendario de auditores o tienen el enlace a los calendarios?</t>
  </si>
  <si>
    <t>¿El plan es claro con el escalamiento de no conformidades?</t>
  </si>
  <si>
    <t>¿El plan fue aprobado por el director general?</t>
  </si>
  <si>
    <t xml:space="preserve">¿Se envía por correo electrónico una notificación de una auditoria al personal que será auditado? </t>
  </si>
  <si>
    <t xml:space="preserve">¿Se obtiene acceso al repositorio de las áreas que serán auditadas con al menos 2 días de anticipación? </t>
  </si>
  <si>
    <t>¿Se utilizan plantillas de checklist para auditar los proyectos y para las áreas organizacionales?</t>
  </si>
  <si>
    <t>¿Estos checklist auditan tanto procesos como documentos (documentos únicamente ubicados dentro del repositorio)?</t>
  </si>
  <si>
    <t>¿Se tienen almacenados los resultados de las auditorías de acuerdo a lo establecido por la organización?</t>
  </si>
  <si>
    <t>¿las auditorias con no conformidades están registradas dentro del documento Hallazgos de auditoría?</t>
  </si>
  <si>
    <t>¿Se realizaron segundas auditorías de acuerdo a los criterios de fechas para realizar la segunda vuelta?</t>
  </si>
  <si>
    <t>¿Se tiene registro de los escalamientos realizados por no conformidades?</t>
  </si>
  <si>
    <t>¿Se cuenta con análisis de tendencias?</t>
  </si>
  <si>
    <t>¿Se presentan informes a dirección de las auditorías?</t>
  </si>
  <si>
    <t>¿Se llenan solicitudes de mejora registrando las potenciales mejoras observadas en las auditorías?</t>
  </si>
  <si>
    <t>Alcance a nivel organizacional</t>
  </si>
  <si>
    <t>Historial de versiones</t>
  </si>
  <si>
    <t>Fecha</t>
  </si>
  <si>
    <t>Versión</t>
  </si>
  <si>
    <t>Descripción</t>
  </si>
  <si>
    <t>Autor</t>
  </si>
  <si>
    <t>27/07/2026</t>
  </si>
  <si>
    <t>Carlos Quintero N.</t>
  </si>
  <si>
    <t>Si se tiene un sistema de gestión de versiones eliminar esta hoja.</t>
  </si>
  <si>
    <t>Datos generales</t>
  </si>
  <si>
    <t>Responsable de área:</t>
  </si>
  <si>
    <t>Gerente de desarrollo</t>
  </si>
  <si>
    <t>Historial de escalamiento</t>
  </si>
  <si>
    <t xml:space="preserve">Resumen general </t>
  </si>
  <si>
    <t>#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</si>
  <si>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</si>
  <si>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</si>
  <si>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</si>
  <si>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</si>
  <si>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</si>
  <si>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</si>
  <si>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Primera auditoría del ciclo; hallazgos menores, sin no conformidades críticas.</t>
  </si>
  <si>
    <t>Auditoría 2</t>
  </si>
  <si>
    <t>Auditoría 3</t>
  </si>
  <si>
    <t>X</t>
  </si>
  <si>
    <t>El plan no menciona explícitamente los proyectos que serán auditados; solo procedimientos y documentos.</t>
  </si>
  <si>
    <t>No hay evidencia de aprobación formal del plan por parte del director general.</t>
  </si>
  <si>
    <t>Generacion del documento</t>
  </si>
  <si>
    <t>Sin historial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</si>
</sst>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10" fillId="2" borderId="0" xfId="0" applyFont="1" applyFill="1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0" fillId="0" borderId="10" xfId="0" applyBorder="1"/>
    <xf numFmtId="0" fontId="1" fillId="3" borderId="1" xfId="0" applyFont="1" applyFill="1" applyBorder="1" applyAlignment="1">
      <alignment horizontal="center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/>
    </xf>
    <xf numFmtId="14" fontId="3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3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workbookViewId="0">
      <selection activeCell="A3" sqref="A3:B3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5" width="11.44140625" style="3" customWidth="1"/>
    <col min="6" max="16384" width="11.44140625" style="3"/>
  </cols>
  <sheetData>
    <row r="1" spans="1:4" ht="14.4" customHeight="1" x14ac:dyDescent="0.3">
      <c r="A1" s="45" t="e" vm="1">
        <v>#VALUE!</v>
      </c>
      <c r="B1" s="42"/>
    </row>
    <row r="2" spans="1:4" ht="55.5" customHeight="1" x14ac:dyDescent="0.3">
      <c r="A2" s="43"/>
      <c r="B2" s="44"/>
    </row>
    <row r="3" spans="1:4" ht="30.75" customHeight="1" x14ac:dyDescent="0.3">
      <c r="A3" s="46" t="s">
        <v>30</v>
      </c>
      <c r="B3" s="47"/>
    </row>
    <row r="4" spans="1:4" ht="15.75" customHeight="1" x14ac:dyDescent="0.3"/>
    <row r="5" spans="1:4" ht="14.4" customHeight="1" x14ac:dyDescent="0.3"/>
    <row r="6" spans="1:4" ht="18" customHeight="1" x14ac:dyDescent="0.35">
      <c r="A6" s="49" t="s">
        <v>31</v>
      </c>
      <c r="B6" s="47"/>
      <c r="C6" s="47"/>
      <c r="D6" s="47"/>
    </row>
    <row r="7" spans="1:4" ht="14.4" customHeight="1" x14ac:dyDescent="0.3"/>
    <row r="8" spans="1:4" ht="18" customHeight="1" x14ac:dyDescent="0.3">
      <c r="A8" s="30" t="s">
        <v>32</v>
      </c>
      <c r="B8" s="30" t="s">
        <v>33</v>
      </c>
      <c r="C8" s="30" t="s">
        <v>34</v>
      </c>
      <c r="D8" s="30" t="s">
        <v>35</v>
      </c>
    </row>
    <row r="9" spans="1:4" ht="32.25" customHeight="1" x14ac:dyDescent="0.3">
      <c r="A9" s="56">
        <v>46230</v>
      </c>
      <c r="B9" s="31">
        <v>1</v>
      </c>
      <c r="C9" s="31" t="s">
        <v>57</v>
      </c>
      <c r="D9" s="31" t="s">
        <v>50</v>
      </c>
    </row>
    <row r="10" spans="1:4" ht="32.25" customHeight="1" x14ac:dyDescent="0.3">
      <c r="A10" s="31"/>
      <c r="B10" s="31"/>
      <c r="C10" s="32"/>
      <c r="D10" s="31"/>
    </row>
    <row r="11" spans="1:4" ht="32.25" customHeight="1" x14ac:dyDescent="0.3">
      <c r="A11" s="31"/>
      <c r="B11" s="31"/>
      <c r="C11" s="32"/>
      <c r="D11" s="31"/>
    </row>
    <row r="12" spans="1:4" ht="32.25" customHeight="1" x14ac:dyDescent="0.3"/>
    <row r="13" spans="1:4" ht="15.6" customHeight="1" x14ac:dyDescent="0.3">
      <c r="A13" s="48" t="s">
        <v>38</v>
      </c>
      <c r="B13" s="47"/>
      <c r="C13" s="47"/>
      <c r="D13" s="47"/>
    </row>
  </sheetData>
  <mergeCells count="4">
    <mergeCell ref="A1:B2"/>
    <mergeCell ref="A3:B3"/>
    <mergeCell ref="A13:D13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zoomScale="85" zoomScaleNormal="85" workbookViewId="0">
      <selection activeCell="B3" sqref="B3:C3"/>
    </sheetView>
  </sheetViews>
  <sheetFormatPr baseColWidth="10" defaultRowHeight="14.4" x14ac:dyDescent="0.3"/>
  <cols>
    <col min="1" max="1" width="17.6640625" bestFit="1" customWidth="1"/>
    <col min="2" max="2" width="17.6640625" customWidth="1"/>
    <col min="3" max="3" width="24.109375" bestFit="1" customWidth="1"/>
    <col min="4" max="4" width="19.44140625" bestFit="1" customWidth="1"/>
    <col min="5" max="5" width="11.6640625" customWidth="1"/>
    <col min="6" max="6" width="43.33203125" customWidth="1"/>
    <col min="9" max="9" width="14" customWidth="1"/>
    <col min="10" max="10" width="13.88671875" customWidth="1"/>
    <col min="11" max="11" width="12.6640625" customWidth="1"/>
  </cols>
  <sheetData>
    <row r="1" spans="1:6" x14ac:dyDescent="0.3">
      <c r="A1" s="50" t="s">
        <v>39</v>
      </c>
      <c r="B1" s="40"/>
      <c r="C1" s="34"/>
    </row>
    <row r="2" spans="1:6" ht="27.6" customHeight="1" x14ac:dyDescent="0.3">
      <c r="A2" s="28" t="s">
        <v>40</v>
      </c>
      <c r="B2" s="59" t="s">
        <v>37</v>
      </c>
      <c r="C2" s="60"/>
    </row>
    <row r="3" spans="1:6" ht="51.6" customHeight="1" x14ac:dyDescent="0.3">
      <c r="A3" s="28" t="s">
        <v>42</v>
      </c>
      <c r="B3" s="51" t="s">
        <v>58</v>
      </c>
      <c r="C3" s="34"/>
    </row>
    <row r="4" spans="1:6" ht="27.6" customHeight="1" x14ac:dyDescent="0.3">
      <c r="A4" s="27"/>
      <c r="B4" s="26"/>
      <c r="C4" s="26"/>
      <c r="D4" s="15"/>
      <c r="E4" s="15"/>
    </row>
    <row r="5" spans="1:6" x14ac:dyDescent="0.3">
      <c r="A5" s="52" t="s">
        <v>43</v>
      </c>
      <c r="B5" s="36"/>
      <c r="C5" s="36"/>
      <c r="D5" s="36"/>
      <c r="E5" s="36"/>
      <c r="F5" s="36"/>
    </row>
    <row r="6" spans="1:6" ht="27.6" customHeight="1" x14ac:dyDescent="0.3">
      <c r="A6" s="22" t="s">
        <v>44</v>
      </c>
      <c r="B6" s="22" t="s">
        <v>45</v>
      </c>
      <c r="C6" s="22" t="s">
        <v>46</v>
      </c>
      <c r="D6" s="23" t="s">
        <v>47</v>
      </c>
      <c r="E6" s="22" t="s">
        <v>48</v>
      </c>
      <c r="F6" s="23" t="s">
        <v>6</v>
      </c>
    </row>
    <row r="7" spans="1:6" ht="38.4" customHeight="1" x14ac:dyDescent="0.3">
      <c r="A7" s="29" t="s">
        <v>49</v>
      </c>
      <c r="B7" s="57" t="s">
        <v>36</v>
      </c>
      <c r="C7" s="57" t="s">
        <v>50</v>
      </c>
      <c r="D7" s="2" t="s">
        <v>41</v>
      </c>
      <c r="E7" s="25">
        <f>'2.-Auditoría 1'!F2</f>
        <v>0.89473684210526316</v>
      </c>
      <c r="F7" s="58" t="s">
        <v>51</v>
      </c>
    </row>
    <row r="8" spans="1:6" ht="14.4" customHeight="1" x14ac:dyDescent="0.3">
      <c r="A8" s="29" t="s">
        <v>52</v>
      </c>
      <c r="B8" s="24"/>
      <c r="C8" s="24"/>
      <c r="D8" s="1"/>
      <c r="E8" s="25" t="str">
        <f>'3.-Auditoría 2'!F2</f>
        <v/>
      </c>
      <c r="F8" s="13"/>
    </row>
    <row r="9" spans="1:6" ht="14.4" customHeight="1" x14ac:dyDescent="0.3">
      <c r="A9" s="29" t="s">
        <v>53</v>
      </c>
      <c r="B9" s="24"/>
      <c r="C9" s="24"/>
      <c r="D9" s="1"/>
      <c r="E9" s="25" t="str">
        <f>'4.-Auditoría 3'!D2</f>
        <v/>
      </c>
      <c r="F9" s="13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5"/>
  <sheetViews>
    <sheetView showGridLines="0" tabSelected="1" zoomScale="85" zoomScaleNormal="85" workbookViewId="0"/>
  </sheetViews>
  <sheetFormatPr baseColWidth="10" defaultColWidth="11.44140625" defaultRowHeight="14.4" x14ac:dyDescent="0.3"/>
  <cols>
    <col min="1" max="1" width="13.44140625" customWidth="1"/>
    <col min="2" max="2" width="71.88671875" customWidth="1"/>
    <col min="3" max="3" width="10.33203125" customWidth="1"/>
    <col min="4" max="4" width="11.109375" customWidth="1"/>
    <col min="5" max="5" width="11.6640625" customWidth="1"/>
    <col min="6" max="6" width="49.33203125" customWidth="1"/>
    <col min="9" max="9" width="6.33203125" customWidth="1"/>
    <col min="10" max="10" width="42" customWidth="1"/>
    <col min="11" max="11" width="13" customWidth="1"/>
    <col min="13" max="13" width="13.5546875" customWidth="1"/>
    <col min="14" max="14" width="76" customWidth="1"/>
  </cols>
  <sheetData>
    <row r="1" spans="1:6" ht="15.6" customHeight="1" x14ac:dyDescent="0.3">
      <c r="A1" s="20"/>
      <c r="B1" s="19"/>
      <c r="E1" s="8" t="s">
        <v>0</v>
      </c>
      <c r="F1" s="4">
        <f>COUNTA(C7:C25)+COUNTA(D7:D25)+COUNTA(E7:E25)</f>
        <v>19</v>
      </c>
    </row>
    <row r="2" spans="1:6" ht="15.6" customHeight="1" x14ac:dyDescent="0.3">
      <c r="A2" s="20"/>
      <c r="B2" s="19"/>
      <c r="E2" s="8" t="s">
        <v>1</v>
      </c>
      <c r="F2" s="9">
        <f>IF(((IFERROR(COUNTA(C7:C25)+COUNTA(E7:E25)/F1,0)))=0,"",(COUNTA(C7:C25)+COUNTA(E7:E25))/F1)</f>
        <v>0.89473684210526316</v>
      </c>
    </row>
    <row r="3" spans="1:6" x14ac:dyDescent="0.3">
      <c r="A3" s="21"/>
      <c r="B3" s="19"/>
    </row>
    <row r="4" spans="1:6" ht="18" customHeight="1" x14ac:dyDescent="0.35">
      <c r="A4" s="53" t="s">
        <v>2</v>
      </c>
      <c r="B4" s="54"/>
      <c r="C4" s="54"/>
      <c r="D4" s="54"/>
      <c r="E4" s="54"/>
      <c r="F4" s="54"/>
    </row>
    <row r="5" spans="1:6" ht="15.75" customHeight="1" x14ac:dyDescent="0.3">
      <c r="A5" s="37" t="s">
        <v>3</v>
      </c>
      <c r="B5" s="11" t="s">
        <v>4</v>
      </c>
      <c r="C5" s="39" t="s">
        <v>5</v>
      </c>
      <c r="D5" s="40"/>
      <c r="E5" s="34"/>
      <c r="F5" s="41" t="s">
        <v>6</v>
      </c>
    </row>
    <row r="6" spans="1:6" ht="15.6" customHeight="1" x14ac:dyDescent="0.3">
      <c r="A6" s="38"/>
      <c r="B6" s="11" t="s">
        <v>7</v>
      </c>
      <c r="C6" s="12" t="s">
        <v>8</v>
      </c>
      <c r="D6" s="12" t="s">
        <v>9</v>
      </c>
      <c r="E6" s="12" t="s">
        <v>10</v>
      </c>
      <c r="F6" s="38"/>
    </row>
    <row r="7" spans="1:6" ht="16.95" customHeight="1" x14ac:dyDescent="0.3">
      <c r="A7" s="2">
        <v>1</v>
      </c>
      <c r="B7" s="5" t="s">
        <v>11</v>
      </c>
      <c r="C7" s="2" t="s">
        <v>54</v>
      </c>
      <c r="D7" s="2"/>
      <c r="E7" s="2"/>
      <c r="F7" s="1"/>
    </row>
    <row r="8" spans="1:6" ht="28.8" x14ac:dyDescent="0.3">
      <c r="A8" s="2">
        <v>2</v>
      </c>
      <c r="B8" s="6" t="s">
        <v>12</v>
      </c>
      <c r="C8" s="2"/>
      <c r="D8" s="2" t="s">
        <v>54</v>
      </c>
      <c r="E8" s="2"/>
      <c r="F8" s="10" t="s">
        <v>55</v>
      </c>
    </row>
    <row r="9" spans="1:6" ht="15.6" customHeight="1" x14ac:dyDescent="0.3">
      <c r="A9" s="2">
        <v>3</v>
      </c>
      <c r="B9" s="6" t="s">
        <v>13</v>
      </c>
      <c r="C9" s="2" t="s">
        <v>54</v>
      </c>
      <c r="D9" s="2"/>
      <c r="E9" s="2"/>
      <c r="F9" s="1"/>
    </row>
    <row r="10" spans="1:6" x14ac:dyDescent="0.3">
      <c r="A10" s="2">
        <v>4</v>
      </c>
      <c r="B10" s="6" t="s">
        <v>14</v>
      </c>
      <c r="C10" s="2" t="s">
        <v>54</v>
      </c>
      <c r="D10" s="2"/>
      <c r="E10" s="2"/>
      <c r="F10" s="1"/>
    </row>
    <row r="11" spans="1:6" ht="16.2" customHeight="1" x14ac:dyDescent="0.3">
      <c r="A11" s="2">
        <v>5</v>
      </c>
      <c r="B11" s="6" t="s">
        <v>15</v>
      </c>
      <c r="C11" s="14" t="s">
        <v>54</v>
      </c>
      <c r="D11" s="2"/>
      <c r="E11" s="2"/>
      <c r="F11" s="1"/>
    </row>
    <row r="12" spans="1:6" ht="18" customHeight="1" x14ac:dyDescent="0.3">
      <c r="A12" s="2">
        <v>6</v>
      </c>
      <c r="B12" s="6" t="s">
        <v>16</v>
      </c>
      <c r="C12" s="2" t="s">
        <v>54</v>
      </c>
      <c r="D12" s="2"/>
      <c r="E12" s="2"/>
      <c r="F12" s="1"/>
    </row>
    <row r="13" spans="1:6" ht="16.2" customHeight="1" x14ac:dyDescent="0.3">
      <c r="A13" s="2">
        <v>7</v>
      </c>
      <c r="B13" s="7" t="s">
        <v>17</v>
      </c>
      <c r="C13" s="2" t="s">
        <v>54</v>
      </c>
      <c r="D13" s="2"/>
      <c r="E13" s="2"/>
      <c r="F13" s="1"/>
    </row>
    <row r="14" spans="1:6" ht="28.2" customHeight="1" x14ac:dyDescent="0.3">
      <c r="A14" s="2">
        <v>8</v>
      </c>
      <c r="B14" s="6" t="s">
        <v>18</v>
      </c>
      <c r="C14" s="2"/>
      <c r="D14" s="2" t="s">
        <v>54</v>
      </c>
      <c r="E14" s="2"/>
      <c r="F14" s="13" t="s">
        <v>56</v>
      </c>
    </row>
    <row r="15" spans="1:6" ht="16.2" customHeight="1" x14ac:dyDescent="0.3">
      <c r="A15" s="2">
        <v>9</v>
      </c>
      <c r="B15" s="5" t="s">
        <v>19</v>
      </c>
      <c r="C15" s="2"/>
      <c r="D15" s="2"/>
      <c r="E15" s="2" t="s">
        <v>54</v>
      </c>
      <c r="F15" s="1"/>
    </row>
    <row r="16" spans="1:6" ht="28.95" customHeight="1" x14ac:dyDescent="0.3">
      <c r="A16" s="2">
        <v>10</v>
      </c>
      <c r="B16" s="6" t="s">
        <v>20</v>
      </c>
      <c r="C16" s="2"/>
      <c r="D16" s="2"/>
      <c r="E16" s="2" t="s">
        <v>54</v>
      </c>
      <c r="F16" s="1"/>
    </row>
    <row r="17" spans="1:6" ht="16.95" customHeight="1" x14ac:dyDescent="0.3">
      <c r="A17" s="2">
        <v>11</v>
      </c>
      <c r="B17" s="6" t="s">
        <v>21</v>
      </c>
      <c r="C17" s="2" t="s">
        <v>54</v>
      </c>
      <c r="D17" s="2"/>
      <c r="E17" s="2"/>
      <c r="F17" s="1"/>
    </row>
    <row r="18" spans="1:6" ht="28.95" customHeight="1" x14ac:dyDescent="0.3">
      <c r="A18" s="2">
        <v>12</v>
      </c>
      <c r="B18" s="6" t="s">
        <v>22</v>
      </c>
      <c r="C18" s="2" t="s">
        <v>54</v>
      </c>
      <c r="D18" s="2"/>
      <c r="E18" s="2"/>
      <c r="F18" s="1"/>
    </row>
    <row r="19" spans="1:6" ht="28.95" customHeight="1" x14ac:dyDescent="0.3">
      <c r="A19" s="2">
        <v>13</v>
      </c>
      <c r="B19" s="6" t="s">
        <v>23</v>
      </c>
      <c r="C19" s="2" t="s">
        <v>54</v>
      </c>
      <c r="D19" s="2"/>
      <c r="E19" s="2"/>
      <c r="F19" s="13"/>
    </row>
    <row r="20" spans="1:6" ht="27" customHeight="1" x14ac:dyDescent="0.3">
      <c r="A20" s="2">
        <v>14</v>
      </c>
      <c r="B20" s="7" t="s">
        <v>24</v>
      </c>
      <c r="C20" s="2"/>
      <c r="D20" s="2"/>
      <c r="E20" s="2" t="s">
        <v>54</v>
      </c>
      <c r="F20" s="1"/>
    </row>
    <row r="21" spans="1:6" ht="25.95" customHeight="1" x14ac:dyDescent="0.3">
      <c r="A21" s="2">
        <v>15</v>
      </c>
      <c r="B21" s="7" t="s">
        <v>25</v>
      </c>
      <c r="C21" s="2"/>
      <c r="D21" s="2"/>
      <c r="E21" s="2" t="s">
        <v>54</v>
      </c>
      <c r="F21" s="1"/>
    </row>
    <row r="22" spans="1:6" x14ac:dyDescent="0.3">
      <c r="A22" s="2">
        <v>16</v>
      </c>
      <c r="B22" s="6" t="s">
        <v>26</v>
      </c>
      <c r="C22" s="2"/>
      <c r="D22" s="2"/>
      <c r="E22" s="2" t="s">
        <v>54</v>
      </c>
      <c r="F22" s="1"/>
    </row>
    <row r="23" spans="1:6" x14ac:dyDescent="0.3">
      <c r="A23" s="2">
        <v>17</v>
      </c>
      <c r="B23" s="7" t="s">
        <v>27</v>
      </c>
      <c r="C23" s="2"/>
      <c r="D23" s="2"/>
      <c r="E23" s="2" t="s">
        <v>54</v>
      </c>
      <c r="F23" s="1"/>
    </row>
    <row r="24" spans="1:6" ht="15.6" customHeight="1" x14ac:dyDescent="0.3">
      <c r="A24" s="2">
        <v>18</v>
      </c>
      <c r="B24" s="7" t="s">
        <v>28</v>
      </c>
      <c r="C24" s="2"/>
      <c r="D24" s="2"/>
      <c r="E24" s="2" t="s">
        <v>54</v>
      </c>
      <c r="F24" s="13"/>
    </row>
    <row r="25" spans="1:6" ht="28.95" customHeight="1" x14ac:dyDescent="0.3">
      <c r="A25" s="2">
        <v>19</v>
      </c>
      <c r="B25" s="7" t="s">
        <v>29</v>
      </c>
      <c r="C25" s="2"/>
      <c r="D25" s="2"/>
      <c r="E25" s="2" t="s">
        <v>54</v>
      </c>
      <c r="F25" s="13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78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5"/>
  <sheetViews>
    <sheetView showGridLines="0" zoomScale="115" zoomScaleNormal="115" workbookViewId="0"/>
  </sheetViews>
  <sheetFormatPr baseColWidth="10" defaultColWidth="11.44140625" defaultRowHeight="14.4" x14ac:dyDescent="0.3"/>
  <cols>
    <col min="2" max="2" width="64" customWidth="1"/>
    <col min="3" max="3" width="12.33203125" customWidth="1"/>
    <col min="4" max="4" width="9.33203125" customWidth="1"/>
    <col min="5" max="5" width="13.88671875" customWidth="1"/>
    <col min="6" max="6" width="15" customWidth="1"/>
    <col min="9" max="9" width="7.6640625" customWidth="1"/>
    <col min="10" max="10" width="49.6640625" customWidth="1"/>
    <col min="14" max="14" width="50.44140625" customWidth="1"/>
  </cols>
  <sheetData>
    <row r="1" spans="1:7" ht="15.6" customHeight="1" x14ac:dyDescent="0.3">
      <c r="E1" s="8" t="s">
        <v>0</v>
      </c>
      <c r="F1" s="4">
        <f>COUNTA(C7:C25)+COUNTA(D7:D25)+COUNTA(E7:E25)</f>
        <v>0</v>
      </c>
    </row>
    <row r="2" spans="1:7" ht="15.6" customHeight="1" x14ac:dyDescent="0.3">
      <c r="E2" s="8" t="s">
        <v>1</v>
      </c>
      <c r="F2" s="9" t="str">
        <f>IF(((IFERROR(COUNTA(C7:C25)+COUNTA(E7:E25)/F1,0)))=0,"",(COUNTA(C7:C25)+COUNTA(E7:E25))/F1)</f>
        <v/>
      </c>
    </row>
    <row r="4" spans="1:7" ht="18" customHeight="1" x14ac:dyDescent="0.35">
      <c r="A4" s="35" t="s">
        <v>2</v>
      </c>
      <c r="B4" s="36"/>
      <c r="C4" s="36"/>
      <c r="D4" s="36"/>
      <c r="E4" s="36"/>
      <c r="F4" s="36"/>
      <c r="G4" s="36"/>
    </row>
    <row r="5" spans="1:7" ht="15.75" customHeight="1" x14ac:dyDescent="0.3">
      <c r="A5" s="37" t="s">
        <v>3</v>
      </c>
      <c r="B5" s="11" t="s">
        <v>4</v>
      </c>
      <c r="C5" s="39" t="s">
        <v>5</v>
      </c>
      <c r="D5" s="40"/>
      <c r="E5" s="34"/>
      <c r="F5" s="41" t="s">
        <v>6</v>
      </c>
      <c r="G5" s="42"/>
    </row>
    <row r="6" spans="1:7" ht="15.6" customHeight="1" x14ac:dyDescent="0.3">
      <c r="A6" s="38"/>
      <c r="B6" s="11" t="s">
        <v>7</v>
      </c>
      <c r="C6" s="12" t="s">
        <v>8</v>
      </c>
      <c r="D6" s="12" t="s">
        <v>9</v>
      </c>
      <c r="E6" s="12" t="s">
        <v>10</v>
      </c>
      <c r="F6" s="43"/>
      <c r="G6" s="44"/>
    </row>
    <row r="7" spans="1:7" ht="15" customHeight="1" x14ac:dyDescent="0.3">
      <c r="A7" s="2">
        <v>1</v>
      </c>
      <c r="B7" s="5" t="s">
        <v>11</v>
      </c>
      <c r="C7" s="2"/>
      <c r="D7" s="2"/>
      <c r="E7" s="2"/>
      <c r="F7" s="55"/>
      <c r="G7" s="34"/>
    </row>
    <row r="8" spans="1:7" ht="17.399999999999999" customHeight="1" x14ac:dyDescent="0.3">
      <c r="A8" s="2">
        <v>2</v>
      </c>
      <c r="B8" s="6" t="s">
        <v>12</v>
      </c>
      <c r="C8" s="2"/>
      <c r="D8" s="2"/>
      <c r="E8" s="2"/>
      <c r="F8" s="55"/>
      <c r="G8" s="34"/>
    </row>
    <row r="9" spans="1:7" ht="15.6" customHeight="1" x14ac:dyDescent="0.3">
      <c r="A9" s="2">
        <v>3</v>
      </c>
      <c r="B9" s="6" t="s">
        <v>13</v>
      </c>
      <c r="C9" s="2"/>
      <c r="D9" s="2"/>
      <c r="E9" s="2"/>
      <c r="F9" s="55"/>
      <c r="G9" s="34"/>
    </row>
    <row r="10" spans="1:7" ht="12.6" customHeight="1" x14ac:dyDescent="0.3">
      <c r="A10" s="2">
        <v>4</v>
      </c>
      <c r="B10" s="6" t="s">
        <v>14</v>
      </c>
      <c r="C10" s="2"/>
      <c r="D10" s="2"/>
      <c r="E10" s="2"/>
      <c r="F10" s="55"/>
      <c r="G10" s="34"/>
    </row>
    <row r="11" spans="1:7" ht="28.95" customHeight="1" x14ac:dyDescent="0.3">
      <c r="A11" s="2">
        <v>5</v>
      </c>
      <c r="B11" s="6" t="s">
        <v>15</v>
      </c>
      <c r="C11" s="14"/>
      <c r="D11" s="2"/>
      <c r="E11" s="2"/>
      <c r="F11" s="55"/>
      <c r="G11" s="34"/>
    </row>
    <row r="12" spans="1:7" ht="14.4" customHeight="1" x14ac:dyDescent="0.3">
      <c r="A12" s="2">
        <v>6</v>
      </c>
      <c r="B12" s="6" t="s">
        <v>16</v>
      </c>
      <c r="C12" s="2"/>
      <c r="D12" s="2"/>
      <c r="E12" s="2"/>
      <c r="F12" s="55"/>
      <c r="G12" s="34"/>
    </row>
    <row r="13" spans="1:7" ht="13.8" customHeight="1" x14ac:dyDescent="0.3">
      <c r="A13" s="2">
        <v>7</v>
      </c>
      <c r="B13" s="7" t="s">
        <v>17</v>
      </c>
      <c r="C13" s="2"/>
      <c r="D13" s="2"/>
      <c r="E13" s="2"/>
      <c r="F13" s="55"/>
      <c r="G13" s="34"/>
    </row>
    <row r="14" spans="1:7" ht="14.4" customHeight="1" x14ac:dyDescent="0.3">
      <c r="A14" s="2">
        <v>8</v>
      </c>
      <c r="B14" s="6" t="s">
        <v>18</v>
      </c>
      <c r="C14" s="2"/>
      <c r="D14" s="2"/>
      <c r="E14" s="2"/>
      <c r="F14" s="55"/>
      <c r="G14" s="34"/>
    </row>
    <row r="15" spans="1:7" ht="15.75" customHeight="1" x14ac:dyDescent="0.3">
      <c r="A15" s="2">
        <v>9</v>
      </c>
      <c r="B15" s="5" t="s">
        <v>19</v>
      </c>
      <c r="C15" s="2"/>
      <c r="D15" s="2"/>
      <c r="E15" s="2"/>
      <c r="F15" s="55"/>
      <c r="G15" s="34"/>
    </row>
    <row r="16" spans="1:7" ht="30" customHeight="1" x14ac:dyDescent="0.3">
      <c r="A16" s="2">
        <v>10</v>
      </c>
      <c r="B16" s="6" t="s">
        <v>20</v>
      </c>
      <c r="C16" s="2"/>
      <c r="D16" s="2"/>
      <c r="E16" s="2"/>
      <c r="F16" s="55"/>
      <c r="G16" s="34"/>
    </row>
    <row r="17" spans="1:7" ht="25.95" customHeight="1" x14ac:dyDescent="0.3">
      <c r="A17" s="2">
        <v>11</v>
      </c>
      <c r="B17" s="6" t="s">
        <v>21</v>
      </c>
      <c r="C17" s="2"/>
      <c r="D17" s="2"/>
      <c r="E17" s="2"/>
      <c r="F17" s="55"/>
      <c r="G17" s="34"/>
    </row>
    <row r="18" spans="1:7" ht="25.95" customHeight="1" x14ac:dyDescent="0.3">
      <c r="A18" s="2">
        <v>12</v>
      </c>
      <c r="B18" s="6" t="s">
        <v>22</v>
      </c>
      <c r="C18" s="2"/>
      <c r="D18" s="2"/>
      <c r="E18" s="2"/>
      <c r="F18" s="55"/>
      <c r="G18" s="34"/>
    </row>
    <row r="19" spans="1:7" ht="27.6" customHeight="1" x14ac:dyDescent="0.3">
      <c r="A19" s="2">
        <v>13</v>
      </c>
      <c r="B19" s="6" t="s">
        <v>23</v>
      </c>
      <c r="C19" s="2"/>
      <c r="D19" s="2"/>
      <c r="E19" s="2"/>
      <c r="F19" s="55"/>
      <c r="G19" s="34"/>
    </row>
    <row r="20" spans="1:7" ht="15.75" customHeight="1" x14ac:dyDescent="0.3">
      <c r="A20" s="2">
        <v>14</v>
      </c>
      <c r="B20" s="7" t="s">
        <v>24</v>
      </c>
      <c r="C20" s="2"/>
      <c r="D20" s="2"/>
      <c r="E20" s="2"/>
      <c r="F20" s="55"/>
      <c r="G20" s="34"/>
    </row>
    <row r="21" spans="1:7" ht="25.95" customHeight="1" x14ac:dyDescent="0.3">
      <c r="A21" s="2">
        <v>15</v>
      </c>
      <c r="B21" s="7" t="s">
        <v>25</v>
      </c>
      <c r="C21" s="2"/>
      <c r="D21" s="2"/>
      <c r="E21" s="2"/>
      <c r="F21" s="55"/>
      <c r="G21" s="34"/>
    </row>
    <row r="22" spans="1:7" ht="14.4" customHeight="1" x14ac:dyDescent="0.3">
      <c r="A22" s="2">
        <v>16</v>
      </c>
      <c r="B22" s="6" t="s">
        <v>26</v>
      </c>
      <c r="C22" s="2"/>
      <c r="D22" s="2"/>
      <c r="E22" s="2"/>
      <c r="F22" s="55"/>
      <c r="G22" s="34"/>
    </row>
    <row r="23" spans="1:7" x14ac:dyDescent="0.3">
      <c r="A23" s="2">
        <v>17</v>
      </c>
      <c r="B23" s="7" t="s">
        <v>27</v>
      </c>
      <c r="C23" s="2"/>
      <c r="D23" s="2"/>
      <c r="E23" s="2"/>
      <c r="F23" s="55"/>
      <c r="G23" s="34"/>
    </row>
    <row r="24" spans="1:7" x14ac:dyDescent="0.3">
      <c r="A24" s="2">
        <v>18</v>
      </c>
      <c r="B24" s="7" t="s">
        <v>28</v>
      </c>
      <c r="C24" s="2"/>
      <c r="D24" s="2"/>
      <c r="E24" s="2"/>
      <c r="F24" s="55"/>
      <c r="G24" s="34"/>
    </row>
    <row r="25" spans="1:7" ht="27.6" customHeight="1" x14ac:dyDescent="0.3">
      <c r="A25" s="2">
        <v>19</v>
      </c>
      <c r="B25" s="7" t="s">
        <v>29</v>
      </c>
      <c r="C25" s="2"/>
      <c r="D25" s="2"/>
      <c r="E25" s="2"/>
      <c r="F25" s="55"/>
      <c r="G25" s="34"/>
    </row>
  </sheetData>
  <mergeCells count="23">
    <mergeCell ref="F5:G6"/>
    <mergeCell ref="F14:G14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11:G11"/>
    <mergeCell ref="F10:G10"/>
    <mergeCell ref="F16:G16"/>
    <mergeCell ref="F19:G19"/>
    <mergeCell ref="F25:G25"/>
  </mergeCells>
  <pageMargins left="0.7" right="0.7" top="0.75" bottom="0.75" header="0.3" footer="0.3"/>
  <pageSetup paperSize="9" scale="96"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5"/>
  <sheetViews>
    <sheetView showGridLines="0" zoomScale="115" zoomScaleNormal="115" workbookViewId="0"/>
  </sheetViews>
  <sheetFormatPr baseColWidth="10" defaultRowHeight="14.4" x14ac:dyDescent="0.3"/>
  <cols>
    <col min="1" max="1" width="7.6640625" customWidth="1"/>
    <col min="2" max="2" width="77.33203125" customWidth="1"/>
    <col min="6" max="6" width="20.6640625" customWidth="1"/>
    <col min="9" max="9" width="6.6640625" customWidth="1"/>
    <col min="10" max="10" width="46.44140625" customWidth="1"/>
    <col min="14" max="14" width="51.88671875" customWidth="1"/>
  </cols>
  <sheetData>
    <row r="1" spans="1:8" ht="15.6" customHeight="1" x14ac:dyDescent="0.3">
      <c r="C1" s="8" t="s">
        <v>0</v>
      </c>
      <c r="D1" s="4">
        <f>COUNTA(C7:C25)+COUNTA(D7:D25)+COUNTA(E7:E25)</f>
        <v>0</v>
      </c>
    </row>
    <row r="2" spans="1:8" ht="15.6" customHeight="1" x14ac:dyDescent="0.3">
      <c r="C2" s="8" t="s">
        <v>1</v>
      </c>
      <c r="D2" s="9" t="str">
        <f>IF(((IFERROR(COUNTA(C7:C25)+COUNTA(E7:E25)/F1,0)))=0,"",(COUNTA(C7:C25)+COUNTA(E7:E25))/F1)</f>
        <v/>
      </c>
    </row>
    <row r="4" spans="1:8" ht="18" customHeight="1" x14ac:dyDescent="0.35">
      <c r="A4" s="35" t="s">
        <v>2</v>
      </c>
      <c r="B4" s="36"/>
      <c r="C4" s="36"/>
      <c r="D4" s="36"/>
      <c r="E4" s="36"/>
      <c r="F4" s="36"/>
      <c r="G4" s="36"/>
    </row>
    <row r="5" spans="1:8" ht="15.6" customHeight="1" x14ac:dyDescent="0.3">
      <c r="A5" s="37" t="s">
        <v>3</v>
      </c>
      <c r="B5" s="11" t="s">
        <v>4</v>
      </c>
      <c r="C5" s="39" t="s">
        <v>5</v>
      </c>
      <c r="D5" s="40"/>
      <c r="E5" s="34"/>
      <c r="F5" s="41" t="s">
        <v>6</v>
      </c>
      <c r="G5" s="42"/>
    </row>
    <row r="6" spans="1:8" ht="15.6" customHeight="1" x14ac:dyDescent="0.3">
      <c r="A6" s="38"/>
      <c r="B6" s="11" t="s">
        <v>7</v>
      </c>
      <c r="C6" s="12" t="s">
        <v>8</v>
      </c>
      <c r="D6" s="12" t="s">
        <v>9</v>
      </c>
      <c r="E6" s="12" t="s">
        <v>10</v>
      </c>
      <c r="F6" s="43"/>
      <c r="G6" s="44"/>
    </row>
    <row r="7" spans="1:8" x14ac:dyDescent="0.3">
      <c r="A7" s="16">
        <v>1</v>
      </c>
      <c r="B7" s="5" t="s">
        <v>11</v>
      </c>
      <c r="C7" s="16"/>
      <c r="D7" s="16"/>
      <c r="E7" s="16"/>
      <c r="F7" s="33"/>
      <c r="G7" s="34"/>
      <c r="H7" s="17"/>
    </row>
    <row r="8" spans="1:8" x14ac:dyDescent="0.3">
      <c r="A8" s="16">
        <v>2</v>
      </c>
      <c r="B8" s="6" t="s">
        <v>12</v>
      </c>
      <c r="C8" s="16"/>
      <c r="D8" s="16"/>
      <c r="E8" s="16"/>
      <c r="F8" s="33"/>
      <c r="G8" s="34"/>
      <c r="H8" s="17"/>
    </row>
    <row r="9" spans="1:8" x14ac:dyDescent="0.3">
      <c r="A9" s="16">
        <v>3</v>
      </c>
      <c r="B9" s="6" t="s">
        <v>13</v>
      </c>
      <c r="C9" s="16"/>
      <c r="D9" s="16"/>
      <c r="E9" s="16"/>
      <c r="F9" s="33"/>
      <c r="G9" s="34"/>
      <c r="H9" s="17"/>
    </row>
    <row r="10" spans="1:8" x14ac:dyDescent="0.3">
      <c r="A10" s="16">
        <v>4</v>
      </c>
      <c r="B10" s="6" t="s">
        <v>14</v>
      </c>
      <c r="C10" s="16"/>
      <c r="D10" s="16"/>
      <c r="E10" s="16"/>
      <c r="F10" s="33"/>
      <c r="G10" s="34"/>
      <c r="H10" s="17"/>
    </row>
    <row r="11" spans="1:8" ht="13.95" customHeight="1" x14ac:dyDescent="0.3">
      <c r="A11" s="16">
        <v>5</v>
      </c>
      <c r="B11" s="6" t="s">
        <v>15</v>
      </c>
      <c r="C11" s="18"/>
      <c r="D11" s="16"/>
      <c r="E11" s="16"/>
      <c r="F11" s="33"/>
      <c r="G11" s="34"/>
      <c r="H11" s="17"/>
    </row>
    <row r="12" spans="1:8" x14ac:dyDescent="0.3">
      <c r="A12" s="16">
        <v>6</v>
      </c>
      <c r="B12" s="6" t="s">
        <v>16</v>
      </c>
      <c r="C12" s="16"/>
      <c r="D12" s="16"/>
      <c r="E12" s="16"/>
      <c r="F12" s="33"/>
      <c r="G12" s="34"/>
      <c r="H12" s="17"/>
    </row>
    <row r="13" spans="1:8" x14ac:dyDescent="0.3">
      <c r="A13" s="16">
        <v>7</v>
      </c>
      <c r="B13" s="7" t="s">
        <v>17</v>
      </c>
      <c r="C13" s="16"/>
      <c r="D13" s="16"/>
      <c r="E13" s="16"/>
      <c r="F13" s="33"/>
      <c r="G13" s="34"/>
      <c r="H13" s="17"/>
    </row>
    <row r="14" spans="1:8" ht="12.6" customHeight="1" x14ac:dyDescent="0.3">
      <c r="A14" s="16">
        <v>8</v>
      </c>
      <c r="B14" s="6" t="s">
        <v>18</v>
      </c>
      <c r="C14" s="16"/>
      <c r="D14" s="16"/>
      <c r="E14" s="16"/>
      <c r="F14" s="33"/>
      <c r="G14" s="34"/>
      <c r="H14" s="17"/>
    </row>
    <row r="15" spans="1:8" ht="13.95" customHeight="1" x14ac:dyDescent="0.3">
      <c r="A15" s="16">
        <v>9</v>
      </c>
      <c r="B15" s="5" t="s">
        <v>19</v>
      </c>
      <c r="C15" s="16"/>
      <c r="D15" s="16"/>
      <c r="E15" s="16"/>
      <c r="F15" s="33"/>
      <c r="G15" s="34"/>
      <c r="H15" s="17"/>
    </row>
    <row r="16" spans="1:8" ht="15" customHeight="1" x14ac:dyDescent="0.3">
      <c r="A16" s="16">
        <v>10</v>
      </c>
      <c r="B16" s="6" t="s">
        <v>20</v>
      </c>
      <c r="C16" s="16"/>
      <c r="D16" s="16"/>
      <c r="E16" s="16"/>
      <c r="F16" s="33"/>
      <c r="G16" s="34"/>
      <c r="H16" s="17"/>
    </row>
    <row r="17" spans="1:7" ht="18" customHeight="1" x14ac:dyDescent="0.3">
      <c r="A17" s="16">
        <v>11</v>
      </c>
      <c r="B17" s="6" t="s">
        <v>21</v>
      </c>
      <c r="C17" s="16"/>
      <c r="D17" s="16"/>
      <c r="E17" s="16"/>
      <c r="F17" s="33"/>
      <c r="G17" s="34"/>
    </row>
    <row r="18" spans="1:7" ht="27.6" customHeight="1" x14ac:dyDescent="0.3">
      <c r="A18" s="16">
        <v>12</v>
      </c>
      <c r="B18" s="6" t="s">
        <v>22</v>
      </c>
      <c r="C18" s="16"/>
      <c r="D18" s="16"/>
      <c r="E18" s="16"/>
      <c r="F18" s="33"/>
      <c r="G18" s="34"/>
    </row>
    <row r="19" spans="1:7" ht="27.6" customHeight="1" x14ac:dyDescent="0.3">
      <c r="A19" s="16">
        <v>13</v>
      </c>
      <c r="B19" s="6" t="s">
        <v>23</v>
      </c>
      <c r="C19" s="16"/>
      <c r="D19" s="16"/>
      <c r="E19" s="16"/>
      <c r="F19" s="33"/>
      <c r="G19" s="34"/>
    </row>
    <row r="20" spans="1:7" ht="13.8" customHeight="1" x14ac:dyDescent="0.3">
      <c r="A20" s="16">
        <v>14</v>
      </c>
      <c r="B20" s="7" t="s">
        <v>24</v>
      </c>
      <c r="C20" s="16"/>
      <c r="D20" s="16"/>
      <c r="E20" s="16"/>
      <c r="F20" s="33"/>
      <c r="G20" s="34"/>
    </row>
    <row r="21" spans="1:7" ht="15" customHeight="1" x14ac:dyDescent="0.3">
      <c r="A21" s="16">
        <v>15</v>
      </c>
      <c r="B21" s="7" t="s">
        <v>25</v>
      </c>
      <c r="C21" s="16"/>
      <c r="D21" s="16"/>
      <c r="E21" s="16"/>
      <c r="F21" s="33"/>
      <c r="G21" s="34"/>
    </row>
    <row r="22" spans="1:7" x14ac:dyDescent="0.3">
      <c r="A22" s="16">
        <v>16</v>
      </c>
      <c r="B22" s="6" t="s">
        <v>26</v>
      </c>
      <c r="C22" s="16"/>
      <c r="D22" s="16"/>
      <c r="E22" s="16"/>
      <c r="F22" s="33"/>
      <c r="G22" s="34"/>
    </row>
    <row r="23" spans="1:7" x14ac:dyDescent="0.3">
      <c r="A23" s="16">
        <v>17</v>
      </c>
      <c r="B23" s="7" t="s">
        <v>27</v>
      </c>
      <c r="C23" s="16"/>
      <c r="D23" s="16"/>
      <c r="E23" s="16"/>
      <c r="F23" s="33"/>
      <c r="G23" s="34"/>
    </row>
    <row r="24" spans="1:7" x14ac:dyDescent="0.3">
      <c r="A24" s="16">
        <v>18</v>
      </c>
      <c r="B24" s="7" t="s">
        <v>28</v>
      </c>
      <c r="C24" s="16"/>
      <c r="D24" s="16"/>
      <c r="E24" s="16"/>
      <c r="F24" s="33"/>
      <c r="G24" s="34"/>
    </row>
    <row r="25" spans="1:7" ht="16.2" customHeight="1" x14ac:dyDescent="0.3">
      <c r="A25" s="16">
        <v>19</v>
      </c>
      <c r="B25" s="7" t="s">
        <v>29</v>
      </c>
      <c r="C25" s="16"/>
      <c r="D25" s="16"/>
      <c r="E25" s="16"/>
      <c r="F25" s="33"/>
      <c r="G25" s="34"/>
    </row>
  </sheetData>
  <mergeCells count="23">
    <mergeCell ref="F5:G6"/>
    <mergeCell ref="F14:G14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11:G11"/>
    <mergeCell ref="F10:G10"/>
    <mergeCell ref="F16:G16"/>
    <mergeCell ref="F19:G19"/>
    <mergeCell ref="F25:G25"/>
  </mergeCells>
  <pageMargins left="0.7" right="0.7" top="0.75" bottom="0.75" header="0.3" footer="0.3"/>
  <pageSetup paperSize="9" scale="86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2024-07-10T21:48:50Z</cp:lastPrinted>
  <dcterms:created xsi:type="dcterms:W3CDTF">2019-09-25T18:39:09Z</dcterms:created>
  <dcterms:modified xsi:type="dcterms:W3CDTF">2026-09-30T20:09:11Z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