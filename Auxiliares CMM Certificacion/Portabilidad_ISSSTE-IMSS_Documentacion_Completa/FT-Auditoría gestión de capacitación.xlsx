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99890E09-7900-4939-8F15-8A9605643B7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5" l="1"/>
  <c r="F1" i="4"/>
  <c r="F2" i="5"/>
  <c r="F2" i="3"/>
  <c r="F2" i="4"/>
  <c r="F1" i="3"/>
  <c r="E9" i="2" l="1"/>
  <c r="E8" i="2"/>
  <c r="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<sst xmlns="http://schemas.openxmlformats.org/spreadsheetml/2006/main" count="134" uniqueCount="62">
  <si>
    <t>Preguntas aprobadas</t>
  </si>
  <si>
    <t>% de apego</t>
  </si>
  <si>
    <t>Auditoria Gestión de capacitación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</si>
  <si>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</si>
  <si>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</si>
  <si>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</si>
  <si>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</si>
  <si>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</si>
  <si>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</si>
  <si>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</si>
  <si>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</si>
  <si>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>¿Se tienen identificadas las habilidades y conocimientos necesarios para cada función (puesto) en la organización?</t>
  </si>
  <si>
    <t>¿Se realizo la matriz de conocimientos y DNC en el tiempo establecido?</t>
  </si>
  <si>
    <t>¿Se evaluó a cada puesto/rol en relación con sus habilidades duras y blandas?</t>
  </si>
  <si>
    <t>¿La matriz de competencias menciona los conocimientos que debe cumplir cada puesto/rol?</t>
  </si>
  <si>
    <t>¿Es claro saber qué puesto necesita qué capacitación y a qué nivel de profundidad?</t>
  </si>
  <si>
    <t>¿Al analizar una solicitud de capacitación se consideró que este debidamente llena la solicitud de capacitación y sea clara la información registrada?</t>
  </si>
  <si>
    <t>¿Determinar la necesidad de capacitación se realiza con ayuda del plan estratégico, análisis de breca y las solicitudes de capacitación?</t>
  </si>
  <si>
    <t>¿Se tienen opciones entre capacitaciones internas (impartidas por personal dentro de la organización) y capacitaciones externas?</t>
  </si>
  <si>
    <t>¿Se solicitó el temario al capacitador (instructor)?</t>
  </si>
  <si>
    <t xml:space="preserve">¿Se tienen opciones de cursos en plataformas digitales? </t>
  </si>
  <si>
    <t>¿Se obtuvieron al menos dos propuestas de capacitación?</t>
  </si>
  <si>
    <t>¿Se utiliza un "análisis para toma de decisiones" para seleccionar entre capacitación la modalidad del curos?</t>
  </si>
  <si>
    <t>¿Se tiene un control de asistencias para cada usuario que recibe capacitación?</t>
  </si>
  <si>
    <t xml:space="preserve">¿Se compartió el temario o material necesario para tomar la capacitación? </t>
  </si>
  <si>
    <t xml:space="preserve">¿En la encuesta de capacitación se considera el contenido y  la metodología? </t>
  </si>
  <si>
    <t xml:space="preserve">¿Se registraron los resultados de las encuestas? </t>
  </si>
  <si>
    <t>¿Se realizan evaluaciones de efectividad de capacitación?</t>
  </si>
  <si>
    <t>¿Se presentó el informe al director general en la frecuencia establecida?</t>
  </si>
  <si>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</si>
  <si>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</si>
  <si>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</si>
  <si>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</si>
  <si>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</si>
  <si>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</si>
  <si>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</si>
  <si>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Si se tiene un sistema de gestión de versiones eliminar esta hoja.</t>
  </si>
  <si>
    <t>Datos generales</t>
  </si>
  <si>
    <t>Responsable de área:</t>
  </si>
  <si>
    <t>Gerente de desarrollo</t>
  </si>
  <si>
    <t>Historial de escalamiento</t>
  </si>
  <si>
    <t xml:space="preserve">Resumen general </t>
  </si>
  <si>
    <t># de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</si>
  <si>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</si>
  <si>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</si>
  <si>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</si>
  <si>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</si>
  <si>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</si>
  <si>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</si>
  <si>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Sin necesidades de capacitación identificadas en el proyecto (ver FT-Matriz de competencia y DNC); la mayoría de los pasos posteriores no aplicaron.</t>
  </si>
  <si>
    <t>Auditoría 2</t>
  </si>
  <si>
    <t>Auditoría 3</t>
  </si>
  <si>
    <t>X</t>
  </si>
  <si>
    <t>No aplica: no se generó ninguna solicitud de capacitación, dado que no se identificaron necesidades.</t>
  </si>
  <si>
    <t>¿Se realizo la matriz de conocimeintos y DNC en el tiempo establecido?</t>
  </si>
  <si>
    <t>¿Al análizar una solicitud de capacitación se consideró que este debidamente llena la solicitud de capacitación y sea clara la información registrada?</t>
  </si>
  <si>
    <t>¿Se utiliza un "análisis para toma de decisiónes" para seleccionar entre capacitacion la modalidad del curos?</t>
  </si>
  <si>
    <t xml:space="preserve">¿En la encuensta de capacitación se considera el contenido y  la metodología? </t>
  </si>
  <si>
    <t xml:space="preserve">¿Se registrarón los resultados de las encuestas? </t>
  </si>
  <si>
    <t>Generación del documento</t>
  </si>
  <si>
    <t>Carlos Quintero Nava</t>
  </si>
  <si>
    <t>Sin 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</si>
</sst>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16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5" fillId="0" borderId="3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5" width="11.44140625" style="3" customWidth="1"/>
    <col min="6" max="16384" width="11.44140625" style="3"/>
  </cols>
  <sheetData>
    <row r="1" spans="1:4" ht="14.55" customHeight="1" x14ac:dyDescent="0.3">
      <c r="A1" s="73" t="e" vm="1">
        <v>#VALUE!</v>
      </c>
      <c r="B1" s="74"/>
    </row>
    <row r="2" spans="1:4" ht="55.5" customHeight="1" x14ac:dyDescent="0.3">
      <c r="A2" s="75"/>
      <c r="B2" s="76"/>
    </row>
    <row r="3" spans="1:4" ht="30.75" customHeight="1" x14ac:dyDescent="0.3">
      <c r="A3" s="77" t="s">
        <v>29</v>
      </c>
      <c r="B3" s="78"/>
    </row>
    <row r="4" spans="1:4" ht="15.75" customHeight="1" x14ac:dyDescent="0.3"/>
    <row r="5" spans="1:4" ht="14.55" customHeight="1" x14ac:dyDescent="0.3"/>
    <row r="6" spans="1:4" ht="18.45" customHeight="1" x14ac:dyDescent="0.35">
      <c r="A6" s="80" t="s">
        <v>30</v>
      </c>
      <c r="B6" s="78"/>
      <c r="C6" s="78"/>
      <c r="D6" s="78"/>
    </row>
    <row r="7" spans="1:4" ht="14.55" customHeight="1" x14ac:dyDescent="0.3"/>
    <row r="8" spans="1:4" ht="18.45" customHeight="1" x14ac:dyDescent="0.3">
      <c r="A8" s="41" t="s">
        <v>31</v>
      </c>
      <c r="B8" s="41" t="s">
        <v>32</v>
      </c>
      <c r="C8" s="41" t="s">
        <v>33</v>
      </c>
      <c r="D8" s="41" t="s">
        <v>34</v>
      </c>
    </row>
    <row r="9" spans="1:4" ht="32.25" customHeight="1" x14ac:dyDescent="0.3">
      <c r="A9" s="44">
        <v>46230</v>
      </c>
      <c r="B9" s="42">
        <v>1</v>
      </c>
      <c r="C9" s="42" t="s">
        <v>59</v>
      </c>
      <c r="D9" s="42" t="s">
        <v>48</v>
      </c>
    </row>
    <row r="10" spans="1:4" ht="32.25" customHeight="1" x14ac:dyDescent="0.3">
      <c r="A10" s="42"/>
      <c r="B10" s="42"/>
      <c r="C10" s="43"/>
      <c r="D10" s="42"/>
    </row>
    <row r="11" spans="1:4" ht="32.25" customHeight="1" x14ac:dyDescent="0.3">
      <c r="A11" s="42"/>
      <c r="B11" s="42"/>
      <c r="C11" s="43"/>
      <c r="D11" s="42"/>
    </row>
    <row r="12" spans="1:4" ht="32.25" customHeight="1" x14ac:dyDescent="0.3"/>
    <row r="13" spans="1:4" ht="15.45" customHeight="1" x14ac:dyDescent="0.3">
      <c r="A13" s="79" t="s">
        <v>36</v>
      </c>
      <c r="B13" s="78"/>
      <c r="C13" s="78"/>
      <c r="D13" s="78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"/>
  <sheetViews>
    <sheetView showGridLines="0" tabSelected="1" workbookViewId="0">
      <selection activeCell="A2" sqref="A2"/>
    </sheetView>
  </sheetViews>
  <sheetFormatPr baseColWidth="10" defaultColWidth="10.88671875" defaultRowHeight="14.4" x14ac:dyDescent="0.3"/>
  <cols>
    <col min="1" max="1" width="18" bestFit="1" customWidth="1"/>
    <col min="3" max="3" width="23.109375" bestFit="1" customWidth="1"/>
    <col min="4" max="4" width="18.77734375" bestFit="1" customWidth="1"/>
    <col min="6" max="6" width="11.6640625" customWidth="1"/>
  </cols>
  <sheetData>
    <row r="1" spans="1:8" x14ac:dyDescent="0.3">
      <c r="A1" s="64" t="s">
        <v>37</v>
      </c>
      <c r="B1" s="65"/>
      <c r="C1" s="66"/>
    </row>
    <row r="2" spans="1:8" ht="25.95" customHeight="1" x14ac:dyDescent="0.3">
      <c r="A2" s="36" t="s">
        <v>38</v>
      </c>
      <c r="B2" s="68" t="s">
        <v>60</v>
      </c>
      <c r="C2" s="66"/>
    </row>
    <row r="3" spans="1:8" ht="47.4" customHeight="1" x14ac:dyDescent="0.3">
      <c r="A3" s="87" t="s">
        <v>40</v>
      </c>
      <c r="B3" s="88" t="s">
        <v>61</v>
      </c>
      <c r="C3" s="89"/>
    </row>
    <row r="4" spans="1:8" x14ac:dyDescent="0.3">
      <c r="A4" s="17"/>
      <c r="B4" s="18"/>
      <c r="C4" s="18"/>
      <c r="D4" s="19"/>
      <c r="E4" s="19"/>
    </row>
    <row r="5" spans="1:8" x14ac:dyDescent="0.3">
      <c r="A5" s="64" t="s">
        <v>41</v>
      </c>
      <c r="B5" s="65"/>
      <c r="C5" s="65"/>
      <c r="D5" s="65"/>
      <c r="E5" s="65"/>
      <c r="F5" s="65"/>
      <c r="G5" s="65"/>
      <c r="H5" s="66"/>
    </row>
    <row r="6" spans="1:8" ht="28.95" customHeight="1" x14ac:dyDescent="0.3">
      <c r="A6" s="20" t="s">
        <v>42</v>
      </c>
      <c r="B6" s="20" t="s">
        <v>43</v>
      </c>
      <c r="C6" s="20" t="s">
        <v>44</v>
      </c>
      <c r="D6" s="21" t="s">
        <v>45</v>
      </c>
      <c r="E6" s="20" t="s">
        <v>46</v>
      </c>
      <c r="F6" s="69" t="s">
        <v>6</v>
      </c>
      <c r="G6" s="65"/>
      <c r="H6" s="66"/>
    </row>
    <row r="7" spans="1:8" ht="70.8" customHeight="1" x14ac:dyDescent="0.3">
      <c r="A7" s="45" t="s">
        <v>47</v>
      </c>
      <c r="B7" s="22" t="s">
        <v>35</v>
      </c>
      <c r="C7" s="22" t="s">
        <v>48</v>
      </c>
      <c r="D7" s="2" t="s">
        <v>39</v>
      </c>
      <c r="E7" s="23">
        <f>'2.-Auditoría 1'!F2</f>
        <v>1</v>
      </c>
      <c r="F7" s="70" t="s">
        <v>49</v>
      </c>
      <c r="G7" s="71"/>
      <c r="H7" s="72"/>
    </row>
    <row r="8" spans="1:8" x14ac:dyDescent="0.3">
      <c r="A8" s="45" t="s">
        <v>50</v>
      </c>
      <c r="B8" s="22"/>
      <c r="C8" s="22"/>
      <c r="D8" s="1"/>
      <c r="E8" s="23" t="str">
        <f>'3.-Auditoría 2'!F2</f>
        <v/>
      </c>
      <c r="F8" s="67"/>
      <c r="G8" s="65"/>
      <c r="H8" s="66"/>
    </row>
    <row r="9" spans="1:8" x14ac:dyDescent="0.3">
      <c r="A9" s="45" t="s">
        <v>51</v>
      </c>
      <c r="B9" s="22"/>
      <c r="C9" s="22"/>
      <c r="D9" s="1"/>
      <c r="E9" s="23" t="str">
        <f>'4.-Auditoría 3'!F2</f>
        <v/>
      </c>
      <c r="F9" s="67"/>
      <c r="G9" s="65"/>
      <c r="H9" s="66"/>
    </row>
  </sheetData>
  <mergeCells count="8">
    <mergeCell ref="A1:C1"/>
    <mergeCell ref="B3:C3"/>
    <mergeCell ref="F8:H8"/>
    <mergeCell ref="F9:H9"/>
    <mergeCell ref="A5:H5"/>
    <mergeCell ref="B2:C2"/>
    <mergeCell ref="F6:H6"/>
    <mergeCell ref="F7:H7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"/>
  <sheetViews>
    <sheetView showGridLines="0" zoomScaleNormal="100" workbookViewId="0"/>
  </sheetViews>
  <sheetFormatPr baseColWidth="10" defaultColWidth="11.44140625" defaultRowHeight="14.4" x14ac:dyDescent="0.3"/>
  <cols>
    <col min="1" max="1" width="8.109375" customWidth="1"/>
    <col min="2" max="2" width="57.44140625" customWidth="1"/>
    <col min="3" max="4" width="8.21875" customWidth="1"/>
    <col min="5" max="5" width="7.33203125" customWidth="1"/>
    <col min="6" max="6" width="49.33203125" customWidth="1"/>
    <col min="7" max="7" width="5" customWidth="1"/>
    <col min="8" max="8" width="4.6640625" customWidth="1"/>
    <col min="9" max="9" width="4.44140625" customWidth="1"/>
    <col min="10" max="10" width="9.44140625" customWidth="1"/>
    <col min="11" max="11" width="25.44140625" customWidth="1"/>
    <col min="12" max="12" width="21.21875" customWidth="1"/>
    <col min="13" max="13" width="22.21875" customWidth="1"/>
    <col min="14" max="14" width="7.5546875" customWidth="1"/>
    <col min="15" max="15" width="8.109375" customWidth="1"/>
    <col min="16" max="16" width="7.109375" customWidth="1"/>
    <col min="17" max="17" width="40.77734375" customWidth="1"/>
  </cols>
  <sheetData>
    <row r="1" spans="1:6" ht="15.45" customHeight="1" x14ac:dyDescent="0.3">
      <c r="E1" s="6" t="s">
        <v>0</v>
      </c>
      <c r="F1" s="4">
        <f>COUNTA(C7:C24)+COUNTA(D7:D24)+COUNTA(E7:E24)</f>
        <v>18</v>
      </c>
    </row>
    <row r="2" spans="1:6" ht="15.45" customHeight="1" x14ac:dyDescent="0.3">
      <c r="E2" s="6" t="s">
        <v>1</v>
      </c>
      <c r="F2" s="7">
        <f>IF(((IFERROR(COUNTA(C7:C24)+COUNTA(E7:E24)/F1,0)))=0,"",(COUNTA(C7:C24)+COUNTA(E7:E24))/F1)</f>
        <v>1</v>
      </c>
    </row>
    <row r="4" spans="1:6" ht="18" customHeight="1" x14ac:dyDescent="0.35">
      <c r="A4" s="84" t="s">
        <v>2</v>
      </c>
      <c r="B4" s="85"/>
      <c r="C4" s="85"/>
      <c r="D4" s="85"/>
      <c r="E4" s="85"/>
      <c r="F4" s="85"/>
    </row>
    <row r="5" spans="1:6" ht="15.75" customHeight="1" x14ac:dyDescent="0.3">
      <c r="A5" s="81" t="s">
        <v>3</v>
      </c>
      <c r="B5" s="8" t="s">
        <v>4</v>
      </c>
      <c r="C5" s="83" t="s">
        <v>5</v>
      </c>
      <c r="D5" s="65"/>
      <c r="E5" s="66"/>
      <c r="F5" s="86" t="s">
        <v>6</v>
      </c>
    </row>
    <row r="6" spans="1:6" ht="15.6" customHeight="1" x14ac:dyDescent="0.3">
      <c r="A6" s="82"/>
      <c r="B6" s="8" t="s">
        <v>7</v>
      </c>
      <c r="C6" s="9" t="s">
        <v>8</v>
      </c>
      <c r="D6" s="9" t="s">
        <v>9</v>
      </c>
      <c r="E6" s="9" t="s">
        <v>10</v>
      </c>
      <c r="F6" s="82"/>
    </row>
    <row r="7" spans="1:6" ht="33" customHeight="1" x14ac:dyDescent="0.3">
      <c r="A7" s="46">
        <v>1</v>
      </c>
      <c r="B7" s="47" t="s">
        <v>11</v>
      </c>
      <c r="C7" s="48" t="s">
        <v>52</v>
      </c>
      <c r="D7" s="48"/>
      <c r="E7" s="48"/>
      <c r="F7" s="49"/>
    </row>
    <row r="8" spans="1:6" s="28" customFormat="1" ht="26.4" customHeight="1" x14ac:dyDescent="0.3">
      <c r="A8" s="50">
        <v>2</v>
      </c>
      <c r="B8" s="51" t="s">
        <v>12</v>
      </c>
      <c r="C8" s="52" t="s">
        <v>52</v>
      </c>
      <c r="D8" s="53"/>
      <c r="E8" s="53"/>
      <c r="F8" s="54"/>
    </row>
    <row r="9" spans="1:6" ht="31.2" customHeight="1" x14ac:dyDescent="0.3">
      <c r="A9" s="46">
        <v>3</v>
      </c>
      <c r="B9" s="55" t="s">
        <v>13</v>
      </c>
      <c r="C9" s="48" t="s">
        <v>52</v>
      </c>
      <c r="D9" s="48"/>
      <c r="E9" s="48"/>
      <c r="F9" s="56"/>
    </row>
    <row r="10" spans="1:6" ht="25.8" customHeight="1" x14ac:dyDescent="0.3">
      <c r="A10" s="46">
        <v>4</v>
      </c>
      <c r="B10" s="57" t="s">
        <v>14</v>
      </c>
      <c r="C10" s="48" t="s">
        <v>52</v>
      </c>
      <c r="D10" s="48"/>
      <c r="E10" s="48"/>
      <c r="F10" s="49"/>
    </row>
    <row r="11" spans="1:6" ht="24.6" customHeight="1" x14ac:dyDescent="0.3">
      <c r="A11" s="46">
        <v>5</v>
      </c>
      <c r="B11" s="58" t="s">
        <v>15</v>
      </c>
      <c r="C11" s="48" t="s">
        <v>52</v>
      </c>
      <c r="D11" s="48"/>
      <c r="E11" s="48"/>
      <c r="F11" s="49"/>
    </row>
    <row r="12" spans="1:6" ht="42.6" customHeight="1" x14ac:dyDescent="0.3">
      <c r="A12" s="46">
        <v>6</v>
      </c>
      <c r="B12" s="58" t="s">
        <v>16</v>
      </c>
      <c r="C12" s="48"/>
      <c r="D12" s="48"/>
      <c r="E12" s="48" t="s">
        <v>52</v>
      </c>
      <c r="F12" s="56" t="s">
        <v>53</v>
      </c>
    </row>
    <row r="13" spans="1:6" ht="38.4" customHeight="1" x14ac:dyDescent="0.3">
      <c r="A13" s="46">
        <v>7</v>
      </c>
      <c r="B13" s="59" t="s">
        <v>17</v>
      </c>
      <c r="C13" s="48" t="s">
        <v>52</v>
      </c>
      <c r="D13" s="48"/>
      <c r="E13" s="48"/>
      <c r="F13" s="49"/>
    </row>
    <row r="14" spans="1:6" ht="24.6" customHeight="1" x14ac:dyDescent="0.3">
      <c r="A14" s="46">
        <v>8</v>
      </c>
      <c r="B14" s="59" t="s">
        <v>18</v>
      </c>
      <c r="C14" s="48"/>
      <c r="D14" s="48"/>
      <c r="E14" s="48" t="s">
        <v>52</v>
      </c>
      <c r="F14" s="49"/>
    </row>
    <row r="15" spans="1:6" s="10" customFormat="1" ht="18" customHeight="1" x14ac:dyDescent="0.3">
      <c r="A15" s="46">
        <v>9</v>
      </c>
      <c r="B15" s="59" t="s">
        <v>19</v>
      </c>
      <c r="C15" s="48"/>
      <c r="D15" s="48"/>
      <c r="E15" s="48" t="s">
        <v>52</v>
      </c>
      <c r="F15" s="60"/>
    </row>
    <row r="16" spans="1:6" s="33" customFormat="1" ht="20.399999999999999" customHeight="1" x14ac:dyDescent="0.3">
      <c r="A16" s="46">
        <v>10</v>
      </c>
      <c r="B16" s="59" t="s">
        <v>20</v>
      </c>
      <c r="C16" s="48"/>
      <c r="D16" s="48"/>
      <c r="E16" s="48" t="s">
        <v>52</v>
      </c>
      <c r="F16" s="61"/>
    </row>
    <row r="17" spans="1:6" ht="14.4" customHeight="1" x14ac:dyDescent="0.3">
      <c r="A17" s="46">
        <v>11</v>
      </c>
      <c r="B17" s="62" t="s">
        <v>21</v>
      </c>
      <c r="C17" s="48"/>
      <c r="D17" s="48"/>
      <c r="E17" s="48" t="s">
        <v>52</v>
      </c>
      <c r="F17" s="49"/>
    </row>
    <row r="18" spans="1:6" ht="25.95" customHeight="1" x14ac:dyDescent="0.3">
      <c r="A18" s="46">
        <v>12</v>
      </c>
      <c r="B18" s="62" t="s">
        <v>22</v>
      </c>
      <c r="C18" s="46"/>
      <c r="D18" s="48"/>
      <c r="E18" s="48" t="s">
        <v>52</v>
      </c>
      <c r="F18" s="54"/>
    </row>
    <row r="19" spans="1:6" ht="28.95" customHeight="1" x14ac:dyDescent="0.3">
      <c r="A19" s="46">
        <v>13</v>
      </c>
      <c r="B19" s="63" t="s">
        <v>23</v>
      </c>
      <c r="C19" s="46"/>
      <c r="D19" s="48"/>
      <c r="E19" s="48" t="s">
        <v>52</v>
      </c>
      <c r="F19" s="54"/>
    </row>
    <row r="20" spans="1:6" ht="23.4" customHeight="1" x14ac:dyDescent="0.3">
      <c r="A20" s="46">
        <v>14</v>
      </c>
      <c r="B20" s="63" t="s">
        <v>24</v>
      </c>
      <c r="C20" s="46"/>
      <c r="D20" s="48"/>
      <c r="E20" s="48" t="s">
        <v>52</v>
      </c>
      <c r="F20" s="54"/>
    </row>
    <row r="21" spans="1:6" ht="25.95" customHeight="1" x14ac:dyDescent="0.3">
      <c r="A21" s="46">
        <v>15</v>
      </c>
      <c r="B21" s="63" t="s">
        <v>25</v>
      </c>
      <c r="C21" s="46"/>
      <c r="D21" s="48"/>
      <c r="E21" s="48" t="s">
        <v>52</v>
      </c>
      <c r="F21" s="54"/>
    </row>
    <row r="22" spans="1:6" x14ac:dyDescent="0.3">
      <c r="A22" s="46">
        <v>16</v>
      </c>
      <c r="B22" s="63" t="s">
        <v>26</v>
      </c>
      <c r="C22" s="46"/>
      <c r="D22" s="48"/>
      <c r="E22" s="48" t="s">
        <v>52</v>
      </c>
      <c r="F22" s="54"/>
    </row>
    <row r="23" spans="1:6" x14ac:dyDescent="0.3">
      <c r="A23" s="46">
        <v>17</v>
      </c>
      <c r="B23" s="63" t="s">
        <v>27</v>
      </c>
      <c r="C23" s="46"/>
      <c r="D23" s="48"/>
      <c r="E23" s="48" t="s">
        <v>52</v>
      </c>
      <c r="F23" s="54"/>
    </row>
    <row r="24" spans="1:6" ht="29.4" customHeight="1" x14ac:dyDescent="0.3">
      <c r="A24" s="46">
        <v>18</v>
      </c>
      <c r="B24" s="63" t="s">
        <v>28</v>
      </c>
      <c r="C24" s="46" t="s">
        <v>52</v>
      </c>
      <c r="D24" s="48"/>
      <c r="E24" s="48"/>
      <c r="F24" s="54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6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4"/>
  <sheetViews>
    <sheetView showGridLines="0" zoomScaleNormal="100" workbookViewId="0"/>
  </sheetViews>
  <sheetFormatPr baseColWidth="10" defaultColWidth="11.44140625" defaultRowHeight="14.4" x14ac:dyDescent="0.3"/>
  <cols>
    <col min="2" max="2" width="57.5546875" customWidth="1"/>
    <col min="3" max="3" width="9.21875" customWidth="1"/>
    <col min="4" max="4" width="8.44140625" customWidth="1"/>
    <col min="5" max="5" width="10.109375" customWidth="1"/>
    <col min="6" max="6" width="62.21875" customWidth="1"/>
    <col min="7" max="7" width="6" customWidth="1"/>
    <col min="8" max="8" width="5.88671875" customWidth="1"/>
    <col min="9" max="9" width="6.33203125" customWidth="1"/>
    <col min="11" max="11" width="24.77734375" customWidth="1"/>
    <col min="12" max="12" width="23.5546875" customWidth="1"/>
    <col min="13" max="13" width="26.5546875" customWidth="1"/>
    <col min="14" max="14" width="10" customWidth="1"/>
    <col min="15" max="15" width="8.5546875" customWidth="1"/>
    <col min="16" max="16" width="9.6640625" customWidth="1"/>
    <col min="17" max="17" width="50.77734375" customWidth="1"/>
  </cols>
  <sheetData>
    <row r="1" spans="1:9" ht="15.45" customHeight="1" x14ac:dyDescent="0.3">
      <c r="E1" s="6" t="s">
        <v>0</v>
      </c>
      <c r="F1" s="4">
        <f>COUNTA(C7:C24)+COUNTA(D7:D24)+COUNTA(E7:E24)</f>
        <v>0</v>
      </c>
    </row>
    <row r="2" spans="1:9" ht="15.45" customHeight="1" x14ac:dyDescent="0.3">
      <c r="E2" s="6" t="s">
        <v>1</v>
      </c>
      <c r="F2" s="7" t="str">
        <f>IF(((IFERROR(COUNTA(C7:C24)+COUNTA(E7:E24)/F1,0)))=0,"",(COUNTA(C7:C24)+COUNTA(E7:E24))/F1)</f>
        <v/>
      </c>
    </row>
    <row r="4" spans="1:9" ht="15.75" customHeight="1" x14ac:dyDescent="0.35">
      <c r="A4" s="84" t="s">
        <v>2</v>
      </c>
      <c r="B4" s="85"/>
      <c r="C4" s="85"/>
      <c r="D4" s="85"/>
      <c r="E4" s="85"/>
      <c r="F4" s="85"/>
    </row>
    <row r="5" spans="1:9" ht="15.6" customHeight="1" x14ac:dyDescent="0.3">
      <c r="A5" s="81" t="s">
        <v>3</v>
      </c>
      <c r="B5" s="8" t="s">
        <v>4</v>
      </c>
      <c r="C5" s="83" t="s">
        <v>5</v>
      </c>
      <c r="D5" s="65"/>
      <c r="E5" s="66"/>
      <c r="F5" s="86" t="s">
        <v>6</v>
      </c>
    </row>
    <row r="6" spans="1:9" ht="18" customHeight="1" x14ac:dyDescent="0.3">
      <c r="A6" s="82"/>
      <c r="B6" s="8" t="s">
        <v>7</v>
      </c>
      <c r="C6" s="9" t="s">
        <v>8</v>
      </c>
      <c r="D6" s="9" t="s">
        <v>9</v>
      </c>
      <c r="E6" s="9" t="s">
        <v>10</v>
      </c>
      <c r="F6" s="82"/>
    </row>
    <row r="7" spans="1:9" ht="26.4" customHeight="1" x14ac:dyDescent="0.3">
      <c r="A7" s="2">
        <v>1</v>
      </c>
      <c r="B7" s="37" t="s">
        <v>11</v>
      </c>
      <c r="C7" s="13"/>
      <c r="D7" s="13"/>
      <c r="E7" s="13"/>
      <c r="F7" s="14"/>
    </row>
    <row r="8" spans="1:9" ht="17.399999999999999" customHeight="1" x14ac:dyDescent="0.3">
      <c r="A8" s="25">
        <v>2</v>
      </c>
      <c r="B8" s="38" t="s">
        <v>54</v>
      </c>
      <c r="C8" s="26"/>
      <c r="D8" s="27"/>
      <c r="E8" s="27"/>
      <c r="F8" s="16"/>
      <c r="G8" s="28"/>
      <c r="H8" s="28"/>
      <c r="I8" s="28"/>
    </row>
    <row r="9" spans="1:9" ht="28.2" customHeight="1" x14ac:dyDescent="0.3">
      <c r="A9" s="2">
        <v>3</v>
      </c>
      <c r="B9" s="12" t="s">
        <v>13</v>
      </c>
      <c r="C9" s="13"/>
      <c r="D9" s="13"/>
      <c r="E9" s="13"/>
      <c r="F9" s="15"/>
    </row>
    <row r="10" spans="1:9" ht="28.8" customHeight="1" x14ac:dyDescent="0.3">
      <c r="A10" s="2">
        <v>4</v>
      </c>
      <c r="B10" s="40" t="s">
        <v>14</v>
      </c>
      <c r="C10" s="13"/>
      <c r="D10" s="13"/>
      <c r="E10" s="13"/>
      <c r="F10" s="14"/>
    </row>
    <row r="11" spans="1:9" ht="27" customHeight="1" x14ac:dyDescent="0.3">
      <c r="A11" s="2">
        <v>5</v>
      </c>
      <c r="B11" s="11" t="s">
        <v>15</v>
      </c>
      <c r="C11" s="13"/>
      <c r="D11" s="13"/>
      <c r="E11" s="13"/>
      <c r="F11" s="14"/>
    </row>
    <row r="12" spans="1:9" ht="41.4" customHeight="1" x14ac:dyDescent="0.3">
      <c r="A12" s="2">
        <v>6</v>
      </c>
      <c r="B12" s="11" t="s">
        <v>55</v>
      </c>
      <c r="C12" s="13"/>
      <c r="D12" s="13"/>
      <c r="E12" s="13"/>
      <c r="F12" s="14"/>
    </row>
    <row r="13" spans="1:9" ht="29.4" customHeight="1" x14ac:dyDescent="0.3">
      <c r="A13" s="2">
        <v>7</v>
      </c>
      <c r="B13" s="29" t="s">
        <v>17</v>
      </c>
      <c r="C13" s="13"/>
      <c r="D13" s="13"/>
      <c r="E13" s="13"/>
      <c r="F13" s="14"/>
    </row>
    <row r="14" spans="1:9" ht="25.8" customHeight="1" x14ac:dyDescent="0.3">
      <c r="A14" s="2">
        <v>8</v>
      </c>
      <c r="B14" s="29" t="s">
        <v>18</v>
      </c>
      <c r="C14" s="13"/>
      <c r="D14" s="13"/>
      <c r="E14" s="13"/>
      <c r="F14" s="14"/>
    </row>
    <row r="15" spans="1:9" ht="19.2" customHeight="1" x14ac:dyDescent="0.3">
      <c r="A15" s="2">
        <v>9</v>
      </c>
      <c r="B15" s="29" t="s">
        <v>19</v>
      </c>
      <c r="C15" s="13"/>
      <c r="D15" s="31"/>
      <c r="E15" s="31"/>
      <c r="F15" s="31"/>
      <c r="G15" s="10"/>
      <c r="H15" s="10"/>
      <c r="I15" s="10"/>
    </row>
    <row r="16" spans="1:9" ht="18" customHeight="1" x14ac:dyDescent="0.3">
      <c r="A16" s="2">
        <v>10</v>
      </c>
      <c r="B16" s="29" t="s">
        <v>20</v>
      </c>
      <c r="C16" s="13"/>
      <c r="D16" s="13"/>
      <c r="E16" s="13"/>
      <c r="F16" s="30"/>
      <c r="G16" s="33"/>
      <c r="H16" s="33"/>
      <c r="I16" s="33"/>
    </row>
    <row r="17" spans="1:6" ht="16.8" customHeight="1" x14ac:dyDescent="0.3">
      <c r="A17" s="2">
        <v>11</v>
      </c>
      <c r="B17" s="5" t="s">
        <v>21</v>
      </c>
      <c r="C17" s="13"/>
      <c r="D17" s="13"/>
      <c r="E17" s="13"/>
      <c r="F17" s="14"/>
    </row>
    <row r="18" spans="1:6" ht="25.95" customHeight="1" x14ac:dyDescent="0.3">
      <c r="A18" s="2">
        <v>12</v>
      </c>
      <c r="B18" s="5" t="s">
        <v>56</v>
      </c>
      <c r="C18" s="13"/>
      <c r="D18" s="13"/>
      <c r="E18" s="13"/>
      <c r="F18" s="16"/>
    </row>
    <row r="19" spans="1:6" ht="25.95" customHeight="1" x14ac:dyDescent="0.3">
      <c r="A19" s="2">
        <v>13</v>
      </c>
      <c r="B19" s="39" t="s">
        <v>23</v>
      </c>
      <c r="C19" s="13"/>
      <c r="D19" s="13"/>
      <c r="E19" s="13"/>
      <c r="F19" s="16"/>
    </row>
    <row r="20" spans="1:6" ht="23.4" customHeight="1" x14ac:dyDescent="0.3">
      <c r="A20" s="25">
        <v>14</v>
      </c>
      <c r="B20" s="39" t="s">
        <v>24</v>
      </c>
      <c r="C20" s="13"/>
      <c r="D20" s="13"/>
      <c r="E20" s="13"/>
      <c r="F20" s="16"/>
    </row>
    <row r="21" spans="1:6" ht="28.8" customHeight="1" x14ac:dyDescent="0.3">
      <c r="A21" s="2">
        <v>15</v>
      </c>
      <c r="B21" s="39" t="s">
        <v>57</v>
      </c>
      <c r="C21" s="13"/>
      <c r="D21" s="13"/>
      <c r="E21" s="13"/>
      <c r="F21" s="16"/>
    </row>
    <row r="22" spans="1:6" x14ac:dyDescent="0.3">
      <c r="A22" s="2">
        <v>16</v>
      </c>
      <c r="B22" s="39" t="s">
        <v>58</v>
      </c>
      <c r="C22" s="13"/>
      <c r="D22" s="13"/>
      <c r="E22" s="13"/>
      <c r="F22" s="16"/>
    </row>
    <row r="23" spans="1:6" x14ac:dyDescent="0.3">
      <c r="A23" s="2">
        <v>17</v>
      </c>
      <c r="B23" s="39" t="s">
        <v>27</v>
      </c>
      <c r="C23" s="13"/>
      <c r="D23" s="13"/>
      <c r="E23" s="13"/>
      <c r="F23" s="16"/>
    </row>
    <row r="24" spans="1:6" x14ac:dyDescent="0.3">
      <c r="A24" s="2">
        <v>18</v>
      </c>
      <c r="B24" s="39" t="s">
        <v>28</v>
      </c>
      <c r="C24" s="13"/>
      <c r="D24" s="13"/>
      <c r="E24" s="13"/>
      <c r="F24" s="16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3"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4"/>
  <sheetViews>
    <sheetView showGridLines="0" zoomScaleNormal="100" workbookViewId="0"/>
  </sheetViews>
  <sheetFormatPr baseColWidth="10" defaultColWidth="10.88671875" defaultRowHeight="14.4" x14ac:dyDescent="0.3"/>
  <cols>
    <col min="2" max="2" width="61.33203125" customWidth="1"/>
    <col min="3" max="3" width="7.33203125" customWidth="1"/>
    <col min="4" max="4" width="7.21875" customWidth="1"/>
    <col min="5" max="5" width="10.109375" customWidth="1"/>
    <col min="6" max="6" width="46" customWidth="1"/>
    <col min="7" max="7" width="5" customWidth="1"/>
    <col min="8" max="8" width="4.77734375" customWidth="1"/>
    <col min="9" max="9" width="3.77734375" customWidth="1"/>
    <col min="11" max="11" width="19.44140625" customWidth="1"/>
    <col min="12" max="12" width="24.21875" customWidth="1"/>
    <col min="13" max="13" width="26.44140625" customWidth="1"/>
    <col min="14" max="14" width="7.77734375" customWidth="1"/>
    <col min="15" max="15" width="7.6640625" customWidth="1"/>
    <col min="16" max="16" width="9.77734375" customWidth="1"/>
    <col min="17" max="17" width="56.88671875" customWidth="1"/>
  </cols>
  <sheetData>
    <row r="1" spans="1:9" ht="15.45" customHeight="1" x14ac:dyDescent="0.3">
      <c r="E1" s="6" t="s">
        <v>0</v>
      </c>
      <c r="F1" s="4">
        <f>COUNTA(C7:C24)+COUNTA(D7:D24)+COUNTA(E7:E24)</f>
        <v>0</v>
      </c>
    </row>
    <row r="2" spans="1:9" ht="15.45" customHeight="1" x14ac:dyDescent="0.3">
      <c r="E2" s="6" t="s">
        <v>1</v>
      </c>
      <c r="F2" s="7" t="str">
        <f>IF(((IFERROR(COUNTA(C7:C24)+COUNTA(E7:E24)/F1,0)))=0,"",(COUNTA(C7:C24)+COUNTA(E7:E24))/F1)</f>
        <v/>
      </c>
    </row>
    <row r="4" spans="1:9" ht="18.45" customHeight="1" x14ac:dyDescent="0.35">
      <c r="A4" s="84" t="s">
        <v>2</v>
      </c>
      <c r="B4" s="85"/>
      <c r="C4" s="85"/>
      <c r="D4" s="85"/>
      <c r="E4" s="85"/>
      <c r="F4" s="85"/>
    </row>
    <row r="5" spans="1:9" ht="18.600000000000001" customHeight="1" x14ac:dyDescent="0.3">
      <c r="A5" s="81" t="s">
        <v>3</v>
      </c>
      <c r="B5" s="8" t="s">
        <v>4</v>
      </c>
      <c r="C5" s="83" t="s">
        <v>5</v>
      </c>
      <c r="D5" s="65"/>
      <c r="E5" s="66"/>
      <c r="F5" s="86" t="s">
        <v>6</v>
      </c>
    </row>
    <row r="6" spans="1:9" ht="18.600000000000001" customHeight="1" x14ac:dyDescent="0.3">
      <c r="A6" s="82"/>
      <c r="B6" s="8" t="s">
        <v>7</v>
      </c>
      <c r="C6" s="9" t="s">
        <v>8</v>
      </c>
      <c r="D6" s="9" t="s">
        <v>9</v>
      </c>
      <c r="E6" s="9" t="s">
        <v>10</v>
      </c>
      <c r="F6" s="82"/>
    </row>
    <row r="7" spans="1:9" ht="29.4" customHeight="1" x14ac:dyDescent="0.3">
      <c r="A7" s="2">
        <v>1</v>
      </c>
      <c r="B7" s="37" t="s">
        <v>11</v>
      </c>
      <c r="C7" s="13"/>
      <c r="D7" s="13"/>
      <c r="E7" s="13"/>
      <c r="F7" s="14"/>
    </row>
    <row r="8" spans="1:9" s="32" customFormat="1" ht="15.6" customHeight="1" x14ac:dyDescent="0.3">
      <c r="A8" s="25">
        <v>2</v>
      </c>
      <c r="B8" s="38" t="s">
        <v>12</v>
      </c>
      <c r="C8" s="26"/>
      <c r="D8" s="27"/>
      <c r="E8" s="27"/>
      <c r="F8" s="27"/>
      <c r="G8" s="34"/>
      <c r="H8" s="34"/>
      <c r="I8" s="34"/>
    </row>
    <row r="9" spans="1:9" ht="21" customHeight="1" x14ac:dyDescent="0.3">
      <c r="A9" s="2">
        <v>3</v>
      </c>
      <c r="B9" s="12" t="s">
        <v>13</v>
      </c>
      <c r="C9" s="13"/>
      <c r="D9" s="13"/>
      <c r="E9" s="13"/>
      <c r="F9" s="30"/>
    </row>
    <row r="10" spans="1:9" ht="25.2" customHeight="1" x14ac:dyDescent="0.3">
      <c r="A10" s="2">
        <v>4</v>
      </c>
      <c r="B10" s="40" t="s">
        <v>14</v>
      </c>
      <c r="C10" s="13"/>
      <c r="D10" s="13"/>
      <c r="E10" s="13"/>
      <c r="F10" s="14"/>
    </row>
    <row r="11" spans="1:9" ht="26.4" customHeight="1" x14ac:dyDescent="0.3">
      <c r="A11" s="2">
        <v>5</v>
      </c>
      <c r="B11" s="11" t="s">
        <v>15</v>
      </c>
      <c r="C11" s="13"/>
      <c r="D11" s="13"/>
      <c r="E11" s="13"/>
      <c r="F11" s="16"/>
    </row>
    <row r="12" spans="1:9" ht="26.4" customHeight="1" x14ac:dyDescent="0.3">
      <c r="A12" s="2">
        <v>6</v>
      </c>
      <c r="B12" s="11" t="s">
        <v>16</v>
      </c>
      <c r="C12" s="13"/>
      <c r="D12" s="13"/>
      <c r="E12" s="13"/>
      <c r="F12" s="14"/>
    </row>
    <row r="13" spans="1:9" s="28" customFormat="1" ht="27.6" customHeight="1" x14ac:dyDescent="0.3">
      <c r="A13" s="24">
        <v>7</v>
      </c>
      <c r="B13" s="29" t="s">
        <v>17</v>
      </c>
      <c r="C13" s="27"/>
      <c r="D13" s="27"/>
      <c r="E13" s="27"/>
      <c r="F13" s="16"/>
    </row>
    <row r="14" spans="1:9" ht="27" customHeight="1" x14ac:dyDescent="0.3">
      <c r="A14" s="24">
        <v>8</v>
      </c>
      <c r="B14" s="29" t="s">
        <v>18</v>
      </c>
      <c r="C14" s="27"/>
      <c r="D14" s="27"/>
      <c r="E14" s="27"/>
      <c r="F14" s="16"/>
    </row>
    <row r="15" spans="1:9" ht="14.4" customHeight="1" x14ac:dyDescent="0.3">
      <c r="A15" s="24">
        <v>9</v>
      </c>
      <c r="B15" s="29" t="s">
        <v>19</v>
      </c>
      <c r="C15" s="27"/>
      <c r="D15" s="35"/>
      <c r="E15" s="35"/>
      <c r="F15" s="35"/>
      <c r="G15" s="10"/>
      <c r="H15" s="10"/>
      <c r="I15" s="10"/>
    </row>
    <row r="16" spans="1:9" ht="14.4" customHeight="1" x14ac:dyDescent="0.3">
      <c r="A16" s="24">
        <v>10</v>
      </c>
      <c r="B16" s="29" t="s">
        <v>20</v>
      </c>
      <c r="C16" s="27"/>
      <c r="D16" s="27"/>
      <c r="E16" s="27"/>
      <c r="F16" s="15"/>
      <c r="G16" s="33"/>
      <c r="H16" s="33"/>
      <c r="I16" s="33"/>
    </row>
    <row r="17" spans="1:6" x14ac:dyDescent="0.3">
      <c r="A17" s="24">
        <v>11</v>
      </c>
      <c r="B17" s="5" t="s">
        <v>21</v>
      </c>
      <c r="C17" s="27"/>
      <c r="D17" s="27"/>
      <c r="E17" s="27"/>
      <c r="F17" s="16"/>
    </row>
    <row r="18" spans="1:6" ht="25.95" customHeight="1" x14ac:dyDescent="0.3">
      <c r="A18" s="24">
        <v>12</v>
      </c>
      <c r="B18" s="5" t="s">
        <v>22</v>
      </c>
      <c r="C18" s="27"/>
      <c r="D18" s="27"/>
      <c r="E18" s="27"/>
      <c r="F18" s="16"/>
    </row>
    <row r="19" spans="1:6" ht="17.399999999999999" customHeight="1" x14ac:dyDescent="0.3">
      <c r="A19" s="2">
        <v>13</v>
      </c>
      <c r="B19" s="39" t="s">
        <v>23</v>
      </c>
      <c r="C19" s="27"/>
      <c r="D19" s="27"/>
      <c r="E19" s="27"/>
      <c r="F19" s="16"/>
    </row>
    <row r="20" spans="1:6" x14ac:dyDescent="0.3">
      <c r="A20" s="25">
        <v>14</v>
      </c>
      <c r="B20" s="39" t="s">
        <v>24</v>
      </c>
      <c r="C20" s="27"/>
      <c r="D20" s="27"/>
      <c r="E20" s="27"/>
      <c r="F20" s="16"/>
    </row>
    <row r="21" spans="1:6" x14ac:dyDescent="0.3">
      <c r="A21" s="2">
        <v>15</v>
      </c>
      <c r="B21" s="39" t="s">
        <v>25</v>
      </c>
      <c r="C21" s="27"/>
      <c r="D21" s="27"/>
      <c r="E21" s="27"/>
      <c r="F21" s="16"/>
    </row>
    <row r="22" spans="1:6" x14ac:dyDescent="0.3">
      <c r="A22" s="2">
        <v>16</v>
      </c>
      <c r="B22" s="39" t="s">
        <v>26</v>
      </c>
      <c r="C22" s="27"/>
      <c r="D22" s="27"/>
      <c r="E22" s="27"/>
      <c r="F22" s="16"/>
    </row>
    <row r="23" spans="1:6" x14ac:dyDescent="0.3">
      <c r="A23" s="2">
        <v>17</v>
      </c>
      <c r="B23" s="39" t="s">
        <v>27</v>
      </c>
      <c r="C23" s="27"/>
      <c r="D23" s="27"/>
      <c r="E23" s="27"/>
      <c r="F23" s="16"/>
    </row>
    <row r="24" spans="1:6" x14ac:dyDescent="0.3">
      <c r="A24" s="2">
        <v>18</v>
      </c>
      <c r="B24" s="39" t="s">
        <v>28</v>
      </c>
      <c r="C24" s="27"/>
      <c r="D24" s="27"/>
      <c r="E24" s="27"/>
      <c r="F24" s="16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92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2024-07-10T22:00:00Z</cp:lastPrinted>
  <dcterms:created xsi:type="dcterms:W3CDTF">2019-09-25T18:39:09Z</dcterms:created>
  <dcterms:modified xsi:type="dcterms:W3CDTF">2026-09-30T20:09:58Z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