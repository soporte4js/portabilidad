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A7FFAC73-7841-4706-83ED-316B317E91B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Auditoría Proyectos" sheetId="2" r:id="rId2"/>
    <sheet name="2.-Auditorías Organizacionales" sheetId="3" r:id="rId3"/>
    <sheet name="3.-Tendencias" sheetId="4" r:id="rId4"/>
    <sheet name="Listas" sheetId="5" state="hidden" r:id="rId5"/>
  </sheets>
  <definedNames>
    <definedName name="_xlnm._FilterDatabase" localSheetId="1" hidden="1">'1.-Auditoría Proyectos'!$A$2:$K$13</definedName>
    <definedName name="_xlnm._FilterDatabase" localSheetId="2" hidden="1">'2.-Auditorías Organizacionales'!$A$2:$J$13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P8" i="4"/>
  <c r="E8" i="4"/>
  <c r="B8" i="4"/>
  <c r="P7" i="4"/>
  <c r="L7" i="4"/>
  <c r="E7" i="4"/>
  <c r="B7" i="4"/>
  <c r="P6" i="4"/>
  <c r="L6" i="4"/>
  <c r="E6" i="4"/>
  <c r="B6" i="4"/>
  <c r="S5" i="4"/>
  <c r="P5" i="4"/>
  <c r="L5" i="4"/>
  <c r="H5" i="4"/>
  <c r="E5" i="4"/>
  <c r="B5" i="4"/>
  <c r="S4" i="4"/>
  <c r="P4" i="4"/>
  <c r="L4" i="4"/>
  <c r="H4" i="4"/>
  <c r="E4" i="4"/>
  <c r="B4" i="4"/>
  <c r="S3" i="4"/>
  <c r="P3" i="4"/>
  <c r="L3" i="4"/>
  <c r="H3" i="4"/>
  <c r="E3" i="4"/>
  <c r="B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Lopez</author>
  </authors>
  <commentList>
    <comment ref="E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 el registro en la columna nombrada "observaciones" en el checklist de la auditoría.</t>
        </r>
      </text>
    </comment>
    <comment ref="F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Motivo / Argumento
Capacitación / No es que no quiera, es que no sabía
Herramientas / Es que no tenía los medios para hacerlo
Perfil de puesto / Es que esa no es mi responsabilidad 
Habilidades / Es que yo no soy experto en eso
Sobrecarga de trabajo / Es que tengo varios proyectos que antender
Bypass de altos mandos / Mi gerente m epidió no hacer pruebas para entregar más pronto </t>
        </r>
      </text>
    </comment>
    <comment ref="G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Registrar la acción a realizar para resolver la no conformidad.</t>
        </r>
      </text>
    </comment>
    <comment ref="H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Nombre y apellido</t>
        </r>
      </text>
    </comment>
    <comment ref="K2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Estado en que se encuentra la desviación:
Resuleto: Ya se resolvió la desviación
Abierto: Se encuentra en proceso de resolución
No se va a resolver: Se va a vivir con la desviación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J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Elegir una opción.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<sst xmlns="http://schemas.openxmlformats.org/spreadsheetml/2006/main" count="287" uniqueCount="103">
  <si>
    <t>Concentrado de hallazgos en auditoría de proyectos</t>
  </si>
  <si>
    <t xml:space="preserve">ID </t>
  </si>
  <si>
    <t>Fecha de detección</t>
  </si>
  <si>
    <t>Proyecto</t>
  </si>
  <si>
    <t>Nombre del procedimiento</t>
  </si>
  <si>
    <t>No conformidad</t>
  </si>
  <si>
    <t>Motivo de la desviación</t>
  </si>
  <si>
    <t>Acción</t>
  </si>
  <si>
    <t>Responsable</t>
  </si>
  <si>
    <t>Fecha planeada de cierre</t>
  </si>
  <si>
    <t>Fecha real de cierre</t>
  </si>
  <si>
    <t>Estado</t>
  </si>
  <si>
    <t>27/07/2026</t>
  </si>
  <si>
    <t>Portabilidad de Derechos Pensionarios entre ISSSTE e IMSS</t>
  </si>
  <si>
    <t>Estimación</t>
  </si>
  <si>
    <t>El histórico no desglosa dominio de aplicación, tecnología, complejidad y conocimiento del equipo.</t>
  </si>
  <si>
    <t>Herramientas</t>
  </si>
  <si>
    <t>Actualizar la plantilla de históricos (RG-Estimación) para incluir las 4 dimensiones solicitadas.</t>
  </si>
  <si>
    <t>Carlos Quintero Nava</t>
  </si>
  <si>
    <t>30/09/2026</t>
  </si>
  <si>
    <t>Abierto</t>
  </si>
  <si>
    <t>Diseño de software</t>
  </si>
  <si>
    <t>No se realizó auditoría de configuración específica al documento de Diseño de software.</t>
  </si>
  <si>
    <t>Sobrecarga de trabajo</t>
  </si>
  <si>
    <t>Programar y ejecutar la auditoría de configuración pendiente al documento de Diseño de software.</t>
  </si>
  <si>
    <t>No se realizó auditoría de configuración específica a los manuales de operación y mantenimiento.</t>
  </si>
  <si>
    <t>Programar y ejecutar la auditoría de configuración pendiente a los manuales.</t>
  </si>
  <si>
    <t>Construcción</t>
  </si>
  <si>
    <t>El defecto real (DEF-01) se registró en FT-Gestión de incidencias en vez de en la hoja "pruebas internas" de gestión de pruebas.</t>
  </si>
  <si>
    <t>Definir y comunicar con claridad en cuál documento se registran los defectos para evitar ambigüedad.</t>
  </si>
  <si>
    <t>Pruebas</t>
  </si>
  <si>
    <t>El manual de usuario conserva imágenes ilustrativas genéricas de la plantilla, no capturas reales del sistema.</t>
  </si>
  <si>
    <t>Sustituir las imágenes genéricas por capturas reales de los portales SINAVID-OV/SIPE-AV.</t>
  </si>
  <si>
    <t>Entrega</t>
  </si>
  <si>
    <t>No se cuenta con un formulario de entrega construido para el proyecto.</t>
  </si>
  <si>
    <t>Elaborar y utilizar un formulario de entrega para la aceptación formal del cliente.</t>
  </si>
  <si>
    <t>Cierre</t>
  </si>
  <si>
    <t>No se ha realizado una reunión formal de lecciones aprendidas para el proyecto.</t>
  </si>
  <si>
    <t>Programar la reunión de lecciones aprendidas antes del cierre formal del proyecto.</t>
  </si>
  <si>
    <t>No se ha generado un informe de cierre para el gerente de proyectos.</t>
  </si>
  <si>
    <t>Elaborar el informe de cierre del proyecto para el gerente de proyectos.</t>
  </si>
  <si>
    <t>Monitoreo</t>
  </si>
  <si>
    <t>No se documentó un análisis de riesgos específico para la implementación del cambio CR-01.</t>
  </si>
  <si>
    <t>Documentar retroactivamente el análisis de riesgos de CR-01 y aplicarlo a futuros cambios.</t>
  </si>
  <si>
    <t>El plan de proyecto no se actualizó explícitamente para reflejar las actividades de la re-portabilidad.</t>
  </si>
  <si>
    <t>Actualizar el plan de proyecto para reflejar las actividades del cambio CR-01.</t>
  </si>
  <si>
    <t>Historial de versiones</t>
  </si>
  <si>
    <t>Fecha</t>
  </si>
  <si>
    <t>Versión</t>
  </si>
  <si>
    <t>Descripción</t>
  </si>
  <si>
    <t>Autor</t>
  </si>
  <si>
    <t>Carlos Quintero N.</t>
  </si>
  <si>
    <t>Si se tiene un sistema de gestión de versiones eliminar esta hoja.</t>
  </si>
  <si>
    <t>Nota: Algunas celdas estan marcadas para que sea visible el funcionamiento de la herramienta</t>
  </si>
  <si>
    <t>Concentrado de hallazgos en auditoría de procedimientos organizacionales</t>
  </si>
  <si>
    <t>Auditoría de procedimientos</t>
  </si>
  <si>
    <t>El plan de auditorías no menciona explícitamente los proyectos que serán auditados.</t>
  </si>
  <si>
    <t>Actualizar DZ-Plan de auditorías para incluir el alcance de proyectos a auditar.</t>
  </si>
  <si>
    <t>No hay evidencia de aprobación formal del plan de auditorías por parte del director general.</t>
  </si>
  <si>
    <t>Bypass de altos mandos</t>
  </si>
  <si>
    <t>Obtener y documentar la aprobación formal del director general.</t>
  </si>
  <si>
    <t xml:space="preserve">Evaluación de procedimientos </t>
  </si>
  <si>
    <t>El ciclo de evaluación de Estimación sigue en curso, sin resultados ni áreas de mejora documentadas.</t>
  </si>
  <si>
    <t>Concluir el ciclo de evaluación de Estimación y documentar resultados.</t>
  </si>
  <si>
    <t>Gestión de mejoras</t>
  </si>
  <si>
    <t>El registro de la única mejora real (ID004) no vincula un objetivo de negocio, al estar aún en fase de registro.</t>
  </si>
  <si>
    <t>Realizar el análisis pendiente de la mejora ID004 con el comité correspondiente.</t>
  </si>
  <si>
    <t>PR-Gestión de mejoras no enumera qué procedimientos serán evaluados.</t>
  </si>
  <si>
    <t>Actualizar PR-Gestión de mejoras para especificar los procedimientos sujetos a mejora.</t>
  </si>
  <si>
    <t>Gestión de negocio</t>
  </si>
  <si>
    <t>No hay evidencia de revisión periódica formal de los resultados de medición.</t>
  </si>
  <si>
    <t>Establecer y documentar reuniones periódicas de revisión de resultados de medición.</t>
  </si>
  <si>
    <t>No hay evidencia de revisión periódica formal del seguimiento a procesos y su plan de mejora.</t>
  </si>
  <si>
    <t>Establecer y documentar reuniones periódicas de seguimiento a procesos.</t>
  </si>
  <si>
    <t>No hay evidencia de revisión periódica formal del avance de los objetivos de negocio.</t>
  </si>
  <si>
    <t>Establecer y documentar reuniones periódicas de revisión de avance de objetivos.</t>
  </si>
  <si>
    <t>No hay evidencia de revisión periódica formal de las tendencias de calidad.</t>
  </si>
  <si>
    <t>Establecer y documentar reuniones periódicas de revisión de tendencias de calidad.</t>
  </si>
  <si>
    <t>No hay evidencia de revisión periódica formal de problemas identificados y su solución.</t>
  </si>
  <si>
    <t>Establecer y documentar reuniones periódicas de revisión de problemas y soluciones.</t>
  </si>
  <si>
    <t>No hay evidencia de revisión periódica formal de la necesidad de acciones correctivas.</t>
  </si>
  <si>
    <t>Establecer y documentar reuniones periódicas de revisión de acciones correctivas.</t>
  </si>
  <si>
    <t>Auditoría de proyecto</t>
  </si>
  <si>
    <t>Auditoría de procedimientos organizacionales</t>
  </si>
  <si>
    <t>Proceso</t>
  </si>
  <si>
    <t>Hallazgos</t>
  </si>
  <si>
    <t xml:space="preserve">Motivos </t>
  </si>
  <si>
    <t>Procedimiento</t>
  </si>
  <si>
    <t>Capacitación</t>
  </si>
  <si>
    <t>Planeación</t>
  </si>
  <si>
    <t>Resuelto</t>
  </si>
  <si>
    <t>Gestión de requisitos</t>
  </si>
  <si>
    <t>Perfil de puesto</t>
  </si>
  <si>
    <t>No se va a resolver</t>
  </si>
  <si>
    <t>Gestión de capacitación</t>
  </si>
  <si>
    <t>Habilidades</t>
  </si>
  <si>
    <t>Revisión por pares</t>
  </si>
  <si>
    <t xml:space="preserve">                                                                                                                                                                         </t>
  </si>
  <si>
    <t>Motivo</t>
  </si>
  <si>
    <t>Fase del proyecto auditada</t>
  </si>
  <si>
    <t>Procedimientos organizacional</t>
  </si>
  <si>
    <t>Alcance a nivel proyecto</t>
  </si>
  <si>
    <t>Creacion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</si>
</sst>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  <scheme val="minor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5" xfId="0" applyBorder="1"/>
    <xf numFmtId="0" fontId="11" fillId="3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3613821591152627E-2"/>
          <c:y val="0.22638746826537121"/>
          <c:w val="0.86547301246115105"/>
          <c:h val="0.40171341568306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'3.-Tendencias'!$E$2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'3.-Tendencias'!$D$3:$D$8</c:f>
              <c:strCache>
                <c:ptCount val="6"/>
                <c:pt idx="0">
                  <c:v>Capacitación</c:v>
                </c:pt>
                <c:pt idx="1">
                  <c:v>Herramientas</c:v>
                </c:pt>
                <c:pt idx="2">
                  <c:v>Perfil de puesto</c:v>
                </c:pt>
                <c:pt idx="3">
                  <c:v>Habilidades</c:v>
                </c:pt>
                <c:pt idx="4">
                  <c:v>Sobrecarga de trabajo</c:v>
                </c:pt>
                <c:pt idx="5">
                  <c:v>Bypass de altos mandos</c:v>
                </c:pt>
              </c:strCache>
            </c:strRef>
          </c:cat>
          <c:val>
            <c:numRef>
              <c:f>'3.-Tendencias'!$E$3:$E$8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B-4F5D-9E85-729E60F45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592896"/>
        <c:axId val="698084832"/>
      </c:barChart>
      <c:catAx>
        <c:axId val="128559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8084832"/>
        <c:crosses val="autoZero"/>
        <c:auto val="1"/>
        <c:lblAlgn val="ctr"/>
        <c:lblOffset val="100"/>
        <c:noMultiLvlLbl val="0"/>
      </c:catAx>
      <c:valAx>
        <c:axId val="6980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559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'3.-Tendencias'!$H$2</c:f>
              <c:strCache>
                <c:ptCount val="1"/>
                <c:pt idx="0">
                  <c:v>Hallazgos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8-40B9-8DF8-4BC850E79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98-40B9-8DF8-4BC850E79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98-40B9-8DF8-4BC850E79D38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98-40B9-8DF8-4BC850E79D38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98-40B9-8DF8-4BC850E79D38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98-40B9-8DF8-4BC850E79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'3.-Tendencias'!$G$3:$G$5</c:f>
              <c:strCache>
                <c:ptCount val="3"/>
                <c:pt idx="0">
                  <c:v>Abierto</c:v>
                </c:pt>
                <c:pt idx="1">
                  <c:v>Resuelto</c:v>
                </c:pt>
                <c:pt idx="2">
                  <c:v>No se va a resolver</c:v>
                </c:pt>
              </c:strCache>
            </c:strRef>
          </c:cat>
          <c:val>
            <c:numRef>
              <c:f>'3.-Tendencias'!$H$3:$H$5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98-40B9-8DF8-4BC850E79D3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'3.-Tendencias'!$P$2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'3.-Tendencias'!$O$3:$O$8</c:f>
              <c:strCache>
                <c:ptCount val="6"/>
                <c:pt idx="0">
                  <c:v>Capacitación</c:v>
                </c:pt>
                <c:pt idx="1">
                  <c:v>Herramientas</c:v>
                </c:pt>
                <c:pt idx="2">
                  <c:v>Perfil de puesto</c:v>
                </c:pt>
                <c:pt idx="3">
                  <c:v>Habilidades</c:v>
                </c:pt>
                <c:pt idx="4">
                  <c:v>Sobrecarga de trabajo</c:v>
                </c:pt>
                <c:pt idx="5">
                  <c:v>Bypass de altos mandos</c:v>
                </c:pt>
              </c:strCache>
            </c:strRef>
          </c:cat>
          <c:val>
            <c:numRef>
              <c:f>'3.-Tendencias'!$P$3:$P$8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2-4AA5-B6F5-E730951473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07536352"/>
        <c:axId val="114777007"/>
      </c:barChart>
      <c:catAx>
        <c:axId val="160753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77007"/>
        <c:crosses val="autoZero"/>
        <c:auto val="1"/>
        <c:lblAlgn val="ctr"/>
        <c:lblOffset val="100"/>
        <c:noMultiLvlLbl val="0"/>
      </c:catAx>
      <c:valAx>
        <c:axId val="114777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753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'3.-Tendencias'!$S$2</c:f>
              <c:strCache>
                <c:ptCount val="1"/>
                <c:pt idx="0">
                  <c:v>Hallazgos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6-47DE-8479-22A4BD0798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6-47DE-8479-22A4BD0798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6-47DE-8479-22A4BD0798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'3.-Tendencias'!$R$3:$R$5</c:f>
              <c:strCache>
                <c:ptCount val="3"/>
                <c:pt idx="0">
                  <c:v>Abierto</c:v>
                </c:pt>
                <c:pt idx="1">
                  <c:v>Resuelto</c:v>
                </c:pt>
                <c:pt idx="2">
                  <c:v>No se va a resolver</c:v>
                </c:pt>
              </c:strCache>
            </c:strRef>
          </c:cat>
          <c:val>
            <c:numRef>
              <c:f>'3.-Tendencias'!$S$3:$S$5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96-47DE-8479-22A4BD07986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MX"/>
              <a:t>None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'3.-Tendencias'!$B$2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'3.-Tendencias'!$A$3:$A$12</c:f>
              <c:strCache>
                <c:ptCount val="10"/>
                <c:pt idx="0">
                  <c:v>Estimación</c:v>
                </c:pt>
                <c:pt idx="1">
                  <c:v>Planeación</c:v>
                </c:pt>
                <c:pt idx="2">
                  <c:v>Gestión de requisitos</c:v>
                </c:pt>
                <c:pt idx="3">
                  <c:v>Diseño de software</c:v>
                </c:pt>
                <c:pt idx="4">
                  <c:v>Construcción</c:v>
                </c:pt>
                <c:pt idx="5">
                  <c:v>Revisión por pares</c:v>
                </c:pt>
                <c:pt idx="6">
                  <c:v>Pruebas</c:v>
                </c:pt>
                <c:pt idx="7">
                  <c:v>Entrega</c:v>
                </c:pt>
                <c:pt idx="8">
                  <c:v>Cierre</c:v>
                </c:pt>
                <c:pt idx="9">
                  <c:v>Monitoreo</c:v>
                </c:pt>
              </c:strCache>
            </c:strRef>
          </c:cat>
          <c:val>
            <c:numRef>
              <c:f>'3.-Tendencias'!$B$3:$B$12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E-49FB-A5A9-E841C696F6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7686831"/>
        <c:axId val="446659711"/>
      </c:barChart>
      <c:catAx>
        <c:axId val="4476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6659711"/>
        <c:crosses val="autoZero"/>
        <c:auto val="1"/>
        <c:lblAlgn val="ctr"/>
        <c:lblOffset val="100"/>
        <c:noMultiLvlLbl val="0"/>
      </c:catAx>
      <c:valAx>
        <c:axId val="4466597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6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MX"/>
              <a:t>None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'3.-Tendencias'!$L$2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'3.-Tendencias'!$K$3:$K$7</c:f>
              <c:strCache>
                <c:ptCount val="5"/>
                <c:pt idx="0">
                  <c:v>Auditoría de procedimientos</c:v>
                </c:pt>
                <c:pt idx="1">
                  <c:v>Evaluación de procedimientos </c:v>
                </c:pt>
                <c:pt idx="2">
                  <c:v>Gestión de capacitación</c:v>
                </c:pt>
                <c:pt idx="3">
                  <c:v>Gestión de negocio</c:v>
                </c:pt>
                <c:pt idx="4">
                  <c:v>Gestión de mejoras</c:v>
                </c:pt>
              </c:strCache>
            </c:strRef>
          </c:cat>
          <c:val>
            <c:numRef>
              <c:f>'3.-Tendencias'!$L$3:$L$7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C-465D-BAFA-B7F3203DC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6103551"/>
        <c:axId val="442445775"/>
      </c:barChart>
      <c:catAx>
        <c:axId val="200610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445775"/>
        <c:crosses val="autoZero"/>
        <c:auto val="1"/>
        <c:lblAlgn val="ctr"/>
        <c:lblOffset val="100"/>
        <c:noMultiLvlLbl val="0"/>
      </c:catAx>
      <c:valAx>
        <c:axId val="4424457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610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23</xdr:row>
      <xdr:rowOff>44133</xdr:rowOff>
    </xdr:from>
    <xdr:to>
      <xdr:col>3</xdr:col>
      <xdr:colOff>1362665</xdr:colOff>
      <xdr:row>36</xdr:row>
      <xdr:rowOff>122463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110652</xdr:colOff>
      <xdr:row>22</xdr:row>
      <xdr:rowOff>171226</xdr:rowOff>
    </xdr:from>
    <xdr:to>
      <xdr:col>8</xdr:col>
      <xdr:colOff>762000</xdr:colOff>
      <xdr:row>36</xdr:row>
      <xdr:rowOff>13608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1795069</xdr:colOff>
      <xdr:row>22</xdr:row>
      <xdr:rowOff>162997</xdr:rowOff>
    </xdr:from>
    <xdr:to>
      <xdr:col>14</xdr:col>
      <xdr:colOff>1264662</xdr:colOff>
      <xdr:row>38</xdr:row>
      <xdr:rowOff>112972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812619</xdr:colOff>
      <xdr:row>9</xdr:row>
      <xdr:rowOff>105863</xdr:rowOff>
    </xdr:from>
    <xdr:to>
      <xdr:col>21</xdr:col>
      <xdr:colOff>126275</xdr:colOff>
      <xdr:row>25</xdr:row>
      <xdr:rowOff>20682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650557</xdr:colOff>
      <xdr:row>8</xdr:row>
      <xdr:rowOff>148590</xdr:rowOff>
    </xdr:from>
    <xdr:to>
      <xdr:col>8</xdr:col>
      <xdr:colOff>74295</xdr:colOff>
      <xdr:row>21</xdr:row>
      <xdr:rowOff>124777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39333</xdr:colOff>
      <xdr:row>8</xdr:row>
      <xdr:rowOff>37429</xdr:rowOff>
    </xdr:from>
    <xdr:to>
      <xdr:col>13</xdr:col>
      <xdr:colOff>207422</xdr:colOff>
      <xdr:row>21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4" bestFit="1" customWidth="1"/>
    <col min="2" max="2" width="23.5546875" style="4" customWidth="1"/>
    <col min="3" max="3" width="47.44140625" style="4" customWidth="1"/>
    <col min="4" max="4" width="26.5546875" style="4" customWidth="1"/>
    <col min="5" max="5" width="11.44140625" style="4" customWidth="1"/>
    <col min="6" max="16384" width="11.44140625" style="4"/>
  </cols>
  <sheetData>
    <row r="1" spans="1:4" ht="15" customHeight="1" x14ac:dyDescent="0.3">
      <c r="A1" s="29" t="e" vm="1">
        <v>#VALUE!</v>
      </c>
      <c r="B1" s="30"/>
    </row>
    <row r="2" spans="1:4" ht="55.5" customHeight="1" x14ac:dyDescent="0.3">
      <c r="A2" s="31"/>
      <c r="B2" s="32"/>
    </row>
    <row r="3" spans="1:4" ht="30.75" customHeight="1" x14ac:dyDescent="0.3">
      <c r="A3" s="33" t="s">
        <v>101</v>
      </c>
      <c r="B3" s="34"/>
    </row>
    <row r="4" spans="1:4" ht="15.75" customHeight="1" x14ac:dyDescent="0.3"/>
    <row r="5" spans="1:4" ht="15" customHeight="1" x14ac:dyDescent="0.3"/>
    <row r="6" spans="1:4" ht="18.75" customHeight="1" x14ac:dyDescent="0.35">
      <c r="A6" s="36" t="s">
        <v>46</v>
      </c>
      <c r="B6" s="34"/>
      <c r="C6" s="34"/>
      <c r="D6" s="34"/>
    </row>
    <row r="7" spans="1:4" ht="15" customHeight="1" x14ac:dyDescent="0.3"/>
    <row r="8" spans="1:4" ht="18.75" customHeight="1" x14ac:dyDescent="0.3">
      <c r="A8" s="24" t="s">
        <v>47</v>
      </c>
      <c r="B8" s="24" t="s">
        <v>48</v>
      </c>
      <c r="C8" s="24" t="s">
        <v>49</v>
      </c>
      <c r="D8" s="24" t="s">
        <v>50</v>
      </c>
    </row>
    <row r="9" spans="1:4" ht="32.25" customHeight="1" x14ac:dyDescent="0.3">
      <c r="A9" s="40">
        <v>46230</v>
      </c>
      <c r="B9" s="26">
        <v>1</v>
      </c>
      <c r="C9" s="26" t="s">
        <v>102</v>
      </c>
      <c r="D9" s="26" t="s">
        <v>51</v>
      </c>
    </row>
    <row r="10" spans="1:4" ht="32.25" customHeight="1" x14ac:dyDescent="0.3">
      <c r="A10" s="26"/>
      <c r="B10" s="26"/>
      <c r="C10" s="25"/>
      <c r="D10" s="26"/>
    </row>
    <row r="11" spans="1:4" ht="32.25" customHeight="1" x14ac:dyDescent="0.3">
      <c r="A11" s="26"/>
      <c r="B11" s="26"/>
      <c r="C11" s="25"/>
      <c r="D11" s="26"/>
    </row>
    <row r="12" spans="1:4" ht="32.25" customHeight="1" x14ac:dyDescent="0.3"/>
    <row r="13" spans="1:4" ht="15.75" customHeight="1" x14ac:dyDescent="0.3">
      <c r="A13" s="35" t="s">
        <v>52</v>
      </c>
      <c r="B13" s="34"/>
      <c r="C13" s="34"/>
      <c r="D13" s="34"/>
    </row>
    <row r="14" spans="1:4" ht="30.75" customHeight="1" x14ac:dyDescent="0.3">
      <c r="A14" s="4" t="s">
        <v>53</v>
      </c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3"/>
  <sheetViews>
    <sheetView showGridLines="0" tabSelected="1" zoomScaleNormal="100" workbookViewId="0">
      <selection activeCell="A2" sqref="A2"/>
    </sheetView>
  </sheetViews>
  <sheetFormatPr baseColWidth="10" defaultColWidth="10.88671875" defaultRowHeight="14.4" x14ac:dyDescent="0.3"/>
  <cols>
    <col min="1" max="1" width="13.6640625" customWidth="1"/>
    <col min="2" max="2" width="21.33203125" customWidth="1"/>
    <col min="3" max="3" width="52.33203125" bestFit="1" customWidth="1"/>
    <col min="4" max="4" width="25.109375" customWidth="1"/>
    <col min="5" max="5" width="40" customWidth="1"/>
    <col min="6" max="6" width="28" customWidth="1"/>
    <col min="7" max="7" width="36.6640625" customWidth="1"/>
    <col min="8" max="8" width="22.6640625" customWidth="1"/>
    <col min="9" max="10" width="16.5546875" customWidth="1"/>
    <col min="11" max="11" width="21" customWidth="1"/>
  </cols>
  <sheetData>
    <row r="1" spans="1:11" ht="21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1.5" customHeight="1" x14ac:dyDescent="0.3">
      <c r="A2" s="6" t="s">
        <v>1</v>
      </c>
      <c r="B2" s="7" t="s">
        <v>2</v>
      </c>
      <c r="C2" s="7" t="s">
        <v>3</v>
      </c>
      <c r="D2" s="20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8" t="s">
        <v>9</v>
      </c>
      <c r="J2" s="8" t="s">
        <v>10</v>
      </c>
      <c r="K2" s="6" t="s">
        <v>11</v>
      </c>
    </row>
    <row r="3" spans="1:11" ht="43.2" x14ac:dyDescent="0.3">
      <c r="A3" s="41">
        <v>1</v>
      </c>
      <c r="B3" s="42" t="s">
        <v>12</v>
      </c>
      <c r="C3" s="43" t="s">
        <v>13</v>
      </c>
      <c r="D3" s="22" t="s">
        <v>14</v>
      </c>
      <c r="E3" s="44" t="s">
        <v>15</v>
      </c>
      <c r="F3" s="23" t="s">
        <v>16</v>
      </c>
      <c r="G3" s="44" t="s">
        <v>17</v>
      </c>
      <c r="H3" s="45" t="s">
        <v>18</v>
      </c>
      <c r="I3" s="46" t="s">
        <v>19</v>
      </c>
      <c r="J3" s="46"/>
      <c r="K3" s="22" t="s">
        <v>20</v>
      </c>
    </row>
    <row r="4" spans="1:11" ht="43.2" x14ac:dyDescent="0.3">
      <c r="A4" s="41">
        <v>2</v>
      </c>
      <c r="B4" s="22" t="s">
        <v>12</v>
      </c>
      <c r="C4" s="22" t="s">
        <v>13</v>
      </c>
      <c r="D4" s="22" t="s">
        <v>21</v>
      </c>
      <c r="E4" s="47" t="s">
        <v>22</v>
      </c>
      <c r="F4" s="23" t="s">
        <v>23</v>
      </c>
      <c r="G4" s="47" t="s">
        <v>24</v>
      </c>
      <c r="H4" s="22" t="s">
        <v>18</v>
      </c>
      <c r="I4" s="22" t="s">
        <v>19</v>
      </c>
      <c r="J4" s="22"/>
      <c r="K4" s="22" t="s">
        <v>20</v>
      </c>
    </row>
    <row r="5" spans="1:11" ht="43.2" x14ac:dyDescent="0.3">
      <c r="A5" s="41">
        <v>3</v>
      </c>
      <c r="B5" s="22" t="s">
        <v>12</v>
      </c>
      <c r="C5" s="22" t="s">
        <v>13</v>
      </c>
      <c r="D5" s="22" t="s">
        <v>21</v>
      </c>
      <c r="E5" s="47" t="s">
        <v>25</v>
      </c>
      <c r="F5" s="23" t="s">
        <v>23</v>
      </c>
      <c r="G5" s="47" t="s">
        <v>26</v>
      </c>
      <c r="H5" s="22" t="s">
        <v>18</v>
      </c>
      <c r="I5" s="22" t="s">
        <v>19</v>
      </c>
      <c r="J5" s="22"/>
      <c r="K5" s="22" t="s">
        <v>20</v>
      </c>
    </row>
    <row r="6" spans="1:11" ht="43.2" x14ac:dyDescent="0.3">
      <c r="A6" s="41">
        <v>4</v>
      </c>
      <c r="B6" s="22" t="s">
        <v>12</v>
      </c>
      <c r="C6" s="22" t="s">
        <v>13</v>
      </c>
      <c r="D6" s="22" t="s">
        <v>27</v>
      </c>
      <c r="E6" s="47" t="s">
        <v>28</v>
      </c>
      <c r="F6" s="23" t="s">
        <v>16</v>
      </c>
      <c r="G6" s="47" t="s">
        <v>29</v>
      </c>
      <c r="H6" s="22" t="s">
        <v>18</v>
      </c>
      <c r="I6" s="22" t="s">
        <v>19</v>
      </c>
      <c r="J6" s="22"/>
      <c r="K6" s="22" t="s">
        <v>20</v>
      </c>
    </row>
    <row r="7" spans="1:11" ht="43.2" x14ac:dyDescent="0.3">
      <c r="A7" s="41">
        <v>5</v>
      </c>
      <c r="B7" s="22" t="s">
        <v>12</v>
      </c>
      <c r="C7" s="22" t="s">
        <v>13</v>
      </c>
      <c r="D7" s="22" t="s">
        <v>30</v>
      </c>
      <c r="E7" s="47" t="s">
        <v>31</v>
      </c>
      <c r="F7" s="23" t="s">
        <v>23</v>
      </c>
      <c r="G7" s="47" t="s">
        <v>32</v>
      </c>
      <c r="H7" s="22" t="s">
        <v>18</v>
      </c>
      <c r="I7" s="22" t="s">
        <v>19</v>
      </c>
      <c r="J7" s="22"/>
      <c r="K7" s="22" t="s">
        <v>20</v>
      </c>
    </row>
    <row r="8" spans="1:11" ht="28.8" x14ac:dyDescent="0.3">
      <c r="A8" s="41">
        <v>6</v>
      </c>
      <c r="B8" s="22" t="s">
        <v>12</v>
      </c>
      <c r="C8" s="22" t="s">
        <v>13</v>
      </c>
      <c r="D8" s="22" t="s">
        <v>33</v>
      </c>
      <c r="E8" s="47" t="s">
        <v>34</v>
      </c>
      <c r="F8" s="23" t="s">
        <v>16</v>
      </c>
      <c r="G8" s="47" t="s">
        <v>35</v>
      </c>
      <c r="H8" s="22" t="s">
        <v>18</v>
      </c>
      <c r="I8" s="22" t="s">
        <v>19</v>
      </c>
      <c r="J8" s="22"/>
      <c r="K8" s="22" t="s">
        <v>20</v>
      </c>
    </row>
    <row r="9" spans="1:11" ht="43.2" x14ac:dyDescent="0.3">
      <c r="A9" s="41">
        <v>7</v>
      </c>
      <c r="B9" s="22" t="s">
        <v>12</v>
      </c>
      <c r="C9" s="22" t="s">
        <v>13</v>
      </c>
      <c r="D9" s="22" t="s">
        <v>36</v>
      </c>
      <c r="E9" s="47" t="s">
        <v>37</v>
      </c>
      <c r="F9" s="23" t="s">
        <v>23</v>
      </c>
      <c r="G9" s="47" t="s">
        <v>38</v>
      </c>
      <c r="H9" s="22" t="s">
        <v>18</v>
      </c>
      <c r="I9" s="22" t="s">
        <v>19</v>
      </c>
      <c r="J9" s="22"/>
      <c r="K9" s="22" t="s">
        <v>20</v>
      </c>
    </row>
    <row r="10" spans="1:11" ht="28.8" x14ac:dyDescent="0.3">
      <c r="A10" s="41">
        <v>8</v>
      </c>
      <c r="B10" s="22" t="s">
        <v>12</v>
      </c>
      <c r="C10" s="22" t="s">
        <v>13</v>
      </c>
      <c r="D10" s="22" t="s">
        <v>36</v>
      </c>
      <c r="E10" s="47" t="s">
        <v>39</v>
      </c>
      <c r="F10" s="23" t="s">
        <v>23</v>
      </c>
      <c r="G10" s="47" t="s">
        <v>40</v>
      </c>
      <c r="H10" s="22" t="s">
        <v>18</v>
      </c>
      <c r="I10" s="22" t="s">
        <v>19</v>
      </c>
      <c r="J10" s="22"/>
      <c r="K10" s="22" t="s">
        <v>20</v>
      </c>
    </row>
    <row r="11" spans="1:11" ht="43.2" x14ac:dyDescent="0.3">
      <c r="A11" s="41">
        <v>9</v>
      </c>
      <c r="B11" s="22" t="s">
        <v>12</v>
      </c>
      <c r="C11" s="22" t="s">
        <v>13</v>
      </c>
      <c r="D11" s="22" t="s">
        <v>41</v>
      </c>
      <c r="E11" s="47" t="s">
        <v>42</v>
      </c>
      <c r="F11" s="23" t="s">
        <v>23</v>
      </c>
      <c r="G11" s="47" t="s">
        <v>43</v>
      </c>
      <c r="H11" s="22" t="s">
        <v>18</v>
      </c>
      <c r="I11" s="22" t="s">
        <v>19</v>
      </c>
      <c r="J11" s="22"/>
      <c r="K11" s="22" t="s">
        <v>20</v>
      </c>
    </row>
    <row r="12" spans="1:11" ht="43.2" x14ac:dyDescent="0.3">
      <c r="A12" s="41">
        <v>10</v>
      </c>
      <c r="B12" s="22" t="s">
        <v>12</v>
      </c>
      <c r="C12" s="22" t="s">
        <v>13</v>
      </c>
      <c r="D12" s="22" t="s">
        <v>41</v>
      </c>
      <c r="E12" s="47" t="s">
        <v>44</v>
      </c>
      <c r="F12" s="23" t="s">
        <v>23</v>
      </c>
      <c r="G12" s="47" t="s">
        <v>45</v>
      </c>
      <c r="H12" s="22" t="s">
        <v>18</v>
      </c>
      <c r="I12" s="22" t="s">
        <v>19</v>
      </c>
      <c r="J12" s="22"/>
      <c r="K12" s="22" t="s">
        <v>20</v>
      </c>
    </row>
    <row r="13" spans="1:11" ht="30" customHeight="1" x14ac:dyDescent="0.3">
      <c r="A13" s="5"/>
      <c r="B13" s="1"/>
      <c r="C13" s="1"/>
      <c r="D13" s="22"/>
      <c r="E13" s="1"/>
      <c r="F13" s="23"/>
      <c r="G13" s="1"/>
      <c r="H13" s="1"/>
      <c r="I13" s="1"/>
      <c r="J13" s="1"/>
      <c r="K13" s="22"/>
    </row>
  </sheetData>
  <autoFilter ref="A2:K13" xr:uid="{00000000-0009-0000-0000-000001000000}"/>
  <mergeCells count="1">
    <mergeCell ref="A1:K1"/>
  </mergeCells>
  <pageMargins left="0.7" right="0.7" top="0.75" bottom="0.75" header="0.3" footer="0.3"/>
  <pageSetup scale="46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3"/>
  <sheetViews>
    <sheetView showGridLines="0" zoomScale="85" zoomScaleNormal="85" workbookViewId="0">
      <selection activeCell="A2" sqref="A2"/>
    </sheetView>
  </sheetViews>
  <sheetFormatPr baseColWidth="10" defaultColWidth="11.44140625" defaultRowHeight="14.4" x14ac:dyDescent="0.3"/>
  <cols>
    <col min="1" max="1" width="8.88671875" customWidth="1"/>
    <col min="2" max="2" width="21.33203125" customWidth="1"/>
    <col min="3" max="3" width="29.6640625" customWidth="1"/>
    <col min="4" max="4" width="40" customWidth="1"/>
    <col min="5" max="5" width="28" customWidth="1"/>
    <col min="6" max="6" width="36.6640625" customWidth="1"/>
    <col min="7" max="7" width="22.6640625" customWidth="1"/>
    <col min="8" max="9" width="16.5546875" customWidth="1"/>
    <col min="10" max="10" width="21" customWidth="1"/>
  </cols>
  <sheetData>
    <row r="1" spans="1:10" ht="21" customHeight="1" x14ac:dyDescent="0.4">
      <c r="A1" s="37" t="s">
        <v>54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1.5" customHeight="1" x14ac:dyDescent="0.3">
      <c r="A2" s="6" t="s">
        <v>1</v>
      </c>
      <c r="B2" s="7" t="s">
        <v>2</v>
      </c>
      <c r="C2" s="20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8" t="s">
        <v>9</v>
      </c>
      <c r="I2" s="8" t="s">
        <v>10</v>
      </c>
      <c r="J2" s="6" t="s">
        <v>11</v>
      </c>
    </row>
    <row r="3" spans="1:10" s="54" customFormat="1" ht="43.2" x14ac:dyDescent="0.3">
      <c r="A3" s="41">
        <v>1</v>
      </c>
      <c r="B3" s="22" t="s">
        <v>12</v>
      </c>
      <c r="C3" s="48" t="s">
        <v>55</v>
      </c>
      <c r="D3" s="49" t="s">
        <v>56</v>
      </c>
      <c r="E3" s="49" t="s">
        <v>16</v>
      </c>
      <c r="F3" s="50" t="s">
        <v>57</v>
      </c>
      <c r="G3" s="51" t="s">
        <v>18</v>
      </c>
      <c r="H3" s="52" t="s">
        <v>19</v>
      </c>
      <c r="I3" s="52"/>
      <c r="J3" s="53" t="s">
        <v>20</v>
      </c>
    </row>
    <row r="4" spans="1:10" s="54" customFormat="1" ht="43.2" x14ac:dyDescent="0.3">
      <c r="A4" s="41">
        <v>2</v>
      </c>
      <c r="B4" s="55" t="s">
        <v>12</v>
      </c>
      <c r="C4" s="48" t="s">
        <v>55</v>
      </c>
      <c r="D4" s="56" t="s">
        <v>58</v>
      </c>
      <c r="E4" s="49" t="s">
        <v>59</v>
      </c>
      <c r="F4" s="56" t="s">
        <v>60</v>
      </c>
      <c r="G4" s="57" t="s">
        <v>18</v>
      </c>
      <c r="H4" s="55" t="s">
        <v>19</v>
      </c>
      <c r="I4" s="55"/>
      <c r="J4" s="53" t="s">
        <v>20</v>
      </c>
    </row>
    <row r="5" spans="1:10" s="54" customFormat="1" ht="43.2" x14ac:dyDescent="0.3">
      <c r="A5" s="41">
        <v>3</v>
      </c>
      <c r="B5" s="55" t="s">
        <v>12</v>
      </c>
      <c r="C5" s="48" t="s">
        <v>61</v>
      </c>
      <c r="D5" s="56" t="s">
        <v>62</v>
      </c>
      <c r="E5" s="49" t="s">
        <v>23</v>
      </c>
      <c r="F5" s="56" t="s">
        <v>63</v>
      </c>
      <c r="G5" s="57" t="s">
        <v>18</v>
      </c>
      <c r="H5" s="55" t="s">
        <v>19</v>
      </c>
      <c r="I5" s="55"/>
      <c r="J5" s="53" t="s">
        <v>20</v>
      </c>
    </row>
    <row r="6" spans="1:10" s="54" customFormat="1" ht="43.2" x14ac:dyDescent="0.3">
      <c r="A6" s="41">
        <v>4</v>
      </c>
      <c r="B6" s="55" t="s">
        <v>12</v>
      </c>
      <c r="C6" s="48" t="s">
        <v>64</v>
      </c>
      <c r="D6" s="56" t="s">
        <v>65</v>
      </c>
      <c r="E6" s="49" t="s">
        <v>23</v>
      </c>
      <c r="F6" s="56" t="s">
        <v>66</v>
      </c>
      <c r="G6" s="57" t="s">
        <v>18</v>
      </c>
      <c r="H6" s="55" t="s">
        <v>19</v>
      </c>
      <c r="I6" s="55"/>
      <c r="J6" s="53" t="s">
        <v>20</v>
      </c>
    </row>
    <row r="7" spans="1:10" s="54" customFormat="1" ht="43.2" x14ac:dyDescent="0.3">
      <c r="A7" s="41">
        <v>5</v>
      </c>
      <c r="B7" s="55" t="s">
        <v>12</v>
      </c>
      <c r="C7" s="48" t="s">
        <v>64</v>
      </c>
      <c r="D7" s="56" t="s">
        <v>67</v>
      </c>
      <c r="E7" s="49" t="s">
        <v>16</v>
      </c>
      <c r="F7" s="56" t="s">
        <v>68</v>
      </c>
      <c r="G7" s="57" t="s">
        <v>18</v>
      </c>
      <c r="H7" s="55" t="s">
        <v>19</v>
      </c>
      <c r="I7" s="55"/>
      <c r="J7" s="53" t="s">
        <v>20</v>
      </c>
    </row>
    <row r="8" spans="1:10" s="54" customFormat="1" ht="43.2" x14ac:dyDescent="0.3">
      <c r="A8" s="41">
        <v>6</v>
      </c>
      <c r="B8" s="55" t="s">
        <v>12</v>
      </c>
      <c r="C8" s="48" t="s">
        <v>69</v>
      </c>
      <c r="D8" s="56" t="s">
        <v>70</v>
      </c>
      <c r="E8" s="49" t="s">
        <v>23</v>
      </c>
      <c r="F8" s="56" t="s">
        <v>71</v>
      </c>
      <c r="G8" s="57" t="s">
        <v>18</v>
      </c>
      <c r="H8" s="55" t="s">
        <v>19</v>
      </c>
      <c r="I8" s="55"/>
      <c r="J8" s="53" t="s">
        <v>20</v>
      </c>
    </row>
    <row r="9" spans="1:10" s="54" customFormat="1" ht="43.2" x14ac:dyDescent="0.3">
      <c r="A9" s="41">
        <v>7</v>
      </c>
      <c r="B9" s="55" t="s">
        <v>12</v>
      </c>
      <c r="C9" s="48" t="s">
        <v>69</v>
      </c>
      <c r="D9" s="56" t="s">
        <v>72</v>
      </c>
      <c r="E9" s="49" t="s">
        <v>23</v>
      </c>
      <c r="F9" s="56" t="s">
        <v>73</v>
      </c>
      <c r="G9" s="57" t="s">
        <v>18</v>
      </c>
      <c r="H9" s="55" t="s">
        <v>19</v>
      </c>
      <c r="I9" s="55"/>
      <c r="J9" s="53" t="s">
        <v>20</v>
      </c>
    </row>
    <row r="10" spans="1:10" s="54" customFormat="1" ht="43.2" x14ac:dyDescent="0.3">
      <c r="A10" s="41">
        <v>8</v>
      </c>
      <c r="B10" s="55" t="s">
        <v>12</v>
      </c>
      <c r="C10" s="48" t="s">
        <v>69</v>
      </c>
      <c r="D10" s="56" t="s">
        <v>74</v>
      </c>
      <c r="E10" s="49" t="s">
        <v>23</v>
      </c>
      <c r="F10" s="56" t="s">
        <v>75</v>
      </c>
      <c r="G10" s="57" t="s">
        <v>18</v>
      </c>
      <c r="H10" s="55" t="s">
        <v>19</v>
      </c>
      <c r="I10" s="55"/>
      <c r="J10" s="53" t="s">
        <v>20</v>
      </c>
    </row>
    <row r="11" spans="1:10" s="54" customFormat="1" ht="43.2" x14ac:dyDescent="0.3">
      <c r="A11" s="41">
        <v>9</v>
      </c>
      <c r="B11" s="55" t="s">
        <v>12</v>
      </c>
      <c r="C11" s="48" t="s">
        <v>69</v>
      </c>
      <c r="D11" s="56" t="s">
        <v>76</v>
      </c>
      <c r="E11" s="49" t="s">
        <v>23</v>
      </c>
      <c r="F11" s="56" t="s">
        <v>77</v>
      </c>
      <c r="G11" s="57" t="s">
        <v>18</v>
      </c>
      <c r="H11" s="55" t="s">
        <v>19</v>
      </c>
      <c r="I11" s="55"/>
      <c r="J11" s="53" t="s">
        <v>20</v>
      </c>
    </row>
    <row r="12" spans="1:10" s="54" customFormat="1" ht="43.2" x14ac:dyDescent="0.3">
      <c r="A12" s="41">
        <v>10</v>
      </c>
      <c r="B12" s="55" t="s">
        <v>12</v>
      </c>
      <c r="C12" s="48" t="s">
        <v>69</v>
      </c>
      <c r="D12" s="56" t="s">
        <v>78</v>
      </c>
      <c r="E12" s="49" t="s">
        <v>23</v>
      </c>
      <c r="F12" s="56" t="s">
        <v>79</v>
      </c>
      <c r="G12" s="57" t="s">
        <v>18</v>
      </c>
      <c r="H12" s="55" t="s">
        <v>19</v>
      </c>
      <c r="I12" s="55"/>
      <c r="J12" s="53" t="s">
        <v>20</v>
      </c>
    </row>
    <row r="13" spans="1:10" s="54" customFormat="1" ht="43.2" x14ac:dyDescent="0.3">
      <c r="A13" s="41">
        <v>11</v>
      </c>
      <c r="B13" s="55" t="s">
        <v>12</v>
      </c>
      <c r="C13" s="48" t="s">
        <v>69</v>
      </c>
      <c r="D13" s="56" t="s">
        <v>80</v>
      </c>
      <c r="E13" s="49" t="s">
        <v>23</v>
      </c>
      <c r="F13" s="56" t="s">
        <v>81</v>
      </c>
      <c r="G13" s="57" t="s">
        <v>18</v>
      </c>
      <c r="H13" s="55" t="s">
        <v>19</v>
      </c>
      <c r="I13" s="55"/>
      <c r="J13" s="53" t="s">
        <v>20</v>
      </c>
    </row>
  </sheetData>
  <autoFilter ref="A2:J13" xr:uid="{00000000-0009-0000-0000-000002000000}"/>
  <mergeCells count="1">
    <mergeCell ref="A1:J1"/>
  </mergeCells>
  <pageMargins left="0.7" right="0.7" top="0.75" bottom="0.75" header="0.3" footer="0.3"/>
  <pageSetup paperSize="9" scale="54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6"/>
  <sheetViews>
    <sheetView showGridLines="0" zoomScale="70" zoomScaleNormal="70" workbookViewId="0">
      <selection activeCell="A2" sqref="A2"/>
    </sheetView>
  </sheetViews>
  <sheetFormatPr baseColWidth="10" defaultColWidth="8.88671875" defaultRowHeight="14.4" x14ac:dyDescent="0.3"/>
  <cols>
    <col min="1" max="1" width="23" customWidth="1"/>
    <col min="2" max="3" width="11.33203125" customWidth="1"/>
    <col min="4" max="4" width="24.44140625" customWidth="1"/>
    <col min="5" max="5" width="12.5546875" customWidth="1"/>
    <col min="6" max="6" width="11.33203125" customWidth="1"/>
    <col min="7" max="7" width="21.44140625" customWidth="1"/>
    <col min="8" max="8" width="12.88671875" customWidth="1"/>
    <col min="9" max="9" width="24.88671875" customWidth="1"/>
    <col min="11" max="11" width="54.109375" customWidth="1"/>
    <col min="12" max="12" width="21.88671875" customWidth="1"/>
    <col min="13" max="13" width="8" customWidth="1"/>
    <col min="14" max="14" width="4.88671875" customWidth="1"/>
    <col min="15" max="15" width="24.5546875" customWidth="1"/>
    <col min="16" max="16" width="11.88671875" customWidth="1"/>
    <col min="18" max="18" width="18.88671875" customWidth="1"/>
    <col min="19" max="19" width="12" customWidth="1"/>
    <col min="20" max="20" width="7.6640625" customWidth="1"/>
    <col min="21" max="21" width="17.5546875" customWidth="1"/>
  </cols>
  <sheetData>
    <row r="1" spans="1:21" ht="18.75" customHeight="1" x14ac:dyDescent="0.35">
      <c r="A1" s="38" t="s">
        <v>82</v>
      </c>
      <c r="B1" s="39"/>
      <c r="C1" s="39"/>
      <c r="D1" s="39"/>
      <c r="E1" s="39"/>
      <c r="F1" s="39"/>
      <c r="G1" s="39"/>
      <c r="H1" s="39"/>
      <c r="K1" s="38" t="s">
        <v>83</v>
      </c>
      <c r="L1" s="39"/>
      <c r="M1" s="39"/>
      <c r="N1" s="39"/>
      <c r="O1" s="39"/>
      <c r="P1" s="39"/>
      <c r="Q1" s="39"/>
      <c r="R1" s="39"/>
      <c r="S1" s="39"/>
    </row>
    <row r="2" spans="1:21" x14ac:dyDescent="0.3">
      <c r="A2" s="16" t="s">
        <v>84</v>
      </c>
      <c r="B2" s="16" t="s">
        <v>85</v>
      </c>
      <c r="C2" s="17"/>
      <c r="D2" s="16" t="s">
        <v>86</v>
      </c>
      <c r="E2" s="16" t="s">
        <v>85</v>
      </c>
      <c r="G2" s="16" t="s">
        <v>11</v>
      </c>
      <c r="H2" s="16" t="s">
        <v>85</v>
      </c>
      <c r="K2" s="16" t="s">
        <v>87</v>
      </c>
      <c r="L2" s="16" t="s">
        <v>85</v>
      </c>
      <c r="M2" s="17"/>
      <c r="O2" s="16" t="s">
        <v>86</v>
      </c>
      <c r="P2" s="16" t="s">
        <v>85</v>
      </c>
      <c r="R2" s="16" t="s">
        <v>11</v>
      </c>
      <c r="S2" s="16" t="s">
        <v>85</v>
      </c>
    </row>
    <row r="3" spans="1:21" x14ac:dyDescent="0.3">
      <c r="A3" s="14" t="s">
        <v>14</v>
      </c>
      <c r="B3" s="2">
        <f>COUNTIF('1.-Auditoría Proyectos'!D3:D13,'3.-Tendencias'!A3)</f>
        <v>1</v>
      </c>
      <c r="C3" s="18"/>
      <c r="D3" s="19" t="s">
        <v>88</v>
      </c>
      <c r="E3" s="2">
        <f>COUNTIF('1.-Auditoría Proyectos'!F3:F13,'3.-Tendencias'!D3)</f>
        <v>0</v>
      </c>
      <c r="G3" s="14" t="s">
        <v>20</v>
      </c>
      <c r="H3" s="2">
        <f>COUNTIF('1.-Auditoría Proyectos'!K3:K13,'3.-Tendencias'!G3)</f>
        <v>10</v>
      </c>
      <c r="K3" s="21" t="s">
        <v>55</v>
      </c>
      <c r="L3" s="2">
        <f>COUNTIF('2.-Auditorías Organizacionales'!C3:C13,'3.-Tendencias'!K3)</f>
        <v>2</v>
      </c>
      <c r="M3" s="18"/>
      <c r="O3" s="19" t="s">
        <v>88</v>
      </c>
      <c r="P3" s="2">
        <f>COUNTIF('2.-Auditorías Organizacionales'!E3:E13,'3.-Tendencias'!O3)</f>
        <v>0</v>
      </c>
      <c r="R3" s="14" t="s">
        <v>20</v>
      </c>
      <c r="S3" s="2">
        <f>COUNTIF('2.-Auditorías Organizacionales'!J3:J13,'3.-Tendencias'!R3)</f>
        <v>11</v>
      </c>
    </row>
    <row r="4" spans="1:21" x14ac:dyDescent="0.3">
      <c r="A4" s="14" t="s">
        <v>89</v>
      </c>
      <c r="B4" s="2">
        <f>COUNTIF('1.-Auditoría Proyectos'!D4:D14,'3.-Tendencias'!A4)</f>
        <v>0</v>
      </c>
      <c r="C4" s="18"/>
      <c r="D4" s="19" t="s">
        <v>16</v>
      </c>
      <c r="E4" s="2">
        <f>COUNTIF('1.-Auditoría Proyectos'!F3:F13,'3.-Tendencias'!D4)</f>
        <v>3</v>
      </c>
      <c r="G4" s="14" t="s">
        <v>90</v>
      </c>
      <c r="H4" s="2">
        <f>COUNTIF('1.-Auditoría Proyectos'!K4:K14,'3.-Tendencias'!G4)</f>
        <v>0</v>
      </c>
      <c r="K4" s="21" t="s">
        <v>61</v>
      </c>
      <c r="L4" s="2">
        <f>COUNTIF('2.-Auditorías Organizacionales'!C4:C14,'3.-Tendencias'!K4)</f>
        <v>1</v>
      </c>
      <c r="M4" s="18"/>
      <c r="O4" s="19" t="s">
        <v>16</v>
      </c>
      <c r="P4" s="2">
        <f>COUNTIF('2.-Auditorías Organizacionales'!E4:E14,'3.-Tendencias'!O4)</f>
        <v>1</v>
      </c>
      <c r="R4" s="14" t="s">
        <v>90</v>
      </c>
      <c r="S4" s="2">
        <f>COUNTIF('2.-Auditorías Organizacionales'!J3:J13,'3.-Tendencias'!R4)</f>
        <v>0</v>
      </c>
    </row>
    <row r="5" spans="1:21" x14ac:dyDescent="0.3">
      <c r="A5" s="14" t="s">
        <v>91</v>
      </c>
      <c r="B5" s="2">
        <f>COUNTIF('1.-Auditoría Proyectos'!D3:D13,'3.-Tendencias'!A5)</f>
        <v>0</v>
      </c>
      <c r="C5" s="18"/>
      <c r="D5" s="19" t="s">
        <v>92</v>
      </c>
      <c r="E5" s="2">
        <f>COUNTIF('1.-Auditoría Proyectos'!F5:F15,'3.-Tendencias'!D5)</f>
        <v>0</v>
      </c>
      <c r="G5" s="14" t="s">
        <v>93</v>
      </c>
      <c r="H5" s="2">
        <f>COUNTIF('1.-Auditoría Proyectos'!K5:K15,'3.-Tendencias'!G5)</f>
        <v>0</v>
      </c>
      <c r="K5" s="21" t="s">
        <v>94</v>
      </c>
      <c r="L5" s="2">
        <f>COUNTIF('2.-Auditorías Organizacionales'!C5:C15,'3.-Tendencias'!K5)</f>
        <v>0</v>
      </c>
      <c r="M5" s="18"/>
      <c r="O5" s="19" t="s">
        <v>92</v>
      </c>
      <c r="P5" s="2">
        <f>COUNTIF('2.-Auditorías Organizacionales'!E5:E15,'3.-Tendencias'!O5)</f>
        <v>0</v>
      </c>
      <c r="R5" s="14" t="s">
        <v>93</v>
      </c>
      <c r="S5" s="2">
        <f>COUNTIF('2.-Auditorías Organizacionales'!J5:J15,'3.-Tendencias'!R5)</f>
        <v>0</v>
      </c>
    </row>
    <row r="6" spans="1:21" x14ac:dyDescent="0.3">
      <c r="A6" s="14" t="s">
        <v>21</v>
      </c>
      <c r="B6" s="2">
        <f>COUNTIF('1.-Auditoría Proyectos'!D6:D16,'3.-Tendencias'!A6)</f>
        <v>0</v>
      </c>
      <c r="C6" s="18"/>
      <c r="D6" s="19" t="s">
        <v>95</v>
      </c>
      <c r="E6" s="2">
        <f>COUNTIF('1.-Auditoría Proyectos'!F3:F13,'3.-Tendencias'!D6)</f>
        <v>0</v>
      </c>
      <c r="K6" s="21" t="s">
        <v>69</v>
      </c>
      <c r="L6" s="2">
        <f>COUNTIF('2.-Auditorías Organizacionales'!C6:C16,'3.-Tendencias'!K6)</f>
        <v>6</v>
      </c>
      <c r="M6" s="18"/>
      <c r="O6" s="19" t="s">
        <v>95</v>
      </c>
      <c r="P6" s="2">
        <f>COUNTIF('2.-Auditorías Organizacionales'!E6:E16,'3.-Tendencias'!O6)</f>
        <v>0</v>
      </c>
    </row>
    <row r="7" spans="1:21" x14ac:dyDescent="0.3">
      <c r="A7" s="14" t="s">
        <v>27</v>
      </c>
      <c r="B7" s="2">
        <f>COUNTIF('1.-Auditoría Proyectos'!D7:D17,'3.-Tendencias'!A7)</f>
        <v>0</v>
      </c>
      <c r="C7" s="18"/>
      <c r="D7" s="19" t="s">
        <v>23</v>
      </c>
      <c r="E7" s="2">
        <f>COUNTIF('1.-Auditoría Proyectos'!F7:F17,'3.-Tendencias'!D7)</f>
        <v>5</v>
      </c>
      <c r="K7" s="21" t="s">
        <v>64</v>
      </c>
      <c r="L7" s="2">
        <f>COUNTIF('2.-Auditorías Organizacionales'!C3:C13,'3.-Tendencias'!K7)</f>
        <v>2</v>
      </c>
      <c r="M7" s="18"/>
      <c r="O7" s="19" t="s">
        <v>23</v>
      </c>
      <c r="P7" s="2">
        <f>COUNTIF('2.-Auditorías Organizacionales'!E3:E13,'3.-Tendencias'!O7)</f>
        <v>8</v>
      </c>
    </row>
    <row r="8" spans="1:21" x14ac:dyDescent="0.3">
      <c r="A8" s="14" t="s">
        <v>96</v>
      </c>
      <c r="B8" s="2">
        <f>COUNTIF('1.-Auditoría Proyectos'!D8:D18,'3.-Tendencias'!A8)</f>
        <v>0</v>
      </c>
      <c r="C8" s="18"/>
      <c r="D8" s="19" t="s">
        <v>59</v>
      </c>
      <c r="E8" s="2">
        <f>COUNTIF('1.-Auditoría Proyectos'!F3:F13,'3.-Tendencias'!D8)</f>
        <v>0</v>
      </c>
      <c r="M8" s="18"/>
      <c r="O8" s="19" t="s">
        <v>59</v>
      </c>
      <c r="P8" s="2">
        <f>COUNTIF('2.-Auditorías Organizacionales'!E8:E18,'3.-Tendencias'!O8)</f>
        <v>0</v>
      </c>
    </row>
    <row r="9" spans="1:21" x14ac:dyDescent="0.3">
      <c r="A9" s="14" t="s">
        <v>30</v>
      </c>
      <c r="B9" s="2">
        <f>COUNTIF('1.-Auditoría Proyectos'!D3:D13,'3.-Tendencias'!A9)</f>
        <v>1</v>
      </c>
      <c r="C9" s="18"/>
      <c r="M9" s="18"/>
    </row>
    <row r="10" spans="1:21" x14ac:dyDescent="0.3">
      <c r="A10" s="14" t="s">
        <v>33</v>
      </c>
      <c r="B10" s="2">
        <f>COUNTIF('1.-Auditoría Proyectos'!D3:D13,'3.-Tendencias'!A10)</f>
        <v>1</v>
      </c>
      <c r="C10" s="18"/>
      <c r="M10" s="18"/>
    </row>
    <row r="11" spans="1:21" x14ac:dyDescent="0.3">
      <c r="A11" s="14" t="s">
        <v>36</v>
      </c>
      <c r="B11" s="2">
        <f>COUNTIF('1.-Auditoría Proyectos'!D3:D13,'3.-Tendencias'!A11)</f>
        <v>2</v>
      </c>
      <c r="C11" s="18"/>
      <c r="M11" s="18"/>
    </row>
    <row r="12" spans="1:21" x14ac:dyDescent="0.3">
      <c r="A12" s="14" t="s">
        <v>41</v>
      </c>
      <c r="B12" s="2">
        <f>COUNTIF('1.-Auditoría Proyectos'!D14:D30,'3.-Tendencias'!A12)</f>
        <v>0</v>
      </c>
      <c r="C12" s="18"/>
      <c r="M12" s="18"/>
    </row>
    <row r="16" spans="1:21" x14ac:dyDescent="0.3">
      <c r="U16" t="s">
        <v>97</v>
      </c>
    </row>
  </sheetData>
  <mergeCells count="2">
    <mergeCell ref="A1:H1"/>
    <mergeCell ref="K1:S1"/>
  </mergeCells>
  <pageMargins left="0.7" right="0.7" top="0.75" bottom="0.75" header="0.3" footer="0.3"/>
  <pageSetup paperSize="9" scale="31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topLeftCell="A3" zoomScale="115" zoomScaleNormal="115" workbookViewId="0">
      <selection activeCell="E12" sqref="E12"/>
    </sheetView>
  </sheetViews>
  <sheetFormatPr baseColWidth="10" defaultColWidth="10.88671875" defaultRowHeight="14.4" x14ac:dyDescent="0.3"/>
  <cols>
    <col min="1" max="1" width="22.5546875" customWidth="1"/>
    <col min="2" max="2" width="26" customWidth="1"/>
    <col min="4" max="4" width="17.6640625" bestFit="1" customWidth="1"/>
    <col min="7" max="7" width="31.5546875" customWidth="1"/>
    <col min="9" max="9" width="24.109375" customWidth="1"/>
  </cols>
  <sheetData>
    <row r="1" spans="1:7" ht="15.75" customHeight="1" thickBot="1" x14ac:dyDescent="0.35"/>
    <row r="2" spans="1:7" ht="15.75" customHeight="1" thickBot="1" x14ac:dyDescent="0.35">
      <c r="A2" s="11" t="s">
        <v>98</v>
      </c>
      <c r="B2" s="13" t="s">
        <v>99</v>
      </c>
      <c r="D2" s="11" t="s">
        <v>11</v>
      </c>
      <c r="G2" s="12" t="s">
        <v>100</v>
      </c>
    </row>
    <row r="3" spans="1:7" ht="16.350000000000001" customHeight="1" x14ac:dyDescent="0.3">
      <c r="A3" s="3" t="s">
        <v>88</v>
      </c>
      <c r="B3" s="9" t="s">
        <v>14</v>
      </c>
      <c r="D3" s="3" t="s">
        <v>90</v>
      </c>
      <c r="G3" s="9" t="s">
        <v>55</v>
      </c>
    </row>
    <row r="4" spans="1:7" ht="29.4" customHeight="1" x14ac:dyDescent="0.3">
      <c r="A4" s="2" t="s">
        <v>16</v>
      </c>
      <c r="B4" s="9" t="s">
        <v>89</v>
      </c>
      <c r="D4" s="2" t="s">
        <v>20</v>
      </c>
      <c r="G4" s="10" t="s">
        <v>61</v>
      </c>
    </row>
    <row r="5" spans="1:7" x14ac:dyDescent="0.3">
      <c r="A5" s="2" t="s">
        <v>92</v>
      </c>
      <c r="B5" s="9" t="s">
        <v>91</v>
      </c>
      <c r="D5" s="2" t="s">
        <v>93</v>
      </c>
      <c r="G5" s="9" t="s">
        <v>94</v>
      </c>
    </row>
    <row r="6" spans="1:7" x14ac:dyDescent="0.3">
      <c r="A6" s="2" t="s">
        <v>95</v>
      </c>
      <c r="B6" s="9" t="s">
        <v>21</v>
      </c>
      <c r="G6" s="9" t="s">
        <v>69</v>
      </c>
    </row>
    <row r="7" spans="1:7" x14ac:dyDescent="0.3">
      <c r="A7" s="2" t="s">
        <v>23</v>
      </c>
      <c r="B7" s="9" t="s">
        <v>27</v>
      </c>
      <c r="G7" s="9" t="s">
        <v>64</v>
      </c>
    </row>
    <row r="8" spans="1:7" x14ac:dyDescent="0.3">
      <c r="A8" s="2" t="s">
        <v>59</v>
      </c>
      <c r="B8" s="9" t="s">
        <v>96</v>
      </c>
    </row>
    <row r="9" spans="1:7" x14ac:dyDescent="0.3">
      <c r="B9" s="9" t="s">
        <v>30</v>
      </c>
    </row>
    <row r="10" spans="1:7" x14ac:dyDescent="0.3">
      <c r="B10" s="15" t="s">
        <v>33</v>
      </c>
    </row>
    <row r="11" spans="1:7" x14ac:dyDescent="0.3">
      <c r="B11" s="9" t="s">
        <v>36</v>
      </c>
    </row>
    <row r="12" spans="1:7" x14ac:dyDescent="0.3">
      <c r="B12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1.-Auditoría Proyectos</vt:lpstr>
      <vt:lpstr>2.-Auditorías Organizacionales</vt:lpstr>
      <vt:lpstr>3.-Tendencias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2019-10-01T16:54:03Z</dcterms:created>
  <dcterms:modified xsi:type="dcterms:W3CDTF">2026-09-30T01:22:35Z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