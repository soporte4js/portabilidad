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CMMI Certificacion\"/>
    </mc:Choice>
  </mc:AlternateContent>
  <xr:revisionPtr revIDLastSave="0" documentId="8_{A91CE352-4225-4329-B793-CD11F8AF53B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lasificacion Jira CMMI" sheetId="1" r:id="rId1"/>
    <sheet name="Resumen" sheetId="2" r:id="rId2"/>
  </sheets>
  <definedNames>
    <definedName name="_xlnm._FilterDatabase" localSheetId="0" hidden="1">'Clasificacion Jira CMMI'!$A$1:$H$78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D13" i="2"/>
  <c r="B13" i="2"/>
</calcChain>
</file>

<file path=xl/sharedStrings.xml><?xml version="1.0" encoding="utf-8"?>
<sst xmlns="http://schemas.openxmlformats.org/spreadsheetml/2006/main" count="636" uniqueCount="306">
  <si>
    <t>Area CMMI</t>
  </si>
  <si>
    <t>Archivo</t>
  </si>
  <si>
    <t>Tipo</t>
  </si>
  <si>
    <t>Proposito</t>
  </si>
  <si>
    <t>Implementable en Jira</t>
  </si>
  <si>
    <t>Issue Type / Workflow propuesto</t>
  </si>
  <si>
    <t>Custom Fields sugeridos</t>
  </si>
  <si>
    <t>Justificacion</t>
  </si>
  <si>
    <t>Activos de Proceso</t>
  </si>
  <si>
    <t>DZ-Arquitectura de procesos.docx</t>
  </si>
  <si>
    <t>Define el mapa y arquitectura de procesos organizacionales</t>
  </si>
  <si>
    <t>No</t>
  </si>
  <si>
    <t>-</t>
  </si>
  <si>
    <t>Documento normativo de referencia; no representa transacciones rastreables en Jira.</t>
  </si>
  <si>
    <t>DZ-Escenarios de evaluacion formal.docx</t>
  </si>
  <si>
    <t>Lineamiento de escenarios para evaluaciones formales (SCAMPI/Benchmark)</t>
  </si>
  <si>
    <t>Material de referencia; las evaluaciones individuales si serian issues en Jira.</t>
  </si>
  <si>
    <t>DZ-Gestion del repositorio documental del SGCP.docx</t>
  </si>
  <si>
    <t>Politica de gestion del repositorio documental</t>
  </si>
  <si>
    <t>Politica/gobierno documental; corresponde a un gestor documental, no a Jira.</t>
  </si>
  <si>
    <t>FT-Ambiente estandar de trabajo.xlsx</t>
  </si>
  <si>
    <t>Define herramientas, versiones y entorno estandar de trabajo</t>
  </si>
  <si>
    <t>Catalogo de configuracion estable; mejor como pagina Confluence o CMDB que como issues.</t>
  </si>
  <si>
    <t>FT-Procedimiento.docx</t>
  </si>
  <si>
    <t>Plantilla maestra para redactar procedimientos</t>
  </si>
  <si>
    <t>Plantilla de autoria documental; corresponde a plantillas de Confluence.</t>
  </si>
  <si>
    <t>Auditorias a procesos</t>
  </si>
  <si>
    <t>DZ-Plan de auditorias.docx</t>
  </si>
  <si>
    <t>Plan anual de auditorias a procesos del SGCP</t>
  </si>
  <si>
    <t>Epic: Audit Plan (anual)</t>
  </si>
  <si>
    <t>Periodo, Alcance, Aprobador</t>
  </si>
  <si>
    <t>El documento vive en Confluence; cada auditoria del plan se vuelve issue hija.</t>
  </si>
  <si>
    <t>FT-Auditoria a procesos.xlsx</t>
  </si>
  <si>
    <t>Hoja de verificacion de auditoria de procesos</t>
  </si>
  <si>
    <t>Si</t>
  </si>
  <si>
    <t>Issue Type: Auditoria de Proceso</t>
  </si>
  <si>
    <t>Proceso auditado, Auditor, Fecha, Criterios, Resultado, Hallazgos vinculados</t>
  </si>
  <si>
    <t>Cada ejecucion es un evento puntual con campos estructurados; encaja como issue.</t>
  </si>
  <si>
    <t>FT-Auditoria a proyectos.xlsx</t>
  </si>
  <si>
    <t>Hoja de verificacion de auditoria de proyectos</t>
  </si>
  <si>
    <t>Issue Type: Auditoria de Proyecto</t>
  </si>
  <si>
    <t>Proyecto, Auditor, Fecha, Checklist, Resultado</t>
  </si>
  <si>
    <t>Mismo patron que auditoria a procesos pero alcance distinto.</t>
  </si>
  <si>
    <t>FT-Auditoria calidad de datos.xlsx</t>
  </si>
  <si>
    <t>Auditoria a la calidad de datos generados por procesos</t>
  </si>
  <si>
    <t>Issue Type: Auditoria DQ</t>
  </si>
  <si>
    <t>Origen de datos, Metrica, Umbral, Resultado</t>
  </si>
  <si>
    <t>Auditoria especializada con resultado medible; issue Jira.</t>
  </si>
  <si>
    <t>FT-Auditoria evaluacion de procesos.xlsx</t>
  </si>
  <si>
    <t>Auditoria al proceso de evaluacion de procesos</t>
  </si>
  <si>
    <t>Issue Type: Auditoria de Proceso (subtipo Eval.)</t>
  </si>
  <si>
    <t>Proceso, Evaluador, Fecha, Resultado</t>
  </si>
  <si>
    <t>Variante del checklist; puede compartir issue type con custom field 'Tipo Auditoria'.</t>
  </si>
  <si>
    <t>FT-Auditoria gestion de capacitacion.xlsx</t>
  </si>
  <si>
    <t>Auditoria al proceso de gestion de capacitacion</t>
  </si>
  <si>
    <t>Idem (custom field Proceso = Capacitacion)</t>
  </si>
  <si>
    <t>Variante por proceso auditado; reutiliza issue type.</t>
  </si>
  <si>
    <t>FT-Auditoria gestion de mejoras.xlsx</t>
  </si>
  <si>
    <t>Auditoria al proceso de gestion de mejoras</t>
  </si>
  <si>
    <t>Idem (custom field Proceso = Mejoras)</t>
  </si>
  <si>
    <t>FT-Auditoria gestion de negocio.xlsx</t>
  </si>
  <si>
    <t>Auditoria al proceso de gestion de negocio / gobernanza</t>
  </si>
  <si>
    <t>Idem (custom field Proceso = Negocio)</t>
  </si>
  <si>
    <t>FT-Seguimiento a hallazgos de auditorias.xlsx</t>
  </si>
  <si>
    <t>Bitacora consolidada de hallazgos y su seguimiento</t>
  </si>
  <si>
    <t>Issue Type: Hallazgo de Auditoria + JQL filter/Dashboard</t>
  </si>
  <si>
    <t>Severidad, Origen (link a auditoria), Responsable, Fecha compromiso, Estado</t>
  </si>
  <si>
    <t>Cada hallazgo es un issue con ciclo de vida (abierto-&gt;cerrado); el 'concentrado' se reemplaza por dashboard/filtro.</t>
  </si>
  <si>
    <t>PR-Auditorias a procesos.docx</t>
  </si>
  <si>
    <t>Procedimiento que rige como auditar procesos</t>
  </si>
  <si>
    <t>El procedimiento se traduce en transiciones del workflow; la guia textual va en Confluence.</t>
  </si>
  <si>
    <t>Capacitacion organizacional</t>
  </si>
  <si>
    <t>FT-Encuesta de capacitacion.docx</t>
  </si>
  <si>
    <t>Encuesta de necesidades / satisfaccion de capacitacion</t>
  </si>
  <si>
    <t>Captura de respuestas masiva; herramienta de formularios es mas apropiada.</t>
  </si>
  <si>
    <t>FT-Evaluacion de capacitacion.docx</t>
  </si>
  <si>
    <t>Evaluacion del aprendizaje y eficacia del curso</t>
  </si>
  <si>
    <t>Evidencia de evaluacion individual; mejor en LMS o Forms.</t>
  </si>
  <si>
    <t>FT-Lista de asistencia.docx</t>
  </si>
  <si>
    <t>Lista de asistencia a sesion de capacitacion</t>
  </si>
  <si>
    <t>Evidencia operativa; adjuntar al issue del curso impartido si aplica.</t>
  </si>
  <si>
    <t>FT-Lista de instructores.xlsx</t>
  </si>
  <si>
    <t>Catalogo de instructores autorizados</t>
  </si>
  <si>
    <t>Catalogo maestro de personas; no es un flujo de trabajo.</t>
  </si>
  <si>
    <t>FT-Matriz de competencia y DNC.xlsx</t>
  </si>
  <si>
    <t>Matriz de competencias y deteccion de necesidades de capacitacion</t>
  </si>
  <si>
    <t>Datos de RR.HH. sensibles y de actualizacion continua; no es flujo Jira.</t>
  </si>
  <si>
    <t>FT-Plan de capacitacion.xlsx</t>
  </si>
  <si>
    <t>Plan anual de capacitacion</t>
  </si>
  <si>
    <t>Periodo, Presupuesto, Cobertura</t>
  </si>
  <si>
    <t>El plan completo va en Confluence; cada curso planificado es una story trazable en Jira.</t>
  </si>
  <si>
    <t>FT-Solicitud de capacitacion.docx</t>
  </si>
  <si>
    <t>Solicitud formal de un curso por parte de un area</t>
  </si>
  <si>
    <t>Solicitante, Curso, Justificacion, Aprobador</t>
  </si>
  <si>
    <t>Caso de uso clasico de Service Desk: ticket de solicitud con aprobaciones.</t>
  </si>
  <si>
    <t>PR-Gestion de capacitacion.docx</t>
  </si>
  <si>
    <t>Procedimiento de gestion del ciclo de capacitacion</t>
  </si>
  <si>
    <t>El proceso se modela en workflows; la guia escrita vive en Confluence.</t>
  </si>
  <si>
    <t>Estimaciones</t>
  </si>
  <si>
    <t>FT-Estimacion con Historia de usuario.xlsx</t>
  </si>
  <si>
    <t>Plantilla de estimacion por historias / story points</t>
  </si>
  <si>
    <t>Story Points, Confianza</t>
  </si>
  <si>
    <t>Jira ya soporta story points; la hoja sirve para el ejercicio, los resultados se cargan al issue.</t>
  </si>
  <si>
    <t>FT-Estimacion con puntos de casos de uso.xlsx</t>
  </si>
  <si>
    <t>Plantilla de estimacion por puntos de caso de uso (UCP)</t>
  </si>
  <si>
    <t>Tecnica con calculos complejos en celdas; no hay valor en migrar a Jira.</t>
  </si>
  <si>
    <t>FT-Estimacion con puntos funcion.xlsm</t>
  </si>
  <si>
    <t>Plantilla de estimacion por puntos funcion (con macros)</t>
  </si>
  <si>
    <t>Depende de macros VBA para calculos; no migrable a Jira.</t>
  </si>
  <si>
    <t>IN-Estimaciones con planning poker.pptx</t>
  </si>
  <si>
    <t>Material formativo sobre planning poker</t>
  </si>
  <si>
    <t>Material didactico; no es un flujo de trabajo.</t>
  </si>
  <si>
    <t>IN-Estimaciones con puntos de casos de uso.pptx</t>
  </si>
  <si>
    <t>Material formativo sobre UCP</t>
  </si>
  <si>
    <t>Material didactico.</t>
  </si>
  <si>
    <t>IN-Estimaciones con puntos funcion.pptx</t>
  </si>
  <si>
    <t>Material formativo sobre puntos funcion</t>
  </si>
  <si>
    <t>PR-Estimacion.docx</t>
  </si>
  <si>
    <t>Procedimiento que rige el proceso de estimacion</t>
  </si>
  <si>
    <t>El acto de estimar se refleja en cambios de estado y campos; la guia vive en Confluence.</t>
  </si>
  <si>
    <t>Gestion de configuracion</t>
  </si>
  <si>
    <t>DZ-Plan de gestion de la configuracion.docx</t>
  </si>
  <si>
    <t>Plan de gestion de configuracion del proyecto</t>
  </si>
  <si>
    <t>Documento normativo del proyecto; no es transaccional.</t>
  </si>
  <si>
    <t>FT-Administracion de datos.xlsx</t>
  </si>
  <si>
    <t>Registro de administracion de datos / elementos de configuracion</t>
  </si>
  <si>
    <t>Issue Type: Configuration Item (CI)</t>
  </si>
  <si>
    <t>ID CI, Version, Estado, Responsable, Repositorio</t>
  </si>
  <si>
    <t>Inventario de CIs con cambios de estado; encaja como issue type / CMDB.</t>
  </si>
  <si>
    <t>FT-Auditoria de configuracion componentes de software.docx</t>
  </si>
  <si>
    <t>Auditoria de configuracion de componentes de software</t>
  </si>
  <si>
    <t>Issue Type: Auditoria CM</t>
  </si>
  <si>
    <t>CI auditado, Resultado, Hallazgos</t>
  </si>
  <si>
    <t>Evento puntual con resultado; mismo patron que auditoria.</t>
  </si>
  <si>
    <t>FT-Auditoria de configuracion documentacion.docx</t>
  </si>
  <si>
    <t>Auditoria de configuracion documental</t>
  </si>
  <si>
    <t>Documento, Version esperada, Resultado</t>
  </si>
  <si>
    <t>Variante del mismo issue type.</t>
  </si>
  <si>
    <t>FT-Concentrado de cambios.xlsx</t>
  </si>
  <si>
    <t>Bitacora consolidada de cambios</t>
  </si>
  <si>
    <t>Filtro/Dashboard sobre Issue Type: Solicitud de Cambio</t>
  </si>
  <si>
    <t>Es un agregado, no un artefacto independiente; se reemplaza por reporte JQL.</t>
  </si>
  <si>
    <t>FT-Solicitud de cambios.docx</t>
  </si>
  <si>
    <t>Solicitud formal de cambio (RFC)</t>
  </si>
  <si>
    <t>Issue Type: Change Request (CAB)</t>
  </si>
  <si>
    <t>Cambio, Impacto, Aprobadores, Fecha objetivo, Rollback plan</t>
  </si>
  <si>
    <t>Caso clasico ITSM Change Management.</t>
  </si>
  <si>
    <t>PR-Gestion de cambios.docx</t>
  </si>
  <si>
    <t>Procedimiento de gestion de cambios</t>
  </si>
  <si>
    <t>Procedimiento -&gt; workflow Jira; documento explicativo en Confluence.</t>
  </si>
  <si>
    <t>Gestion de procesos</t>
  </si>
  <si>
    <t>FT-Evaluacion de procesos.xlsx</t>
  </si>
  <si>
    <t>Evaluacion del desempeno de un proceso</t>
  </si>
  <si>
    <t>Issue Type: Evaluacion de Proceso</t>
  </si>
  <si>
    <t>Proceso, Periodo, Metricas, Resultado, Mejoras propuestas</t>
  </si>
  <si>
    <t>Evento puntual con metricas; encaja como issue.</t>
  </si>
  <si>
    <t>PR-Evaluacion de procesos.docx</t>
  </si>
  <si>
    <t>Procedimiento de evaluacion de procesos</t>
  </si>
  <si>
    <t>Workflow del Issue Type Evaluacion</t>
  </si>
  <si>
    <t>Procedimiento -&gt; workflow; guia en Confluence.</t>
  </si>
  <si>
    <t>FT-Matriz de gestion de mejoras.xlsx</t>
  </si>
  <si>
    <t>Matriz consolidada de mejoras a procesos</t>
  </si>
  <si>
    <t>Issue Type: Mejora de Proceso (Backlog) + Dashboard</t>
  </si>
  <si>
    <t>Origen, Beneficio, Estado, Responsable</t>
  </si>
  <si>
    <t>Cartera de mejoras viva; backlog tipico en Jira.</t>
  </si>
  <si>
    <t>FT-Solicitud de mejora de proceso.docx</t>
  </si>
  <si>
    <t>Solicitud formal de mejora de proceso</t>
  </si>
  <si>
    <t>Issue Type: Solicitud de Mejora</t>
  </si>
  <si>
    <t>Solicitante, Proceso, Descripcion, Beneficio esperado</t>
  </si>
  <si>
    <t>Ticket de propuesta con aprobacion; ITSM-like.</t>
  </si>
  <si>
    <t>PR-Gestion de mejoras.docx</t>
  </si>
  <si>
    <t>Procedimiento de gestion de mejoras</t>
  </si>
  <si>
    <t>Workflow Solicitud -&gt; Mejora</t>
  </si>
  <si>
    <t>Gestion de requisitos</t>
  </si>
  <si>
    <t>FT-Enunciado de trabajo (SOW).docx</t>
  </si>
  <si>
    <t>Enunciado de trabajo del proyecto / contrato</t>
  </si>
  <si>
    <t>Documento contractual de larga vida; vive en Confluence; el proyecto Jira lo referencia.</t>
  </si>
  <si>
    <t>FT-Especificacion de requisitos.docx</t>
  </si>
  <si>
    <t>Documento de especificacion de requisitos (ERS)</t>
  </si>
  <si>
    <t>Issue Type: Requirement / Story / Epic</t>
  </si>
  <si>
    <t>Prioridad, Origen, Criterios de aceptacion, Trazabilidad</t>
  </si>
  <si>
    <t>Cada requisito atomico es issue trazable; el ERS completo es la agrupacion (Epic o pagina Confluence vinculada).</t>
  </si>
  <si>
    <t>FT-Matriz de trazabilidad.xlsx</t>
  </si>
  <si>
    <t>Matriz de trazabilidad requisito-pruebas-diseno</t>
  </si>
  <si>
    <t>Reporte de Issue Links (eventualmente Structure/Advanced Roadmaps)</t>
  </si>
  <si>
    <t>Issue Links: blocks, tests, implements</t>
  </si>
  <si>
    <t>Jira mantiene la trazabilidad por links nativos; la matriz se reemplaza por reporte.</t>
  </si>
  <si>
    <t>FT-Minuta.docx</t>
  </si>
  <si>
    <t>Minuta de reunion</t>
  </si>
  <si>
    <t>Documento narrativo; mejor en Confluence con menciones y action items que pueden derivar en issues.</t>
  </si>
  <si>
    <t>FT-Validacion de requisitos.docx</t>
  </si>
  <si>
    <t>Acta / formato de validacion de requisitos con stakeholder</t>
  </si>
  <si>
    <t>Issue Type: Validacion de Requisitos (vinculada a Requirement)</t>
  </si>
  <si>
    <t>Requisitos validados, Asistentes, Resultado, Acta</t>
  </si>
  <si>
    <t>Evento de validacion con resultado discreto.</t>
  </si>
  <si>
    <t>IN-Tecnicas de levantamiento.docx</t>
  </si>
  <si>
    <t>Material formativo sobre tecnicas de levantamiento</t>
  </si>
  <si>
    <t>PR-Gestion de requisitos.docx</t>
  </si>
  <si>
    <t>Procedimiento de gestion de requisitos</t>
  </si>
  <si>
    <t>Gobernanza</t>
  </si>
  <si>
    <t>DZ-Plan de mediciones.xlsx</t>
  </si>
  <si>
    <t>Plan de mediciones organizacionales (MA / GQM)</t>
  </si>
  <si>
    <t>Plan estable; las mediciones individuales se levantan via BI sobre datos de Jira, no como issues.</t>
  </si>
  <si>
    <t>FT-FODA del negocio.xlsx</t>
  </si>
  <si>
    <t>Analisis FODA del negocio</t>
  </si>
  <si>
    <t>Analisis estrategico de actualizacion baja; no es transaccional.</t>
  </si>
  <si>
    <t>FT-Funciograma.pptx</t>
  </si>
  <si>
    <t>Organigrama funcional</t>
  </si>
  <si>
    <t>Estructura organizacional; no es flujo Jira.</t>
  </si>
  <si>
    <t>FT-Incentivos y consecuencias.docx</t>
  </si>
  <si>
    <t>Politica de incentivos y consecuencias</t>
  </si>
  <si>
    <t>Politica; no es flujo Jira.</t>
  </si>
  <si>
    <t>FT-Informe a direccion.pptx</t>
  </si>
  <si>
    <t>Informe ejecutivo a direccion</t>
  </si>
  <si>
    <t>Reporte ejecutivo; mejor generado desde BI sobre datos de Jira.</t>
  </si>
  <si>
    <t>Matriz de competencias / DNC (duplicada en Capacitacion)</t>
  </si>
  <si>
    <t>Documento HR; ver Capacitacion organizacional.</t>
  </si>
  <si>
    <t>FT-Plan estrategico.docx</t>
  </si>
  <si>
    <t>Plan estrategico organizacional</t>
  </si>
  <si>
    <t>Documento estrategico de actualizacion anual; no transaccional.</t>
  </si>
  <si>
    <t>PR-Gestion de negocio.docx</t>
  </si>
  <si>
    <t>Procedimiento de gestion del negocio / direccion</t>
  </si>
  <si>
    <t>Mejor con herramienta OKR; partes de seguimiento pueden modelarse como issues.</t>
  </si>
  <si>
    <t>Politicas organizacionales.docx</t>
  </si>
  <si>
    <t>Politicas organizacionales generales</t>
  </si>
  <si>
    <t>Cuerpo normativo.</t>
  </si>
  <si>
    <t>Planeacion</t>
  </si>
  <si>
    <t>FT- Cronograma.xlsx</t>
  </si>
  <si>
    <t>Cronograma del proyecto</t>
  </si>
  <si>
    <t>Fechas, dependencias, asignaciones</t>
  </si>
  <si>
    <t>Jira Advanced Roadmaps cubre cronograma con hierarchy y dependencias.</t>
  </si>
  <si>
    <t>FT-Ciclo de vida iterativo e incremental.docx</t>
  </si>
  <si>
    <t>Definicion del ciclo de vida adoptado por el proyecto</t>
  </si>
  <si>
    <t>Definicion de marco; no transaccional.</t>
  </si>
  <si>
    <t>FT-Kickoff del proyecto.pptx</t>
  </si>
  <si>
    <t>Presentacion de arranque (kickoff)</t>
  </si>
  <si>
    <t>Evento puntual; el material es referencia.</t>
  </si>
  <si>
    <t>FT-Matriz de riesgos y oportunidades.xlsx</t>
  </si>
  <si>
    <t>Matriz de riesgos y oportunidades del proyecto</t>
  </si>
  <si>
    <t>Probabilidad, Impacto, Severidad calculada, Mitigacion, Responsable, Estado</t>
  </si>
  <si>
    <t>Cada riesgo es un issue con ciclo de vida; la matriz se reemplaza por dashboard.</t>
  </si>
  <si>
    <t>FT-Plan de proyecto.docx</t>
  </si>
  <si>
    <t>Plan de proyecto narrativo</t>
  </si>
  <si>
    <t>Project key, Lead, Componentes</t>
  </si>
  <si>
    <t>El plan documento vive en Confluence; el plan ejecutable son los issues del proyecto.</t>
  </si>
  <si>
    <t>PMO_Estimacion_costos.xlsx</t>
  </si>
  <si>
    <t>Hoja de estimacion de costos PMO</t>
  </si>
  <si>
    <t>Modelo financiero con formulas; ERP o Tempo (plugin Jira de costos) son mejores opciones.</t>
  </si>
  <si>
    <t>PR-Planeacion.docx</t>
  </si>
  <si>
    <t>Procedimiento de planeacion del proyecto</t>
  </si>
  <si>
    <t>Procedimiento -&gt; guia + workflow.</t>
  </si>
  <si>
    <t>Revision por pares</t>
  </si>
  <si>
    <t>DZ-Criterios de seleccion para RXP.docx</t>
  </si>
  <si>
    <t>Criterios de seleccion de productos a revisar por pares</t>
  </si>
  <si>
    <t>Politica; los criterios pueden volverse campos del issue de RXP.</t>
  </si>
  <si>
    <t>FT-Informe RxP nivel proyecto.pptx</t>
  </si>
  <si>
    <t>Informe consolidado de RXP por proyecto</t>
  </si>
  <si>
    <t>Reporte agregado; se genera desde dashboard con los issues de RXP.</t>
  </si>
  <si>
    <t>FT-RXP codigo.xlsx</t>
  </si>
  <si>
    <t>Hoja de revision por pares de codigo fuente</t>
  </si>
  <si>
    <t>Issue Type: Peer Review (subtipo Codigo) o Sub-task de Story</t>
  </si>
  <si>
    <t>Producto revisado, Revisores, Checklist, Defectos, Esfuerzo</t>
  </si>
  <si>
    <t>Cada revision es evento puntual; en muchos flujos esto se cubre con PR de Git, pero el formato sirve si se quiere registrar en Jira.</t>
  </si>
  <si>
    <t>FT-RXP diseno de software .xlsx</t>
  </si>
  <si>
    <t>Hoja de RXP de diseno de software</t>
  </si>
  <si>
    <t>Issue Type: Peer Review (subtipo Diseno)</t>
  </si>
  <si>
    <t>Idem (custom field Artefacto = Diseno)</t>
  </si>
  <si>
    <t>Variante por artefacto.</t>
  </si>
  <si>
    <t>FT-RXP especificacion de requisitos.xlsx</t>
  </si>
  <si>
    <t>Hoja de RXP de ERS</t>
  </si>
  <si>
    <t>Issue Type: Peer Review (subtipo Requisitos)</t>
  </si>
  <si>
    <t>Idem (custom field Artefacto = Requisitos)</t>
  </si>
  <si>
    <t>FT-RXP gestion de pruebas.xlsx</t>
  </si>
  <si>
    <t>Hoja de RXP de gestion de pruebas</t>
  </si>
  <si>
    <t>Issue Type: Peer Review (subtipo Pruebas)</t>
  </si>
  <si>
    <t>Idem (custom field Artefacto = Pruebas)</t>
  </si>
  <si>
    <t>FT-RXP manual de usuario.xlsx</t>
  </si>
  <si>
    <t>Hoja de RXP de manual de usuario</t>
  </si>
  <si>
    <t>Issue Type: Peer Review (subtipo Manual de usuario)</t>
  </si>
  <si>
    <t>Idem</t>
  </si>
  <si>
    <t>FT-RXP manuales tecnicos.xlsx</t>
  </si>
  <si>
    <t>Hoja de RXP de manuales tecnicos</t>
  </si>
  <si>
    <t>Issue Type: Peer Review (subtipo Manuales tecnicos)</t>
  </si>
  <si>
    <t>PR-Revision por pares.docx</t>
  </si>
  <si>
    <t>Procedimiento de revision por pares</t>
  </si>
  <si>
    <t>Procedimiento -&gt; workflow.</t>
  </si>
  <si>
    <t>Toma de decisiones</t>
  </si>
  <si>
    <t>FT-Analisis para toma de decisiones.xlsx</t>
  </si>
  <si>
    <t>Plantilla de analisis DAR (alternativas, criterios, ponderacion)</t>
  </si>
  <si>
    <t>Issue Type: Decision (ADR-like)</t>
  </si>
  <si>
    <t>Contexto, Alternativas, Criterios ponderados, Decision, Aprobador</t>
  </si>
  <si>
    <t>Equivalente a un Architecture Decision Record; encaja como issue.</t>
  </si>
  <si>
    <t>FT-Concentrado de decisiones.xlsx</t>
  </si>
  <si>
    <t>Bitacora consolidada de decisiones</t>
  </si>
  <si>
    <t>Filtro/Dashboard sobre Issue Type: Decision</t>
  </si>
  <si>
    <t>Es un agregado; se reemplaza por filtro/reporte.</t>
  </si>
  <si>
    <t>PR-Analisis para toma de decision.docx</t>
  </si>
  <si>
    <t>Procedimiento DAR</t>
  </si>
  <si>
    <t>Workflow del Issue Type Decision (Propuesta -&gt; Analisis -&gt; Aprobada -&gt; Implementada)</t>
  </si>
  <si>
    <t>Total</t>
  </si>
  <si>
    <t>TOTAL</t>
  </si>
  <si>
    <t>Directriz</t>
  </si>
  <si>
    <t>Formato</t>
  </si>
  <si>
    <t>Plantilla</t>
  </si>
  <si>
    <t>Procedimiento</t>
  </si>
  <si>
    <t>Instructivo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</si>
</sst>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vertical="top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78"/>
  <sheetViews>
    <sheetView tabSelected="1" zoomScale="130" zoomScaleNormal="130" workbookViewId="0">
      <pane ySplit="1" topLeftCell="A8" activePane="bottomLeft" state="frozen"/>
      <selection pane="bottomLeft" activeCell="B15" sqref="B15"/>
    </sheetView>
  </sheetViews>
  <sheetFormatPr baseColWidth="10" defaultColWidth="9.109375" defaultRowHeight="14.4" x14ac:dyDescent="0.3"/>
  <cols>
    <col min="1" max="1" width="26.88671875" customWidth="1"/>
    <col min="2" max="2" width="50" customWidth="1"/>
    <col min="3" max="3" width="16" customWidth="1"/>
    <col min="4" max="4" width="55" customWidth="1"/>
    <col min="5" max="5" width="18" customWidth="1"/>
    <col min="6" max="7" width="55" customWidth="1"/>
    <col min="8" max="8" width="70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hidden="1" x14ac:dyDescent="0.3">
      <c r="A2" s="2" t="s">
        <v>8</v>
      </c>
      <c r="B2" s="2" t="s">
        <v>9</v>
      </c>
      <c r="C2" s="2" t="s">
        <v>301</v>
      </c>
      <c r="D2" s="2" t="s">
        <v>10</v>
      </c>
      <c r="E2" s="3" t="s">
        <v>11</v>
      </c>
      <c r="F2" s="2" t="s">
        <v>12</v>
      </c>
      <c r="G2" s="2" t="s">
        <v>12</v>
      </c>
      <c r="H2" s="2" t="s">
        <v>13</v>
      </c>
    </row>
    <row r="3" spans="1:8" ht="28.8" hidden="1" x14ac:dyDescent="0.3">
      <c r="A3" s="2" t="s">
        <v>8</v>
      </c>
      <c r="B3" s="2" t="s">
        <v>14</v>
      </c>
      <c r="C3" s="2" t="s">
        <v>301</v>
      </c>
      <c r="D3" s="2" t="s">
        <v>15</v>
      </c>
      <c r="E3" s="3" t="s">
        <v>11</v>
      </c>
      <c r="F3" s="2" t="s">
        <v>12</v>
      </c>
      <c r="G3" s="2" t="s">
        <v>12</v>
      </c>
      <c r="H3" s="2" t="s">
        <v>16</v>
      </c>
    </row>
    <row r="4" spans="1:8" hidden="1" x14ac:dyDescent="0.3">
      <c r="A4" s="2" t="s">
        <v>8</v>
      </c>
      <c r="B4" s="2" t="s">
        <v>17</v>
      </c>
      <c r="C4" s="2" t="s">
        <v>301</v>
      </c>
      <c r="D4" s="2" t="s">
        <v>18</v>
      </c>
      <c r="E4" s="3" t="s">
        <v>11</v>
      </c>
      <c r="F4" s="2" t="s">
        <v>12</v>
      </c>
      <c r="G4" s="2" t="s">
        <v>12</v>
      </c>
      <c r="H4" s="2" t="s">
        <v>19</v>
      </c>
    </row>
    <row r="5" spans="1:8" ht="28.8" hidden="1" x14ac:dyDescent="0.3">
      <c r="A5" s="2" t="s">
        <v>8</v>
      </c>
      <c r="B5" s="2" t="s">
        <v>20</v>
      </c>
      <c r="C5" s="2" t="s">
        <v>302</v>
      </c>
      <c r="D5" s="2" t="s">
        <v>21</v>
      </c>
      <c r="E5" s="3" t="s">
        <v>11</v>
      </c>
      <c r="F5" s="2" t="s">
        <v>12</v>
      </c>
      <c r="G5" s="2" t="s">
        <v>12</v>
      </c>
      <c r="H5" s="2" t="s">
        <v>22</v>
      </c>
    </row>
    <row r="6" spans="1:8" hidden="1" x14ac:dyDescent="0.3">
      <c r="A6" s="2" t="s">
        <v>8</v>
      </c>
      <c r="B6" s="2" t="s">
        <v>23</v>
      </c>
      <c r="C6" s="2" t="s">
        <v>303</v>
      </c>
      <c r="D6" s="2" t="s">
        <v>24</v>
      </c>
      <c r="E6" s="3" t="s">
        <v>11</v>
      </c>
      <c r="F6" s="2" t="s">
        <v>12</v>
      </c>
      <c r="G6" s="2" t="s">
        <v>12</v>
      </c>
      <c r="H6" s="2" t="s">
        <v>25</v>
      </c>
    </row>
    <row r="7" spans="1:8" hidden="1" x14ac:dyDescent="0.3">
      <c r="A7" s="2" t="s">
        <v>26</v>
      </c>
      <c r="B7" s="2" t="s">
        <v>27</v>
      </c>
      <c r="C7" s="2" t="s">
        <v>301</v>
      </c>
      <c r="D7" s="2" t="s">
        <v>28</v>
      </c>
      <c r="E7" s="3" t="s">
        <v>11</v>
      </c>
      <c r="F7" s="2" t="s">
        <v>29</v>
      </c>
      <c r="G7" s="2" t="s">
        <v>30</v>
      </c>
      <c r="H7" s="2" t="s">
        <v>31</v>
      </c>
    </row>
    <row r="8" spans="1:8" s="10" customFormat="1" ht="28.8" x14ac:dyDescent="0.3">
      <c r="A8" s="9" t="s">
        <v>26</v>
      </c>
      <c r="B8" s="9" t="s">
        <v>32</v>
      </c>
      <c r="C8" s="9" t="s">
        <v>302</v>
      </c>
      <c r="D8" s="9" t="s">
        <v>33</v>
      </c>
      <c r="E8" s="9" t="s">
        <v>34</v>
      </c>
      <c r="F8" s="9" t="s">
        <v>35</v>
      </c>
      <c r="G8" s="9" t="s">
        <v>36</v>
      </c>
      <c r="H8" s="9" t="s">
        <v>37</v>
      </c>
    </row>
    <row r="9" spans="1:8" s="10" customFormat="1" x14ac:dyDescent="0.3">
      <c r="A9" s="9" t="s">
        <v>26</v>
      </c>
      <c r="B9" s="9" t="s">
        <v>38</v>
      </c>
      <c r="C9" s="9" t="s">
        <v>302</v>
      </c>
      <c r="D9" s="9" t="s">
        <v>39</v>
      </c>
      <c r="E9" s="9" t="s">
        <v>34</v>
      </c>
      <c r="F9" s="9" t="s">
        <v>40</v>
      </c>
      <c r="G9" s="9" t="s">
        <v>41</v>
      </c>
      <c r="H9" s="9" t="s">
        <v>42</v>
      </c>
    </row>
    <row r="10" spans="1:8" s="10" customFormat="1" x14ac:dyDescent="0.3">
      <c r="A10" s="9" t="s">
        <v>26</v>
      </c>
      <c r="B10" s="9" t="s">
        <v>43</v>
      </c>
      <c r="C10" s="9" t="s">
        <v>302</v>
      </c>
      <c r="D10" s="9" t="s">
        <v>44</v>
      </c>
      <c r="E10" s="9" t="s">
        <v>34</v>
      </c>
      <c r="F10" s="9" t="s">
        <v>45</v>
      </c>
      <c r="G10" s="9" t="s">
        <v>46</v>
      </c>
      <c r="H10" s="9" t="s">
        <v>47</v>
      </c>
    </row>
    <row r="11" spans="1:8" s="10" customFormat="1" x14ac:dyDescent="0.3">
      <c r="A11" s="9" t="s">
        <v>26</v>
      </c>
      <c r="B11" s="9" t="s">
        <v>48</v>
      </c>
      <c r="C11" s="9" t="s">
        <v>302</v>
      </c>
      <c r="D11" s="9" t="s">
        <v>49</v>
      </c>
      <c r="E11" s="9" t="s">
        <v>34</v>
      </c>
      <c r="F11" s="9" t="s">
        <v>50</v>
      </c>
      <c r="G11" s="9" t="s">
        <v>51</v>
      </c>
      <c r="H11" s="9" t="s">
        <v>52</v>
      </c>
    </row>
    <row r="12" spans="1:8" s="10" customFormat="1" x14ac:dyDescent="0.3">
      <c r="A12" s="9" t="s">
        <v>26</v>
      </c>
      <c r="B12" s="9" t="s">
        <v>53</v>
      </c>
      <c r="C12" s="9" t="s">
        <v>302</v>
      </c>
      <c r="D12" s="9" t="s">
        <v>54</v>
      </c>
      <c r="E12" s="9" t="s">
        <v>34</v>
      </c>
      <c r="F12" s="9" t="s">
        <v>35</v>
      </c>
      <c r="G12" s="9" t="s">
        <v>55</v>
      </c>
      <c r="H12" s="9" t="s">
        <v>56</v>
      </c>
    </row>
    <row r="13" spans="1:8" s="10" customFormat="1" x14ac:dyDescent="0.3">
      <c r="A13" s="9" t="s">
        <v>26</v>
      </c>
      <c r="B13" s="9" t="s">
        <v>57</v>
      </c>
      <c r="C13" s="9" t="s">
        <v>302</v>
      </c>
      <c r="D13" s="9" t="s">
        <v>58</v>
      </c>
      <c r="E13" s="9" t="s">
        <v>34</v>
      </c>
      <c r="F13" s="9" t="s">
        <v>35</v>
      </c>
      <c r="G13" s="9" t="s">
        <v>59</v>
      </c>
      <c r="H13" s="9" t="s">
        <v>56</v>
      </c>
    </row>
    <row r="14" spans="1:8" s="10" customFormat="1" x14ac:dyDescent="0.3">
      <c r="A14" s="9" t="s">
        <v>26</v>
      </c>
      <c r="B14" s="9" t="s">
        <v>60</v>
      </c>
      <c r="C14" s="9" t="s">
        <v>302</v>
      </c>
      <c r="D14" s="9" t="s">
        <v>61</v>
      </c>
      <c r="E14" s="9" t="s">
        <v>34</v>
      </c>
      <c r="F14" s="9" t="s">
        <v>35</v>
      </c>
      <c r="G14" s="9" t="s">
        <v>62</v>
      </c>
      <c r="H14" s="9" t="s">
        <v>56</v>
      </c>
    </row>
    <row r="15" spans="1:8" ht="28.8" x14ac:dyDescent="0.3">
      <c r="A15" s="2" t="s">
        <v>26</v>
      </c>
      <c r="B15" s="2" t="s">
        <v>63</v>
      </c>
      <c r="C15" s="2" t="s">
        <v>302</v>
      </c>
      <c r="D15" s="2" t="s">
        <v>64</v>
      </c>
      <c r="E15" s="4" t="s">
        <v>34</v>
      </c>
      <c r="F15" s="2" t="s">
        <v>65</v>
      </c>
      <c r="G15" s="2" t="s">
        <v>66</v>
      </c>
      <c r="H15" s="2" t="s">
        <v>67</v>
      </c>
    </row>
    <row r="16" spans="1:8" ht="28.8" hidden="1" x14ac:dyDescent="0.3">
      <c r="A16" s="2" t="s">
        <v>26</v>
      </c>
      <c r="B16" s="2" t="s">
        <v>68</v>
      </c>
      <c r="C16" s="2" t="s">
        <v>304</v>
      </c>
      <c r="D16" s="2" t="s">
        <v>69</v>
      </c>
      <c r="E16" s="3" t="s">
        <v>11</v>
      </c>
      <c r="F16" s="2" t="s">
        <v>12</v>
      </c>
      <c r="G16" s="2" t="s">
        <v>12</v>
      </c>
      <c r="H16" s="2" t="s">
        <v>70</v>
      </c>
    </row>
    <row r="17" spans="1:8" hidden="1" x14ac:dyDescent="0.3">
      <c r="A17" s="2" t="s">
        <v>71</v>
      </c>
      <c r="B17" s="2" t="s">
        <v>72</v>
      </c>
      <c r="C17" s="2" t="s">
        <v>302</v>
      </c>
      <c r="D17" s="2" t="s">
        <v>73</v>
      </c>
      <c r="E17" s="3" t="s">
        <v>11</v>
      </c>
      <c r="F17" s="2" t="s">
        <v>12</v>
      </c>
      <c r="G17" s="2" t="s">
        <v>12</v>
      </c>
      <c r="H17" s="2" t="s">
        <v>74</v>
      </c>
    </row>
    <row r="18" spans="1:8" hidden="1" x14ac:dyDescent="0.3">
      <c r="A18" s="2" t="s">
        <v>71</v>
      </c>
      <c r="B18" s="2" t="s">
        <v>75</v>
      </c>
      <c r="C18" s="2" t="s">
        <v>302</v>
      </c>
      <c r="D18" s="2" t="s">
        <v>76</v>
      </c>
      <c r="E18" s="3" t="s">
        <v>11</v>
      </c>
      <c r="F18" s="2" t="s">
        <v>12</v>
      </c>
      <c r="G18" s="2" t="s">
        <v>12</v>
      </c>
      <c r="H18" s="2" t="s">
        <v>77</v>
      </c>
    </row>
    <row r="19" spans="1:8" hidden="1" x14ac:dyDescent="0.3">
      <c r="A19" s="2" t="s">
        <v>71</v>
      </c>
      <c r="B19" s="2" t="s">
        <v>78</v>
      </c>
      <c r="C19" s="2" t="s">
        <v>302</v>
      </c>
      <c r="D19" s="2" t="s">
        <v>79</v>
      </c>
      <c r="E19" s="3" t="s">
        <v>11</v>
      </c>
      <c r="F19" s="2" t="s">
        <v>12</v>
      </c>
      <c r="G19" s="2" t="s">
        <v>12</v>
      </c>
      <c r="H19" s="2" t="s">
        <v>80</v>
      </c>
    </row>
    <row r="20" spans="1:8" hidden="1" x14ac:dyDescent="0.3">
      <c r="A20" s="2" t="s">
        <v>71</v>
      </c>
      <c r="B20" s="2" t="s">
        <v>81</v>
      </c>
      <c r="C20" s="2" t="s">
        <v>302</v>
      </c>
      <c r="D20" s="2" t="s">
        <v>82</v>
      </c>
      <c r="E20" s="3" t="s">
        <v>11</v>
      </c>
      <c r="F20" s="2" t="s">
        <v>12</v>
      </c>
      <c r="G20" s="2" t="s">
        <v>12</v>
      </c>
      <c r="H20" s="2" t="s">
        <v>83</v>
      </c>
    </row>
    <row r="21" spans="1:8" ht="28.8" hidden="1" x14ac:dyDescent="0.3">
      <c r="A21" s="2" t="s">
        <v>71</v>
      </c>
      <c r="B21" s="2" t="s">
        <v>84</v>
      </c>
      <c r="C21" s="2" t="s">
        <v>302</v>
      </c>
      <c r="D21" s="2" t="s">
        <v>85</v>
      </c>
      <c r="E21" s="3" t="s">
        <v>11</v>
      </c>
      <c r="F21" s="2" t="s">
        <v>12</v>
      </c>
      <c r="G21" s="2" t="s">
        <v>12</v>
      </c>
      <c r="H21" s="2" t="s">
        <v>86</v>
      </c>
    </row>
    <row r="22" spans="1:8" ht="28.8" hidden="1" x14ac:dyDescent="0.3">
      <c r="A22" s="2" t="s">
        <v>71</v>
      </c>
      <c r="B22" s="2" t="s">
        <v>87</v>
      </c>
      <c r="C22" s="2" t="s">
        <v>302</v>
      </c>
      <c r="D22" s="2" t="s">
        <v>88</v>
      </c>
      <c r="E22" s="3" t="s">
        <v>11</v>
      </c>
      <c r="F22" s="2" t="s">
        <v>12</v>
      </c>
      <c r="G22" s="2" t="s">
        <v>89</v>
      </c>
      <c r="H22" s="2" t="s">
        <v>90</v>
      </c>
    </row>
    <row r="23" spans="1:8" hidden="1" x14ac:dyDescent="0.3">
      <c r="A23" s="2" t="s">
        <v>71</v>
      </c>
      <c r="B23" s="2" t="s">
        <v>91</v>
      </c>
      <c r="C23" s="2" t="s">
        <v>302</v>
      </c>
      <c r="D23" s="2" t="s">
        <v>92</v>
      </c>
      <c r="E23" s="3" t="s">
        <v>11</v>
      </c>
      <c r="F23" s="2" t="s">
        <v>12</v>
      </c>
      <c r="G23" s="2" t="s">
        <v>93</v>
      </c>
      <c r="H23" s="2" t="s">
        <v>94</v>
      </c>
    </row>
    <row r="24" spans="1:8" hidden="1" x14ac:dyDescent="0.3">
      <c r="A24" s="2" t="s">
        <v>71</v>
      </c>
      <c r="B24" s="2" t="s">
        <v>95</v>
      </c>
      <c r="C24" s="2" t="s">
        <v>304</v>
      </c>
      <c r="D24" s="2" t="s">
        <v>96</v>
      </c>
      <c r="E24" s="3" t="s">
        <v>11</v>
      </c>
      <c r="F24" s="2" t="s">
        <v>12</v>
      </c>
      <c r="G24" s="2" t="s">
        <v>12</v>
      </c>
      <c r="H24" s="2" t="s">
        <v>97</v>
      </c>
    </row>
    <row r="25" spans="1:8" ht="28.8" hidden="1" x14ac:dyDescent="0.3">
      <c r="A25" s="2" t="s">
        <v>98</v>
      </c>
      <c r="B25" s="2" t="s">
        <v>99</v>
      </c>
      <c r="C25" s="2" t="s">
        <v>302</v>
      </c>
      <c r="D25" s="2" t="s">
        <v>100</v>
      </c>
      <c r="E25" s="3" t="s">
        <v>11</v>
      </c>
      <c r="F25" s="2" t="s">
        <v>12</v>
      </c>
      <c r="G25" s="2" t="s">
        <v>101</v>
      </c>
      <c r="H25" s="2" t="s">
        <v>102</v>
      </c>
    </row>
    <row r="26" spans="1:8" hidden="1" x14ac:dyDescent="0.3">
      <c r="A26" s="2" t="s">
        <v>98</v>
      </c>
      <c r="B26" s="2" t="s">
        <v>103</v>
      </c>
      <c r="C26" s="2" t="s">
        <v>302</v>
      </c>
      <c r="D26" s="2" t="s">
        <v>104</v>
      </c>
      <c r="E26" s="3" t="s">
        <v>11</v>
      </c>
      <c r="F26" s="2" t="s">
        <v>12</v>
      </c>
      <c r="G26" s="2" t="s">
        <v>12</v>
      </c>
      <c r="H26" s="2" t="s">
        <v>105</v>
      </c>
    </row>
    <row r="27" spans="1:8" hidden="1" x14ac:dyDescent="0.3">
      <c r="A27" s="2" t="s">
        <v>98</v>
      </c>
      <c r="B27" s="2" t="s">
        <v>106</v>
      </c>
      <c r="C27" s="2" t="s">
        <v>302</v>
      </c>
      <c r="D27" s="2" t="s">
        <v>107</v>
      </c>
      <c r="E27" s="3" t="s">
        <v>11</v>
      </c>
      <c r="F27" s="2" t="s">
        <v>12</v>
      </c>
      <c r="G27" s="2" t="s">
        <v>12</v>
      </c>
      <c r="H27" s="2" t="s">
        <v>108</v>
      </c>
    </row>
    <row r="28" spans="1:8" hidden="1" x14ac:dyDescent="0.3">
      <c r="A28" s="2" t="s">
        <v>98</v>
      </c>
      <c r="B28" s="2" t="s">
        <v>109</v>
      </c>
      <c r="C28" s="2" t="s">
        <v>305</v>
      </c>
      <c r="D28" s="2" t="s">
        <v>110</v>
      </c>
      <c r="E28" s="3" t="s">
        <v>11</v>
      </c>
      <c r="F28" s="2" t="s">
        <v>12</v>
      </c>
      <c r="G28" s="2" t="s">
        <v>12</v>
      </c>
      <c r="H28" s="2" t="s">
        <v>111</v>
      </c>
    </row>
    <row r="29" spans="1:8" hidden="1" x14ac:dyDescent="0.3">
      <c r="A29" s="2" t="s">
        <v>98</v>
      </c>
      <c r="B29" s="2" t="s">
        <v>112</v>
      </c>
      <c r="C29" s="2" t="s">
        <v>305</v>
      </c>
      <c r="D29" s="2" t="s">
        <v>113</v>
      </c>
      <c r="E29" s="3" t="s">
        <v>11</v>
      </c>
      <c r="F29" s="2" t="s">
        <v>12</v>
      </c>
      <c r="G29" s="2" t="s">
        <v>12</v>
      </c>
      <c r="H29" s="2" t="s">
        <v>114</v>
      </c>
    </row>
    <row r="30" spans="1:8" hidden="1" x14ac:dyDescent="0.3">
      <c r="A30" s="2" t="s">
        <v>98</v>
      </c>
      <c r="B30" s="2" t="s">
        <v>115</v>
      </c>
      <c r="C30" s="2" t="s">
        <v>305</v>
      </c>
      <c r="D30" s="2" t="s">
        <v>116</v>
      </c>
      <c r="E30" s="3" t="s">
        <v>11</v>
      </c>
      <c r="F30" s="2" t="s">
        <v>12</v>
      </c>
      <c r="G30" s="2" t="s">
        <v>12</v>
      </c>
      <c r="H30" s="2" t="s">
        <v>114</v>
      </c>
    </row>
    <row r="31" spans="1:8" ht="28.8" hidden="1" x14ac:dyDescent="0.3">
      <c r="A31" s="2" t="s">
        <v>98</v>
      </c>
      <c r="B31" s="2" t="s">
        <v>117</v>
      </c>
      <c r="C31" s="2" t="s">
        <v>304</v>
      </c>
      <c r="D31" s="2" t="s">
        <v>118</v>
      </c>
      <c r="E31" s="3" t="s">
        <v>11</v>
      </c>
      <c r="F31" s="2" t="s">
        <v>12</v>
      </c>
      <c r="G31" s="2" t="s">
        <v>12</v>
      </c>
      <c r="H31" s="2" t="s">
        <v>119</v>
      </c>
    </row>
    <row r="32" spans="1:8" hidden="1" x14ac:dyDescent="0.3">
      <c r="A32" s="2" t="s">
        <v>120</v>
      </c>
      <c r="B32" s="2" t="s">
        <v>121</v>
      </c>
      <c r="C32" s="2" t="s">
        <v>301</v>
      </c>
      <c r="D32" s="2" t="s">
        <v>122</v>
      </c>
      <c r="E32" s="3" t="s">
        <v>11</v>
      </c>
      <c r="F32" s="2" t="s">
        <v>12</v>
      </c>
      <c r="G32" s="2" t="s">
        <v>12</v>
      </c>
      <c r="H32" s="2" t="s">
        <v>123</v>
      </c>
    </row>
    <row r="33" spans="1:8" ht="28.8" x14ac:dyDescent="0.3">
      <c r="A33" s="2" t="s">
        <v>120</v>
      </c>
      <c r="B33" s="2" t="s">
        <v>124</v>
      </c>
      <c r="C33" s="2" t="s">
        <v>302</v>
      </c>
      <c r="D33" s="2" t="s">
        <v>125</v>
      </c>
      <c r="E33" s="4" t="s">
        <v>34</v>
      </c>
      <c r="F33" s="2" t="s">
        <v>126</v>
      </c>
      <c r="G33" s="2" t="s">
        <v>127</v>
      </c>
      <c r="H33" s="2" t="s">
        <v>128</v>
      </c>
    </row>
    <row r="34" spans="1:8" ht="28.8" x14ac:dyDescent="0.3">
      <c r="A34" s="2" t="s">
        <v>120</v>
      </c>
      <c r="B34" s="2" t="s">
        <v>129</v>
      </c>
      <c r="C34" s="2" t="s">
        <v>302</v>
      </c>
      <c r="D34" s="2" t="s">
        <v>130</v>
      </c>
      <c r="E34" s="4" t="s">
        <v>34</v>
      </c>
      <c r="F34" s="2" t="s">
        <v>131</v>
      </c>
      <c r="G34" s="2" t="s">
        <v>132</v>
      </c>
      <c r="H34" s="2" t="s">
        <v>133</v>
      </c>
    </row>
    <row r="35" spans="1:8" x14ac:dyDescent="0.3">
      <c r="A35" s="2" t="s">
        <v>120</v>
      </c>
      <c r="B35" s="2" t="s">
        <v>134</v>
      </c>
      <c r="C35" s="2" t="s">
        <v>302</v>
      </c>
      <c r="D35" s="2" t="s">
        <v>135</v>
      </c>
      <c r="E35" s="4" t="s">
        <v>34</v>
      </c>
      <c r="F35" s="2" t="s">
        <v>131</v>
      </c>
      <c r="G35" s="2" t="s">
        <v>136</v>
      </c>
      <c r="H35" s="2" t="s">
        <v>137</v>
      </c>
    </row>
    <row r="36" spans="1:8" x14ac:dyDescent="0.3">
      <c r="A36" s="2" t="s">
        <v>120</v>
      </c>
      <c r="B36" s="2" t="s">
        <v>138</v>
      </c>
      <c r="C36" s="2" t="s">
        <v>302</v>
      </c>
      <c r="D36" s="2" t="s">
        <v>139</v>
      </c>
      <c r="E36" s="4" t="s">
        <v>34</v>
      </c>
      <c r="F36" s="2" t="s">
        <v>140</v>
      </c>
      <c r="G36" s="2" t="s">
        <v>12</v>
      </c>
      <c r="H36" s="2" t="s">
        <v>141</v>
      </c>
    </row>
    <row r="37" spans="1:8" x14ac:dyDescent="0.3">
      <c r="A37" s="2" t="s">
        <v>120</v>
      </c>
      <c r="B37" s="2" t="s">
        <v>142</v>
      </c>
      <c r="C37" s="2" t="s">
        <v>302</v>
      </c>
      <c r="D37" s="2" t="s">
        <v>143</v>
      </c>
      <c r="E37" s="4" t="s">
        <v>34</v>
      </c>
      <c r="F37" s="2" t="s">
        <v>144</v>
      </c>
      <c r="G37" s="2" t="s">
        <v>145</v>
      </c>
      <c r="H37" s="2" t="s">
        <v>146</v>
      </c>
    </row>
    <row r="38" spans="1:8" hidden="1" x14ac:dyDescent="0.3">
      <c r="A38" s="2" t="s">
        <v>120</v>
      </c>
      <c r="B38" s="2" t="s">
        <v>147</v>
      </c>
      <c r="C38" s="2" t="s">
        <v>304</v>
      </c>
      <c r="D38" s="2" t="s">
        <v>148</v>
      </c>
      <c r="E38" s="3" t="s">
        <v>11</v>
      </c>
      <c r="F38" s="2"/>
      <c r="G38" s="2" t="s">
        <v>12</v>
      </c>
      <c r="H38" s="2" t="s">
        <v>149</v>
      </c>
    </row>
    <row r="39" spans="1:8" x14ac:dyDescent="0.3">
      <c r="A39" s="2" t="s">
        <v>150</v>
      </c>
      <c r="B39" s="2" t="s">
        <v>151</v>
      </c>
      <c r="C39" s="2" t="s">
        <v>302</v>
      </c>
      <c r="D39" s="2" t="s">
        <v>152</v>
      </c>
      <c r="E39" s="4" t="s">
        <v>34</v>
      </c>
      <c r="F39" s="2" t="s">
        <v>153</v>
      </c>
      <c r="G39" s="2" t="s">
        <v>154</v>
      </c>
      <c r="H39" s="2" t="s">
        <v>155</v>
      </c>
    </row>
    <row r="40" spans="1:8" x14ac:dyDescent="0.3">
      <c r="A40" s="2" t="s">
        <v>150</v>
      </c>
      <c r="B40" s="2" t="s">
        <v>156</v>
      </c>
      <c r="C40" s="2" t="s">
        <v>304</v>
      </c>
      <c r="D40" s="2" t="s">
        <v>157</v>
      </c>
      <c r="E40" s="4" t="s">
        <v>34</v>
      </c>
      <c r="F40" s="2" t="s">
        <v>158</v>
      </c>
      <c r="G40" s="2" t="s">
        <v>12</v>
      </c>
      <c r="H40" s="2" t="s">
        <v>159</v>
      </c>
    </row>
    <row r="41" spans="1:8" x14ac:dyDescent="0.3">
      <c r="A41" s="2" t="s">
        <v>150</v>
      </c>
      <c r="B41" s="2" t="s">
        <v>160</v>
      </c>
      <c r="C41" s="2" t="s">
        <v>302</v>
      </c>
      <c r="D41" s="2" t="s">
        <v>161</v>
      </c>
      <c r="E41" s="4" t="s">
        <v>34</v>
      </c>
      <c r="F41" s="2" t="s">
        <v>162</v>
      </c>
      <c r="G41" s="2" t="s">
        <v>163</v>
      </c>
      <c r="H41" s="2" t="s">
        <v>164</v>
      </c>
    </row>
    <row r="42" spans="1:8" x14ac:dyDescent="0.3">
      <c r="A42" s="2" t="s">
        <v>150</v>
      </c>
      <c r="B42" s="2" t="s">
        <v>165</v>
      </c>
      <c r="C42" s="2" t="s">
        <v>302</v>
      </c>
      <c r="D42" s="2" t="s">
        <v>166</v>
      </c>
      <c r="E42" s="4" t="s">
        <v>34</v>
      </c>
      <c r="F42" s="2" t="s">
        <v>167</v>
      </c>
      <c r="G42" s="2" t="s">
        <v>168</v>
      </c>
      <c r="H42" s="2" t="s">
        <v>169</v>
      </c>
    </row>
    <row r="43" spans="1:8" x14ac:dyDescent="0.3">
      <c r="A43" s="2" t="s">
        <v>150</v>
      </c>
      <c r="B43" s="2" t="s">
        <v>170</v>
      </c>
      <c r="C43" s="2" t="s">
        <v>304</v>
      </c>
      <c r="D43" s="2" t="s">
        <v>171</v>
      </c>
      <c r="E43" s="4" t="s">
        <v>34</v>
      </c>
      <c r="F43" s="2" t="s">
        <v>172</v>
      </c>
      <c r="G43" s="2" t="s">
        <v>12</v>
      </c>
      <c r="H43" s="2" t="s">
        <v>159</v>
      </c>
    </row>
    <row r="44" spans="1:8" ht="28.8" hidden="1" x14ac:dyDescent="0.3">
      <c r="A44" s="2" t="s">
        <v>173</v>
      </c>
      <c r="B44" s="2" t="s">
        <v>174</v>
      </c>
      <c r="C44" s="2" t="s">
        <v>302</v>
      </c>
      <c r="D44" s="2" t="s">
        <v>175</v>
      </c>
      <c r="E44" s="3" t="s">
        <v>11</v>
      </c>
      <c r="F44" s="2"/>
      <c r="G44" s="2"/>
      <c r="H44" s="2" t="s">
        <v>176</v>
      </c>
    </row>
    <row r="45" spans="1:8" ht="28.8" x14ac:dyDescent="0.3">
      <c r="A45" s="2" t="s">
        <v>173</v>
      </c>
      <c r="B45" s="2" t="s">
        <v>177</v>
      </c>
      <c r="C45" s="2" t="s">
        <v>302</v>
      </c>
      <c r="D45" s="2" t="s">
        <v>178</v>
      </c>
      <c r="E45" s="4" t="s">
        <v>34</v>
      </c>
      <c r="F45" s="2" t="s">
        <v>179</v>
      </c>
      <c r="G45" s="2" t="s">
        <v>180</v>
      </c>
      <c r="H45" s="2" t="s">
        <v>181</v>
      </c>
    </row>
    <row r="46" spans="1:8" ht="28.8" x14ac:dyDescent="0.3">
      <c r="A46" s="2" t="s">
        <v>173</v>
      </c>
      <c r="B46" s="2" t="s">
        <v>182</v>
      </c>
      <c r="C46" s="2" t="s">
        <v>302</v>
      </c>
      <c r="D46" s="2" t="s">
        <v>183</v>
      </c>
      <c r="E46" s="4" t="s">
        <v>34</v>
      </c>
      <c r="F46" s="2" t="s">
        <v>184</v>
      </c>
      <c r="G46" s="2" t="s">
        <v>185</v>
      </c>
      <c r="H46" s="2" t="s">
        <v>186</v>
      </c>
    </row>
    <row r="47" spans="1:8" ht="28.8" hidden="1" x14ac:dyDescent="0.3">
      <c r="A47" s="2" t="s">
        <v>173</v>
      </c>
      <c r="B47" s="2" t="s">
        <v>187</v>
      </c>
      <c r="C47" s="2" t="s">
        <v>302</v>
      </c>
      <c r="D47" s="2" t="s">
        <v>188</v>
      </c>
      <c r="E47" s="3" t="s">
        <v>11</v>
      </c>
      <c r="F47" s="2" t="s">
        <v>12</v>
      </c>
      <c r="G47" s="2" t="s">
        <v>12</v>
      </c>
      <c r="H47" s="2" t="s">
        <v>189</v>
      </c>
    </row>
    <row r="48" spans="1:8" x14ac:dyDescent="0.3">
      <c r="A48" s="2" t="s">
        <v>173</v>
      </c>
      <c r="B48" s="2" t="s">
        <v>190</v>
      </c>
      <c r="C48" s="2" t="s">
        <v>302</v>
      </c>
      <c r="D48" s="2" t="s">
        <v>191</v>
      </c>
      <c r="E48" s="4" t="s">
        <v>34</v>
      </c>
      <c r="F48" s="2" t="s">
        <v>192</v>
      </c>
      <c r="G48" s="2" t="s">
        <v>193</v>
      </c>
      <c r="H48" s="2" t="s">
        <v>194</v>
      </c>
    </row>
    <row r="49" spans="1:8" hidden="1" x14ac:dyDescent="0.3">
      <c r="A49" s="2" t="s">
        <v>173</v>
      </c>
      <c r="B49" s="2" t="s">
        <v>195</v>
      </c>
      <c r="C49" s="2" t="s">
        <v>305</v>
      </c>
      <c r="D49" s="2" t="s">
        <v>196</v>
      </c>
      <c r="E49" s="3" t="s">
        <v>11</v>
      </c>
      <c r="F49" s="2" t="s">
        <v>12</v>
      </c>
      <c r="G49" s="2" t="s">
        <v>12</v>
      </c>
      <c r="H49" s="2" t="s">
        <v>114</v>
      </c>
    </row>
    <row r="50" spans="1:8" hidden="1" x14ac:dyDescent="0.3">
      <c r="A50" s="2" t="s">
        <v>173</v>
      </c>
      <c r="B50" s="2" t="s">
        <v>197</v>
      </c>
      <c r="C50" s="2" t="s">
        <v>304</v>
      </c>
      <c r="D50" s="2" t="s">
        <v>198</v>
      </c>
      <c r="E50" s="3" t="s">
        <v>11</v>
      </c>
      <c r="F50" s="2"/>
      <c r="G50" s="2" t="s">
        <v>12</v>
      </c>
      <c r="H50" s="2" t="s">
        <v>159</v>
      </c>
    </row>
    <row r="51" spans="1:8" ht="28.8" hidden="1" x14ac:dyDescent="0.3">
      <c r="A51" s="2" t="s">
        <v>199</v>
      </c>
      <c r="B51" s="2" t="s">
        <v>200</v>
      </c>
      <c r="C51" s="2" t="s">
        <v>301</v>
      </c>
      <c r="D51" s="2" t="s">
        <v>201</v>
      </c>
      <c r="E51" s="3" t="s">
        <v>11</v>
      </c>
      <c r="F51" s="2" t="s">
        <v>12</v>
      </c>
      <c r="G51" s="2" t="s">
        <v>12</v>
      </c>
      <c r="H51" s="2" t="s">
        <v>202</v>
      </c>
    </row>
    <row r="52" spans="1:8" hidden="1" x14ac:dyDescent="0.3">
      <c r="A52" s="2" t="s">
        <v>199</v>
      </c>
      <c r="B52" s="2" t="s">
        <v>203</v>
      </c>
      <c r="C52" s="2" t="s">
        <v>302</v>
      </c>
      <c r="D52" s="2" t="s">
        <v>204</v>
      </c>
      <c r="E52" s="3" t="s">
        <v>11</v>
      </c>
      <c r="F52" s="2" t="s">
        <v>12</v>
      </c>
      <c r="G52" s="2" t="s">
        <v>12</v>
      </c>
      <c r="H52" s="2" t="s">
        <v>205</v>
      </c>
    </row>
    <row r="53" spans="1:8" hidden="1" x14ac:dyDescent="0.3">
      <c r="A53" s="2" t="s">
        <v>199</v>
      </c>
      <c r="B53" s="2" t="s">
        <v>206</v>
      </c>
      <c r="C53" s="2" t="s">
        <v>302</v>
      </c>
      <c r="D53" s="2" t="s">
        <v>207</v>
      </c>
      <c r="E53" s="3" t="s">
        <v>11</v>
      </c>
      <c r="F53" s="2" t="s">
        <v>12</v>
      </c>
      <c r="G53" s="2" t="s">
        <v>12</v>
      </c>
      <c r="H53" s="2" t="s">
        <v>208</v>
      </c>
    </row>
    <row r="54" spans="1:8" hidden="1" x14ac:dyDescent="0.3">
      <c r="A54" s="2" t="s">
        <v>199</v>
      </c>
      <c r="B54" s="2" t="s">
        <v>209</v>
      </c>
      <c r="C54" s="2" t="s">
        <v>302</v>
      </c>
      <c r="D54" s="2" t="s">
        <v>210</v>
      </c>
      <c r="E54" s="3" t="s">
        <v>11</v>
      </c>
      <c r="F54" s="2" t="s">
        <v>12</v>
      </c>
      <c r="G54" s="2" t="s">
        <v>12</v>
      </c>
      <c r="H54" s="2" t="s">
        <v>211</v>
      </c>
    </row>
    <row r="55" spans="1:8" hidden="1" x14ac:dyDescent="0.3">
      <c r="A55" s="2" t="s">
        <v>199</v>
      </c>
      <c r="B55" s="2" t="s">
        <v>212</v>
      </c>
      <c r="C55" s="2" t="s">
        <v>302</v>
      </c>
      <c r="D55" s="2" t="s">
        <v>213</v>
      </c>
      <c r="E55" s="3" t="s">
        <v>11</v>
      </c>
      <c r="F55" s="2" t="s">
        <v>12</v>
      </c>
      <c r="G55" s="2" t="s">
        <v>12</v>
      </c>
      <c r="H55" s="2" t="s">
        <v>214</v>
      </c>
    </row>
    <row r="56" spans="1:8" hidden="1" x14ac:dyDescent="0.3">
      <c r="A56" s="2" t="s">
        <v>199</v>
      </c>
      <c r="B56" s="2" t="s">
        <v>84</v>
      </c>
      <c r="C56" s="2" t="s">
        <v>302</v>
      </c>
      <c r="D56" s="2" t="s">
        <v>215</v>
      </c>
      <c r="E56" s="3" t="s">
        <v>11</v>
      </c>
      <c r="F56" s="2" t="s">
        <v>12</v>
      </c>
      <c r="G56" s="2" t="s">
        <v>12</v>
      </c>
      <c r="H56" s="2" t="s">
        <v>216</v>
      </c>
    </row>
    <row r="57" spans="1:8" hidden="1" x14ac:dyDescent="0.3">
      <c r="A57" s="2" t="s">
        <v>199</v>
      </c>
      <c r="B57" s="2" t="s">
        <v>217</v>
      </c>
      <c r="C57" s="2" t="s">
        <v>302</v>
      </c>
      <c r="D57" s="2" t="s">
        <v>218</v>
      </c>
      <c r="E57" s="3" t="s">
        <v>11</v>
      </c>
      <c r="F57" s="2" t="s">
        <v>12</v>
      </c>
      <c r="G57" s="2" t="s">
        <v>12</v>
      </c>
      <c r="H57" s="2" t="s">
        <v>219</v>
      </c>
    </row>
    <row r="58" spans="1:8" ht="28.8" hidden="1" x14ac:dyDescent="0.3">
      <c r="A58" s="2" t="s">
        <v>199</v>
      </c>
      <c r="B58" s="2" t="s">
        <v>220</v>
      </c>
      <c r="C58" s="2" t="s">
        <v>304</v>
      </c>
      <c r="D58" s="2" t="s">
        <v>221</v>
      </c>
      <c r="E58" s="3" t="s">
        <v>11</v>
      </c>
      <c r="F58" s="2" t="s">
        <v>12</v>
      </c>
      <c r="G58" s="2" t="s">
        <v>12</v>
      </c>
      <c r="H58" s="2" t="s">
        <v>222</v>
      </c>
    </row>
    <row r="59" spans="1:8" hidden="1" x14ac:dyDescent="0.3">
      <c r="A59" s="2" t="s">
        <v>199</v>
      </c>
      <c r="B59" s="2" t="s">
        <v>223</v>
      </c>
      <c r="C59" s="2" t="s">
        <v>301</v>
      </c>
      <c r="D59" s="2" t="s">
        <v>224</v>
      </c>
      <c r="E59" s="3" t="s">
        <v>11</v>
      </c>
      <c r="F59" s="2" t="s">
        <v>12</v>
      </c>
      <c r="G59" s="2" t="s">
        <v>12</v>
      </c>
      <c r="H59" s="2" t="s">
        <v>225</v>
      </c>
    </row>
    <row r="60" spans="1:8" hidden="1" x14ac:dyDescent="0.3">
      <c r="A60" s="2" t="s">
        <v>226</v>
      </c>
      <c r="B60" s="2" t="s">
        <v>227</v>
      </c>
      <c r="C60" s="2" t="s">
        <v>302</v>
      </c>
      <c r="D60" s="2" t="s">
        <v>228</v>
      </c>
      <c r="E60" s="3" t="s">
        <v>11</v>
      </c>
      <c r="F60" s="2" t="s">
        <v>12</v>
      </c>
      <c r="G60" s="2" t="s">
        <v>229</v>
      </c>
      <c r="H60" s="2" t="s">
        <v>230</v>
      </c>
    </row>
    <row r="61" spans="1:8" hidden="1" x14ac:dyDescent="0.3">
      <c r="A61" s="2" t="s">
        <v>226</v>
      </c>
      <c r="B61" s="2" t="s">
        <v>231</v>
      </c>
      <c r="C61" s="2" t="s">
        <v>302</v>
      </c>
      <c r="D61" s="2" t="s">
        <v>232</v>
      </c>
      <c r="E61" s="3" t="s">
        <v>11</v>
      </c>
      <c r="F61" s="2" t="s">
        <v>12</v>
      </c>
      <c r="G61" s="2" t="s">
        <v>12</v>
      </c>
      <c r="H61" s="2" t="s">
        <v>233</v>
      </c>
    </row>
    <row r="62" spans="1:8" hidden="1" x14ac:dyDescent="0.3">
      <c r="A62" s="2" t="s">
        <v>226</v>
      </c>
      <c r="B62" s="2" t="s">
        <v>234</v>
      </c>
      <c r="C62" s="2" t="s">
        <v>302</v>
      </c>
      <c r="D62" s="2" t="s">
        <v>235</v>
      </c>
      <c r="E62" s="3" t="s">
        <v>11</v>
      </c>
      <c r="F62" s="2" t="s">
        <v>12</v>
      </c>
      <c r="G62" s="2" t="s">
        <v>12</v>
      </c>
      <c r="H62" s="2" t="s">
        <v>236</v>
      </c>
    </row>
    <row r="63" spans="1:8" ht="28.8" hidden="1" x14ac:dyDescent="0.3">
      <c r="A63" s="2" t="s">
        <v>226</v>
      </c>
      <c r="B63" s="2" t="s">
        <v>237</v>
      </c>
      <c r="C63" s="2" t="s">
        <v>302</v>
      </c>
      <c r="D63" s="2" t="s">
        <v>238</v>
      </c>
      <c r="E63" s="3" t="s">
        <v>11</v>
      </c>
      <c r="F63" s="2" t="s">
        <v>12</v>
      </c>
      <c r="G63" s="2" t="s">
        <v>239</v>
      </c>
      <c r="H63" s="2" t="s">
        <v>240</v>
      </c>
    </row>
    <row r="64" spans="1:8" ht="28.8" hidden="1" x14ac:dyDescent="0.3">
      <c r="A64" s="2" t="s">
        <v>226</v>
      </c>
      <c r="B64" s="2" t="s">
        <v>241</v>
      </c>
      <c r="C64" s="2" t="s">
        <v>302</v>
      </c>
      <c r="D64" s="2" t="s">
        <v>242</v>
      </c>
      <c r="E64" s="3" t="s">
        <v>11</v>
      </c>
      <c r="F64" s="2" t="s">
        <v>12</v>
      </c>
      <c r="G64" s="2" t="s">
        <v>243</v>
      </c>
      <c r="H64" s="2" t="s">
        <v>244</v>
      </c>
    </row>
    <row r="65" spans="1:8" ht="28.8" hidden="1" x14ac:dyDescent="0.3">
      <c r="A65" s="2" t="s">
        <v>226</v>
      </c>
      <c r="B65" s="2" t="s">
        <v>245</v>
      </c>
      <c r="C65" s="2" t="s">
        <v>302</v>
      </c>
      <c r="D65" s="2" t="s">
        <v>246</v>
      </c>
      <c r="E65" s="3" t="s">
        <v>11</v>
      </c>
      <c r="F65" s="2" t="s">
        <v>12</v>
      </c>
      <c r="G65" s="2" t="s">
        <v>12</v>
      </c>
      <c r="H65" s="2" t="s">
        <v>247</v>
      </c>
    </row>
    <row r="66" spans="1:8" hidden="1" x14ac:dyDescent="0.3">
      <c r="A66" s="2" t="s">
        <v>226</v>
      </c>
      <c r="B66" s="2" t="s">
        <v>248</v>
      </c>
      <c r="C66" s="2" t="s">
        <v>304</v>
      </c>
      <c r="D66" s="2" t="s">
        <v>249</v>
      </c>
      <c r="E66" s="3" t="s">
        <v>11</v>
      </c>
      <c r="F66" s="2" t="s">
        <v>12</v>
      </c>
      <c r="G66" s="2" t="s">
        <v>12</v>
      </c>
      <c r="H66" s="2" t="s">
        <v>250</v>
      </c>
    </row>
    <row r="67" spans="1:8" hidden="1" x14ac:dyDescent="0.3">
      <c r="A67" s="2" t="s">
        <v>251</v>
      </c>
      <c r="B67" s="2" t="s">
        <v>252</v>
      </c>
      <c r="C67" s="2" t="s">
        <v>301</v>
      </c>
      <c r="D67" s="2" t="s">
        <v>253</v>
      </c>
      <c r="E67" s="3" t="s">
        <v>11</v>
      </c>
      <c r="F67" s="2" t="s">
        <v>12</v>
      </c>
      <c r="G67" s="2" t="s">
        <v>12</v>
      </c>
      <c r="H67" s="2" t="s">
        <v>254</v>
      </c>
    </row>
    <row r="68" spans="1:8" hidden="1" x14ac:dyDescent="0.3">
      <c r="A68" s="2" t="s">
        <v>251</v>
      </c>
      <c r="B68" s="2" t="s">
        <v>255</v>
      </c>
      <c r="C68" s="2" t="s">
        <v>302</v>
      </c>
      <c r="D68" s="2" t="s">
        <v>256</v>
      </c>
      <c r="E68" s="3" t="s">
        <v>11</v>
      </c>
      <c r="F68" s="2" t="s">
        <v>12</v>
      </c>
      <c r="G68" s="2" t="s">
        <v>12</v>
      </c>
      <c r="H68" s="2" t="s">
        <v>257</v>
      </c>
    </row>
    <row r="69" spans="1:8" ht="28.8" x14ac:dyDescent="0.3">
      <c r="A69" s="2" t="s">
        <v>251</v>
      </c>
      <c r="B69" s="2" t="s">
        <v>258</v>
      </c>
      <c r="C69" s="2" t="s">
        <v>302</v>
      </c>
      <c r="D69" s="2" t="s">
        <v>259</v>
      </c>
      <c r="E69" s="4" t="s">
        <v>34</v>
      </c>
      <c r="F69" s="2" t="s">
        <v>260</v>
      </c>
      <c r="G69" s="2" t="s">
        <v>261</v>
      </c>
      <c r="H69" s="2" t="s">
        <v>262</v>
      </c>
    </row>
    <row r="70" spans="1:8" x14ac:dyDescent="0.3">
      <c r="A70" s="2" t="s">
        <v>251</v>
      </c>
      <c r="B70" s="2" t="s">
        <v>263</v>
      </c>
      <c r="C70" s="2" t="s">
        <v>302</v>
      </c>
      <c r="D70" s="2" t="s">
        <v>264</v>
      </c>
      <c r="E70" s="4" t="s">
        <v>34</v>
      </c>
      <c r="F70" s="2" t="s">
        <v>265</v>
      </c>
      <c r="G70" s="2" t="s">
        <v>266</v>
      </c>
      <c r="H70" s="2" t="s">
        <v>267</v>
      </c>
    </row>
    <row r="71" spans="1:8" x14ac:dyDescent="0.3">
      <c r="A71" s="2" t="s">
        <v>251</v>
      </c>
      <c r="B71" s="2" t="s">
        <v>268</v>
      </c>
      <c r="C71" s="2" t="s">
        <v>302</v>
      </c>
      <c r="D71" s="2" t="s">
        <v>269</v>
      </c>
      <c r="E71" s="4" t="s">
        <v>34</v>
      </c>
      <c r="F71" s="2" t="s">
        <v>270</v>
      </c>
      <c r="G71" s="2" t="s">
        <v>271</v>
      </c>
      <c r="H71" s="2" t="s">
        <v>267</v>
      </c>
    </row>
    <row r="72" spans="1:8" x14ac:dyDescent="0.3">
      <c r="A72" s="2" t="s">
        <v>251</v>
      </c>
      <c r="B72" s="2" t="s">
        <v>272</v>
      </c>
      <c r="C72" s="2" t="s">
        <v>302</v>
      </c>
      <c r="D72" s="2" t="s">
        <v>273</v>
      </c>
      <c r="E72" s="4" t="s">
        <v>34</v>
      </c>
      <c r="F72" s="2" t="s">
        <v>274</v>
      </c>
      <c r="G72" s="2" t="s">
        <v>275</v>
      </c>
      <c r="H72" s="2" t="s">
        <v>267</v>
      </c>
    </row>
    <row r="73" spans="1:8" x14ac:dyDescent="0.3">
      <c r="A73" s="2" t="s">
        <v>251</v>
      </c>
      <c r="B73" s="2" t="s">
        <v>276</v>
      </c>
      <c r="C73" s="2" t="s">
        <v>302</v>
      </c>
      <c r="D73" s="2" t="s">
        <v>277</v>
      </c>
      <c r="E73" s="4" t="s">
        <v>34</v>
      </c>
      <c r="F73" s="2" t="s">
        <v>278</v>
      </c>
      <c r="G73" s="2" t="s">
        <v>279</v>
      </c>
      <c r="H73" s="2" t="s">
        <v>267</v>
      </c>
    </row>
    <row r="74" spans="1:8" x14ac:dyDescent="0.3">
      <c r="A74" s="2" t="s">
        <v>251</v>
      </c>
      <c r="B74" s="2" t="s">
        <v>280</v>
      </c>
      <c r="C74" s="2" t="s">
        <v>302</v>
      </c>
      <c r="D74" s="2" t="s">
        <v>281</v>
      </c>
      <c r="E74" s="4" t="s">
        <v>34</v>
      </c>
      <c r="F74" s="2" t="s">
        <v>282</v>
      </c>
      <c r="G74" s="2" t="s">
        <v>279</v>
      </c>
      <c r="H74" s="2" t="s">
        <v>267</v>
      </c>
    </row>
    <row r="75" spans="1:8" hidden="1" x14ac:dyDescent="0.3">
      <c r="A75" s="2" t="s">
        <v>251</v>
      </c>
      <c r="B75" s="2" t="s">
        <v>283</v>
      </c>
      <c r="C75" s="2" t="s">
        <v>304</v>
      </c>
      <c r="D75" s="2" t="s">
        <v>284</v>
      </c>
      <c r="E75" s="3" t="s">
        <v>11</v>
      </c>
      <c r="F75" s="2" t="s">
        <v>12</v>
      </c>
      <c r="G75" s="2" t="s">
        <v>12</v>
      </c>
      <c r="H75" s="2" t="s">
        <v>285</v>
      </c>
    </row>
    <row r="76" spans="1:8" ht="28.8" x14ac:dyDescent="0.3">
      <c r="A76" s="2" t="s">
        <v>286</v>
      </c>
      <c r="B76" s="2" t="s">
        <v>287</v>
      </c>
      <c r="C76" s="2" t="s">
        <v>302</v>
      </c>
      <c r="D76" s="2" t="s">
        <v>288</v>
      </c>
      <c r="E76" s="4" t="s">
        <v>34</v>
      </c>
      <c r="F76" s="2" t="s">
        <v>289</v>
      </c>
      <c r="G76" s="2" t="s">
        <v>290</v>
      </c>
      <c r="H76" s="2" t="s">
        <v>291</v>
      </c>
    </row>
    <row r="77" spans="1:8" x14ac:dyDescent="0.3">
      <c r="A77" s="2" t="s">
        <v>286</v>
      </c>
      <c r="B77" s="2" t="s">
        <v>292</v>
      </c>
      <c r="C77" s="2" t="s">
        <v>302</v>
      </c>
      <c r="D77" s="2" t="s">
        <v>293</v>
      </c>
      <c r="E77" s="4" t="s">
        <v>34</v>
      </c>
      <c r="F77" s="2" t="s">
        <v>294</v>
      </c>
      <c r="G77" s="2" t="s">
        <v>12</v>
      </c>
      <c r="H77" s="2" t="s">
        <v>295</v>
      </c>
    </row>
    <row r="78" spans="1:8" ht="28.8" hidden="1" x14ac:dyDescent="0.3">
      <c r="A78" s="2" t="s">
        <v>286</v>
      </c>
      <c r="B78" s="2" t="s">
        <v>296</v>
      </c>
      <c r="C78" s="2" t="s">
        <v>304</v>
      </c>
      <c r="D78" s="2" t="s">
        <v>297</v>
      </c>
      <c r="E78" s="3" t="s">
        <v>11</v>
      </c>
      <c r="F78" s="2" t="s">
        <v>298</v>
      </c>
      <c r="G78" s="2" t="s">
        <v>12</v>
      </c>
      <c r="H78" s="2" t="s">
        <v>285</v>
      </c>
    </row>
  </sheetData>
  <autoFilter ref="A1:H78" xr:uid="{00000000-0009-0000-0000-000000000000}">
    <filterColumn colId="4">
      <filters>
        <filter val="Si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F8" sqref="F8"/>
    </sheetView>
  </sheetViews>
  <sheetFormatPr baseColWidth="10" defaultColWidth="9.109375" defaultRowHeight="14.4" x14ac:dyDescent="0.3"/>
  <cols>
    <col min="1" max="1" width="32" customWidth="1"/>
    <col min="2" max="4" width="12" customWidth="1"/>
  </cols>
  <sheetData>
    <row r="1" spans="1:4" x14ac:dyDescent="0.3">
      <c r="A1" s="1" t="s">
        <v>0</v>
      </c>
      <c r="B1" s="1" t="s">
        <v>299</v>
      </c>
      <c r="C1" s="1" t="s">
        <v>34</v>
      </c>
      <c r="D1" s="1" t="s">
        <v>11</v>
      </c>
    </row>
    <row r="2" spans="1:4" x14ac:dyDescent="0.3">
      <c r="A2" s="5" t="s">
        <v>8</v>
      </c>
      <c r="B2" s="6">
        <v>5</v>
      </c>
      <c r="C2" s="6">
        <v>0</v>
      </c>
      <c r="D2" s="6">
        <v>5</v>
      </c>
    </row>
    <row r="3" spans="1:4" x14ac:dyDescent="0.3">
      <c r="A3" s="5" t="s">
        <v>26</v>
      </c>
      <c r="B3" s="6">
        <v>10</v>
      </c>
      <c r="C3" s="6">
        <v>8</v>
      </c>
      <c r="D3" s="6">
        <v>2</v>
      </c>
    </row>
    <row r="4" spans="1:4" x14ac:dyDescent="0.3">
      <c r="A4" s="5" t="s">
        <v>71</v>
      </c>
      <c r="B4" s="6">
        <v>8</v>
      </c>
      <c r="C4" s="6">
        <v>0</v>
      </c>
      <c r="D4" s="6">
        <v>8</v>
      </c>
    </row>
    <row r="5" spans="1:4" x14ac:dyDescent="0.3">
      <c r="A5" s="5" t="s">
        <v>98</v>
      </c>
      <c r="B5" s="6">
        <v>7</v>
      </c>
      <c r="C5" s="6">
        <v>0</v>
      </c>
      <c r="D5" s="6">
        <v>7</v>
      </c>
    </row>
    <row r="6" spans="1:4" x14ac:dyDescent="0.3">
      <c r="A6" s="5" t="s">
        <v>120</v>
      </c>
      <c r="B6" s="6">
        <v>7</v>
      </c>
      <c r="C6" s="6">
        <v>6</v>
      </c>
      <c r="D6" s="6">
        <v>1</v>
      </c>
    </row>
    <row r="7" spans="1:4" x14ac:dyDescent="0.3">
      <c r="A7" s="5" t="s">
        <v>150</v>
      </c>
      <c r="B7" s="6">
        <v>5</v>
      </c>
      <c r="C7" s="6">
        <v>5</v>
      </c>
      <c r="D7" s="6">
        <v>0</v>
      </c>
    </row>
    <row r="8" spans="1:4" x14ac:dyDescent="0.3">
      <c r="A8" s="5" t="s">
        <v>173</v>
      </c>
      <c r="B8" s="6">
        <v>7</v>
      </c>
      <c r="C8" s="6">
        <v>3</v>
      </c>
      <c r="D8" s="6">
        <v>4</v>
      </c>
    </row>
    <row r="9" spans="1:4" x14ac:dyDescent="0.3">
      <c r="A9" s="5" t="s">
        <v>199</v>
      </c>
      <c r="B9" s="6">
        <v>9</v>
      </c>
      <c r="C9" s="6">
        <v>0</v>
      </c>
      <c r="D9" s="6">
        <v>9</v>
      </c>
    </row>
    <row r="10" spans="1:4" x14ac:dyDescent="0.3">
      <c r="A10" s="5" t="s">
        <v>226</v>
      </c>
      <c r="B10" s="6">
        <v>7</v>
      </c>
      <c r="C10" s="6">
        <v>0</v>
      </c>
      <c r="D10" s="6">
        <v>7</v>
      </c>
    </row>
    <row r="11" spans="1:4" x14ac:dyDescent="0.3">
      <c r="A11" s="5" t="s">
        <v>251</v>
      </c>
      <c r="B11" s="6">
        <v>9</v>
      </c>
      <c r="C11" s="6">
        <v>6</v>
      </c>
      <c r="D11" s="6">
        <v>3</v>
      </c>
    </row>
    <row r="12" spans="1:4" x14ac:dyDescent="0.3">
      <c r="A12" s="5" t="s">
        <v>286</v>
      </c>
      <c r="B12" s="6">
        <v>3</v>
      </c>
      <c r="C12" s="6">
        <v>2</v>
      </c>
      <c r="D12" s="6">
        <v>1</v>
      </c>
    </row>
    <row r="13" spans="1:4" x14ac:dyDescent="0.3">
      <c r="A13" s="7" t="s">
        <v>300</v>
      </c>
      <c r="B13" s="8">
        <f>SUM(B2:B12)</f>
        <v>77</v>
      </c>
      <c r="C13" s="8">
        <f t="shared" ref="C13:D13" si="0">SUM(C2:C12)</f>
        <v>30</v>
      </c>
      <c r="D13" s="8">
        <f t="shared" si="0"/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Clasificacion Jira CMMI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Quintero</cp:lastModifiedBy>
  <dcterms:created xsi:type="dcterms:W3CDTF">2026-06-01T12:20:48Z</dcterms:created>
  <dcterms:modified xsi:type="dcterms:W3CDTF">2026-09-23T03:04:51Z</dcterms:modified>
</cp:coreProperties>
</file>