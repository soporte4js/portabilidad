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1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Auditoría Proyectos" sheetId="2" state="visible" r:id="rId2"/>
    <sheet xmlns:r="http://schemas.openxmlformats.org/officeDocument/2006/relationships" name="2.-Auditorías Organizacionales" sheetId="3" state="visible" r:id="rId3"/>
    <sheet xmlns:r="http://schemas.openxmlformats.org/officeDocument/2006/relationships" name="3.-Tendencias" sheetId="4" state="visible" r:id="rId4"/>
    <sheet xmlns:r="http://schemas.openxmlformats.org/officeDocument/2006/relationships" name="Listas" sheetId="5" state="hidden" r:id="rId5"/>
  </sheets>
  <definedNames>
    <definedName name="_xlnm._FilterDatabase" localSheetId="1" hidden="1">'1.-Auditoría Proyectos'!$A$2:$K$27</definedName>
    <definedName name="_xlnm._FilterDatabase" localSheetId="2" hidden="1">'2.-Auditorías Organizacionales'!$A$2:$J$27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2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i val="1"/>
      <color theme="1" tint="0.3499862666707358"/>
      <sz val="11"/>
      <scheme val="minor"/>
    </font>
    <font>
      <name val="Calibri"/>
      <family val="2"/>
      <i val="1"/>
      <color theme="1" tint="0.3499862666707358"/>
      <sz val="11"/>
    </font>
    <font>
      <name val="Calibri"/>
      <family val="2"/>
      <b val="1"/>
      <color theme="0"/>
      <sz val="14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4" fontId="1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  <xf numFmtId="0" fontId="13" fillId="2" borderId="2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17" fillId="3" borderId="1" pivotButton="0" quotePrefix="0" xfId="0"/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4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361382159115263"/>
          <y val="0.2263874682653712"/>
          <w val="0.865473012461151"/>
          <h val="0.4017134156830645"/>
        </manualLayout>
      </layout>
      <barChart>
        <barDir val="col"/>
        <grouping val="clustered"/>
        <varyColors val="0"/>
        <ser>
          <idx val="0"/>
          <order val="0"/>
          <tx>
            <strRef>
              <f>'3.-Tendencias'!$E$2</f>
              <strCache>
                <ptCount val="1"/>
                <pt idx="0">
                  <v>Hallazgos</v>
                </pt>
              </strCache>
            </strRef>
          </tx>
          <spPr>
            <a:pattFill xmlns:a="http://schemas.openxmlformats.org/drawingml/2006/main"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'3.-Tendencias'!$D$3:$D$8</f>
              <strCache>
                <ptCount val="6"/>
                <pt idx="0">
                  <v>Capacitación</v>
                </pt>
                <pt idx="1">
                  <v>Herramientas</v>
                </pt>
                <pt idx="2">
                  <v>Perfil de puesto</v>
                </pt>
                <pt idx="3">
                  <v>Habilidades</v>
                </pt>
                <pt idx="4">
                  <v>Sobrecarga de trabajo</v>
                </pt>
                <pt idx="5">
                  <v>Bypass de altos mandos</v>
                </pt>
              </strCache>
            </strRef>
          </cat>
          <val>
            <numRef>
              <f>'3.-Tendencias'!$E$3:$E$8</f>
              <numCache>
                <formatCode>General</formatCode>
                <ptCount val="6"/>
                <pt idx="0">
                  <v>7</v>
                </pt>
                <pt idx="1">
                  <v>3</v>
                </pt>
                <pt idx="2">
                  <v>6</v>
                </pt>
                <pt idx="3">
                  <v>2</v>
                </pt>
                <pt idx="4">
                  <v>5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overlap val="-20"/>
        <axId val="1285592896"/>
        <axId val="698084832"/>
      </barChart>
      <catAx>
        <axId val="128559289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698084832"/>
        <crosses val="autoZero"/>
        <auto val="1"/>
        <lblAlgn val="ctr"/>
        <lblOffset val="100"/>
        <noMultiLvlLbl val="0"/>
      </catAx>
      <valAx>
        <axId val="6980848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28559289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/>
      <pieChart>
        <varyColors val="1"/>
        <ser>
          <idx val="0"/>
          <order val="0"/>
          <tx>
            <strRef>
              <f>'3.-Tendencias'!$H$2</f>
              <strCache>
                <ptCount val="1"/>
                <pt idx="0">
                  <v>Hallazgos</v>
                </pt>
              </strCache>
            </strRef>
          </tx>
          <spPr>
            <a:solidFill xmlns:a="http://schemas.openxmlformats.org/drawingml/2006/main">
              <a:schemeClr val="lt1"/>
            </a:solidFill>
            <a:ln xmlns:a="http://schemas.openxmlformats.org/drawingml/2006/main" w="19050">
              <a:solidFill>
                <a:schemeClr val="dk1">
                  <a:tint val="88500"/>
                </a:schemeClr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MX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dLblPos val="in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'3.-Tendencias'!$G$3:$G$5</f>
              <strCache>
                <ptCount val="3"/>
                <pt idx="0">
                  <v>Abierto</v>
                </pt>
                <pt idx="1">
                  <v>Resuelto</v>
                </pt>
                <pt idx="2">
                  <v>No se va a resolver</v>
                </pt>
              </strCache>
            </strRef>
          </cat>
          <val>
            <numRef>
              <f>'3.-Tendencias'!$H$3:$H$5</f>
              <numCache>
                <formatCode>General</formatCode>
                <ptCount val="3"/>
                <pt idx="0">
                  <v>8</v>
                </pt>
                <pt idx="1">
                  <v>14</v>
                </pt>
                <pt idx="2">
                  <v>2</v>
                </pt>
              </numCache>
            </numRef>
          </val>
        </ser>
        <dLbls>
          <dLblPos val="inEnd"/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'3.-Tendencias'!$P$2</f>
              <strCache>
                <ptCount val="1"/>
                <pt idx="0">
                  <v>Hallazgos</v>
                </pt>
              </strCache>
            </strRef>
          </tx>
          <spPr>
            <a:pattFill xmlns:a="http://schemas.openxmlformats.org/drawingml/2006/main"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'3.-Tendencias'!$O$3:$O$8</f>
              <strCache>
                <ptCount val="6"/>
                <pt idx="0">
                  <v>Capacitación</v>
                </pt>
                <pt idx="1">
                  <v>Herramientas</v>
                </pt>
                <pt idx="2">
                  <v>Perfil de puesto</v>
                </pt>
                <pt idx="3">
                  <v>Habilidades</v>
                </pt>
                <pt idx="4">
                  <v>Sobrecarga de trabajo</v>
                </pt>
                <pt idx="5">
                  <v>Bypass de altos mandos</v>
                </pt>
              </strCache>
            </strRef>
          </cat>
          <val>
            <numRef>
              <f>'3.-Tendencias'!$P$3:$P$8</f>
              <numCache>
                <formatCode>General</formatCode>
                <ptCount val="6"/>
                <pt idx="0">
                  <v>8</v>
                </pt>
                <pt idx="1">
                  <v>1</v>
                </pt>
                <pt idx="2">
                  <v>2</v>
                </pt>
                <pt idx="3">
                  <v>2</v>
                </pt>
                <pt idx="4">
                  <v>5</v>
                </pt>
                <pt idx="5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overlap val="-20"/>
        <axId val="1607536352"/>
        <axId val="114777007"/>
      </barChart>
      <catAx>
        <axId val="160753635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4777007"/>
        <crosses val="autoZero"/>
        <auto val="1"/>
        <lblAlgn val="ctr"/>
        <lblOffset val="100"/>
        <noMultiLvlLbl val="0"/>
      </catAx>
      <valAx>
        <axId val="1147770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60753635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/>
      <pieChart>
        <varyColors val="1"/>
        <ser>
          <idx val="0"/>
          <order val="0"/>
          <tx>
            <strRef>
              <f>'3.-Tendencias'!$S$2</f>
              <strCache>
                <ptCount val="1"/>
                <pt idx="0">
                  <v>Hallazgos</v>
                </pt>
              </strCache>
            </strRef>
          </tx>
          <spPr>
            <a:solidFill xmlns:a="http://schemas.openxmlformats.org/drawingml/2006/main">
              <a:schemeClr val="lt1"/>
            </a:solidFill>
            <a:ln xmlns:a="http://schemas.openxmlformats.org/drawingml/2006/main" w="19050">
              <a:solidFill>
                <a:schemeClr val="dk1">
                  <a:tint val="88500"/>
                </a:schemeClr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lt1"/>
              </a:solidFill>
              <a:ln xmlns:a="http://schemas.openxmlformats.org/drawingml/2006/main" w="19050">
                <a:solidFill>
                  <a:schemeClr val="dk1">
                    <a:tint val="88500"/>
                  </a:schemeClr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dLblPos val="in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'3.-Tendencias'!$R$3:$R$5</f>
              <strCache>
                <ptCount val="3"/>
                <pt idx="0">
                  <v>Abierto</v>
                </pt>
                <pt idx="1">
                  <v>Resuelto</v>
                </pt>
                <pt idx="2">
                  <v>No se va a resolver</v>
                </pt>
              </strCache>
            </strRef>
          </cat>
          <val>
            <numRef>
              <f>'3.-Tendencias'!$S$3:$S$5</f>
              <numCache>
                <formatCode>General</formatCode>
                <ptCount val="3"/>
                <pt idx="0">
                  <v>8</v>
                </pt>
                <pt idx="1">
                  <v>14</v>
                </pt>
                <pt idx="2">
                  <v>3</v>
                </pt>
              </numCache>
            </numRef>
          </val>
        </ser>
        <dLbls>
          <dLblPos val="inEnd"/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'3.-Tendencias'!$B$2</f>
              <strCache>
                <ptCount val="1"/>
                <pt idx="0">
                  <v>Hallazgos</v>
                </pt>
              </strCache>
            </strRef>
          </tx>
          <spPr>
            <a:pattFill xmlns:a="http://schemas.openxmlformats.org/drawingml/2006/main"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'3.-Tendencias'!$A$3:$A$12</f>
              <strCache>
                <ptCount val="10"/>
                <pt idx="0">
                  <v>Estimación</v>
                </pt>
                <pt idx="1">
                  <v>Planeación</v>
                </pt>
                <pt idx="2">
                  <v>Gestión de requisitos</v>
                </pt>
                <pt idx="3">
                  <v>Diseño de software</v>
                </pt>
                <pt idx="4">
                  <v>Construcción</v>
                </pt>
                <pt idx="5">
                  <v>Revisión por pares</v>
                </pt>
                <pt idx="6">
                  <v>Pruebas</v>
                </pt>
                <pt idx="7">
                  <v>Entrega</v>
                </pt>
                <pt idx="8">
                  <v>Cierre</v>
                </pt>
                <pt idx="9">
                  <v>Monitoreo</v>
                </pt>
              </strCache>
            </strRef>
          </cat>
          <val>
            <numRef>
              <f>'3.-Tendencias'!$B$3:$B$12</f>
              <numCache>
                <formatCode>General</formatCode>
                <ptCount val="10"/>
                <pt idx="0">
                  <v>2</v>
                </pt>
                <pt idx="1">
                  <v>2</v>
                </pt>
                <pt idx="2">
                  <v>3</v>
                </pt>
                <pt idx="3">
                  <v>2</v>
                </pt>
                <pt idx="4">
                  <v>4</v>
                </pt>
                <pt idx="5">
                  <v>2</v>
                </pt>
                <pt idx="6">
                  <v>3</v>
                </pt>
                <pt idx="7">
                  <v>2</v>
                </pt>
                <pt idx="8">
                  <v>2</v>
                </pt>
                <pt idx="9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overlap val="-20"/>
        <axId val="447686831"/>
        <axId val="446659711"/>
      </barChart>
      <catAx>
        <axId val="447686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446659711"/>
        <crosses val="autoZero"/>
        <auto val="1"/>
        <lblAlgn val="ctr"/>
        <lblOffset val="100"/>
        <noMultiLvlLbl val="0"/>
      </catAx>
      <valAx>
        <axId val="4466597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44768683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MX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'3.-Tendencias'!$L$2</f>
              <strCache>
                <ptCount val="1"/>
                <pt idx="0">
                  <v>Hallazgos</v>
                </pt>
              </strCache>
            </strRef>
          </tx>
          <spPr>
            <a:pattFill xmlns:a="http://schemas.openxmlformats.org/drawingml/2006/main"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'3.-Tendencias'!$K$3:$K$7</f>
              <strCache>
                <ptCount val="5"/>
                <pt idx="0">
                  <v>Auditoría de procedimientos</v>
                </pt>
                <pt idx="1">
                  <v xml:space="preserve">Evaluación de procedimientos </v>
                </pt>
                <pt idx="2">
                  <v>Gestión de capacitación</v>
                </pt>
                <pt idx="3">
                  <v>Gestión de negocio</v>
                </pt>
                <pt idx="4">
                  <v>Gestión de mejoras</v>
                </pt>
              </strCache>
            </strRef>
          </cat>
          <val>
            <numRef>
              <f>'3.-Tendencias'!$L$3:$L$7</f>
              <numCache>
                <formatCode>General</formatCode>
                <ptCount val="5"/>
                <pt idx="0">
                  <v>6</v>
                </pt>
                <pt idx="1">
                  <v>6</v>
                </pt>
                <pt idx="2">
                  <v>5</v>
                </pt>
                <pt idx="3">
                  <v>2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overlap val="-20"/>
        <axId val="2006103551"/>
        <axId val="442445775"/>
      </barChart>
      <catAx>
        <axId val="200610355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442445775"/>
        <crosses val="autoZero"/>
        <auto val="1"/>
        <lblAlgn val="ctr"/>
        <lblOffset val="100"/>
        <noMultiLvlLbl val="0"/>
      </catAx>
      <valAx>
        <axId val="442445775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200610355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dk1">
        <a:tint val="88500"/>
      </a:schemeClr>
    </a:solidFill>
    <a:ln xmlns:a="http://schemas.openxmlformats.org/drawingml/2006/main" w="9525" cap="flat" cmpd="sng" algn="ctr">
      <a:solidFill>
        <a:schemeClr val="dk1">
          <a:tint val="885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Documentación Innevo</author>
    <author>Tania Lopez</author>
  </authors>
  <commentList>
    <comment ref="E2" authorId="0" shapeId="0">
      <text>
        <t>Es el registro en la columna nombrada "observaciones" en el checklist de la auditoría.</t>
      </text>
    </comment>
    <comment ref="F2" authorId="0" shapeId="0">
      <text>
        <t xml:space="preserve">Motivo / Argumento
Capacitación / No es que no quiera, es que no sabía
Herramientas / Es que no tenía los medios para hacerlo
Perfil de puesto / Es que esa no es mi responsabilidad 
Habilidades / Es que yo no soy experto en eso
Sobrecarga de trabajo / Es que tengo varios proyectos que antender
Bypass de altos mandos / Mi gerente m epidió no hacer pruebas para entregar más pronto </t>
      </text>
    </comment>
    <comment ref="G2" authorId="0" shapeId="0">
      <text>
        <t>Registrar la acción a realizar para resolver la no conformidad.</t>
      </text>
    </comment>
    <comment ref="H2" authorId="0" shapeId="0">
      <text>
        <t>Nombre y apellido</t>
      </text>
    </comment>
    <comment ref="K2" authorId="1" shapeId="0">
      <text>
        <t xml:space="preserve">Estado en que se encuentra la desviación:
Resuleto: Ya se resolvió la desviación
Abierto: Se encuentra en proceso de resolución
No se va a resolver: Se va a vivir con la desviación </t>
      </text>
    </comment>
  </commentList>
</comments>
</file>

<file path=xl/comments/comment2.xml><?xml version="1.0" encoding="utf-8"?>
<comments xmlns="http://schemas.openxmlformats.org/spreadsheetml/2006/main">
  <authors>
    <author>Tania Lopez</author>
  </authors>
  <commentList>
    <comment ref="J2" authorId="0" shapeId="0">
      <text>
        <t xml:space="preserve">Elegir una opción.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>
    <from>
      <col>0</col>
      <colOff>163286</colOff>
      <row>23</row>
      <rowOff>44133</rowOff>
    </from>
    <to>
      <col>3</col>
      <colOff>1362665</colOff>
      <row>36</row>
      <rowOff>122463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110652</colOff>
      <row>22</row>
      <rowOff>171226</rowOff>
    </from>
    <to>
      <col>8</col>
      <colOff>762000</colOff>
      <row>36</row>
      <rowOff>13608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10</col>
      <colOff>1795069</colOff>
      <row>22</row>
      <rowOff>162997</rowOff>
    </from>
    <to>
      <col>14</col>
      <colOff>1264662</colOff>
      <row>38</row>
      <rowOff>112972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812619</colOff>
      <row>9</row>
      <rowOff>105863</rowOff>
    </from>
    <to>
      <col>21</col>
      <colOff>126275</colOff>
      <row>25</row>
      <rowOff>20682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650557</colOff>
      <row>8</row>
      <rowOff>148590</rowOff>
    </from>
    <to>
      <col>8</col>
      <colOff>74295</colOff>
      <row>21</row>
      <rowOff>124777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39333</colOff>
      <row>8</row>
      <rowOff>37429</rowOff>
    </from>
    <to>
      <col>13</col>
      <colOff>207422</colOff>
      <row>21</row>
      <rowOff>7620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C17" sqref="C17"/>
    </sheetView>
  </sheetViews>
  <sheetFormatPr baseColWidth="8" defaultColWidth="11.42578125" defaultRowHeight="30.75" customHeight="1"/>
  <cols>
    <col width="20.28515625" bestFit="1" customWidth="1" style="4" min="1" max="1"/>
    <col width="23.5703125" customWidth="1" style="4" min="2" max="2"/>
    <col width="47.42578125" customWidth="1" style="4" min="3" max="3"/>
    <col width="26.5703125" customWidth="1" style="4" min="4" max="4"/>
    <col width="11.42578125" customWidth="1" style="4" min="5" max="16384"/>
  </cols>
  <sheetData>
    <row r="1" ht="15" customHeight="1">
      <c r="A1" s="38" t="inlineStr">
        <is>
          <t>Logo de la empresa</t>
        </is>
      </c>
      <c r="B1" s="45" t="n"/>
    </row>
    <row r="2" ht="55.5" customHeight="1">
      <c r="A2" s="46" t="n"/>
      <c r="B2" s="47" t="n"/>
    </row>
    <row r="3" ht="30.75" customHeight="1">
      <c r="A3" s="41" t="inlineStr">
        <is>
          <t>Alcance a nivel organizacional</t>
        </is>
      </c>
    </row>
    <row r="4" ht="15.75" customHeight="1"/>
    <row r="5" ht="15" customHeight="1"/>
    <row r="6" ht="18.75" customHeight="1">
      <c r="A6" s="39" t="inlineStr">
        <is>
          <t>Historial de versiones</t>
        </is>
      </c>
    </row>
    <row r="7" ht="15" customHeight="1"/>
    <row r="8" ht="18.75" customHeight="1">
      <c r="A8" s="35" t="inlineStr">
        <is>
          <t>Fecha</t>
        </is>
      </c>
      <c r="B8" s="35" t="inlineStr">
        <is>
          <t>Versión</t>
        </is>
      </c>
      <c r="C8" s="35" t="inlineStr">
        <is>
          <t>Descripción</t>
        </is>
      </c>
      <c r="D8" s="35" t="inlineStr">
        <is>
          <t>Autor</t>
        </is>
      </c>
    </row>
    <row r="9" ht="32.25" customHeight="1">
      <c r="A9" s="38" t="inlineStr">
        <is>
          <t>dd/mm/aaaa.</t>
        </is>
      </c>
      <c r="B9" s="38" t="inlineStr">
        <is>
          <t>Número de la versión v.v.</t>
        </is>
      </c>
      <c r="C9" s="38" t="inlineStr">
        <is>
          <t>Descripción de los cambios realizados en el documento.</t>
        </is>
      </c>
      <c r="D9" s="38" t="inlineStr">
        <is>
          <t>Nombre y apellido.</t>
        </is>
      </c>
    </row>
    <row r="10" ht="75" customHeight="1">
      <c r="A10" s="38" t="inlineStr">
        <is>
          <t>27/07/2026</t>
        </is>
      </c>
      <c r="B10" s="38" t="inlineStr">
        <is>
          <t>1.1</t>
        </is>
      </c>
      <c r="C10" s="36" t="inlineStr">
        <is>
          <t>Se registran los 10 hallazgos reales de las auditorías al proyecto Portabilidad ISSSTE-IMSS y los 11 hallazgos reales de las auditorías organizacionales (procedimientos, evaluación, mejoras, negocio); se corrige "está hoja".</t>
        </is>
      </c>
      <c r="D10" s="38" t="inlineStr">
        <is>
          <t>Carlos Quintero N.</t>
        </is>
      </c>
    </row>
    <row r="11" ht="32.25" customHeight="1">
      <c r="A11" s="38" t="n"/>
      <c r="B11" s="38" t="n"/>
      <c r="C11" s="36" t="n"/>
      <c r="D11" s="38" t="n"/>
    </row>
    <row r="12" ht="32.25" customHeight="1">
      <c r="A12" s="38" t="n"/>
      <c r="B12" s="38" t="n"/>
      <c r="C12" s="36" t="n"/>
      <c r="D12" s="38" t="n"/>
    </row>
    <row r="13" ht="32.25" customHeight="1"/>
    <row r="14" ht="15.75" customHeight="1">
      <c r="A14" s="40" t="inlineStr">
        <is>
          <t>Si se tiene un sistema de gestión de versiones eliminar esta hoja.</t>
        </is>
      </c>
    </row>
    <row r="15" ht="30.75" customHeight="1">
      <c r="A15" s="4" t="inlineStr">
        <is>
          <t>Nota: Algunas celdas estan marcadas para que sea visible el funcionamiento de la herramienta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tabSelected="1" zoomScale="80" zoomScaleNormal="80" workbookViewId="0">
      <selection activeCell="D6" sqref="D6"/>
    </sheetView>
  </sheetViews>
  <sheetFormatPr baseColWidth="8" defaultColWidth="10.85546875" defaultRowHeight="15"/>
  <cols>
    <col width="13.7109375" customWidth="1" min="1" max="1"/>
    <col width="21.28515625" customWidth="1" min="2" max="2"/>
    <col width="22.7109375" bestFit="1" customWidth="1" min="3" max="3"/>
    <col width="25.140625" customWidth="1" min="4" max="4"/>
    <col width="40" customWidth="1" min="5" max="5"/>
    <col width="28" customWidth="1" min="6" max="6"/>
    <col width="36.7109375" customWidth="1" min="7" max="7"/>
    <col width="22.7109375" customWidth="1" min="8" max="8"/>
    <col width="16.5703125" customWidth="1" min="9" max="10"/>
    <col width="21" customWidth="1" min="11" max="11"/>
  </cols>
  <sheetData>
    <row r="1" ht="21" customHeight="1">
      <c r="A1" s="42" t="inlineStr">
        <is>
          <t>Concentrado de hallazgos en auditoría de proyectos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</row>
    <row r="2" ht="31.5" customHeight="1">
      <c r="A2" s="6" t="inlineStr">
        <is>
          <t xml:space="preserve">ID </t>
        </is>
      </c>
      <c r="B2" s="7" t="inlineStr">
        <is>
          <t>Fecha de detección</t>
        </is>
      </c>
      <c r="C2" s="7" t="inlineStr">
        <is>
          <t>Proyecto</t>
        </is>
      </c>
      <c r="D2" s="31" t="inlineStr">
        <is>
          <t>Nombre del procedimiento</t>
        </is>
      </c>
      <c r="E2" s="6" t="inlineStr">
        <is>
          <t>No conformidad</t>
        </is>
      </c>
      <c r="F2" s="6" t="inlineStr">
        <is>
          <t>Motivo de la desviación</t>
        </is>
      </c>
      <c r="G2" s="6" t="inlineStr">
        <is>
          <t>Acción</t>
        </is>
      </c>
      <c r="H2" s="6" t="inlineStr">
        <is>
          <t>Responsable</t>
        </is>
      </c>
      <c r="I2" s="8" t="inlineStr">
        <is>
          <t>Fecha planeada de cierre</t>
        </is>
      </c>
      <c r="J2" s="8" t="inlineStr">
        <is>
          <t>Fecha real de cierre</t>
        </is>
      </c>
      <c r="K2" s="6" t="inlineStr">
        <is>
          <t>Estado</t>
        </is>
      </c>
    </row>
    <row r="3" ht="30" customHeight="1">
      <c r="A3" s="5" t="n">
        <v>1</v>
      </c>
      <c r="B3" s="9" t="inlineStr">
        <is>
          <t>27/07/2026</t>
        </is>
      </c>
      <c r="C3" s="10" t="inlineStr">
        <is>
          <t>Portabilidad de Derechos Pensionarios entre ISSSTE e IMSS</t>
        </is>
      </c>
      <c r="D3" s="33" t="inlineStr">
        <is>
          <t>Estimación</t>
        </is>
      </c>
      <c r="E3" s="11" t="inlineStr">
        <is>
          <t>El histórico no desglosa dominio de aplicación, tecnología, complejidad y conocimiento del equipo.</t>
        </is>
      </c>
      <c r="F3" s="34" t="inlineStr">
        <is>
          <t>Herramientas</t>
        </is>
      </c>
      <c r="G3" s="12" t="inlineStr">
        <is>
          <t>Actualizar la plantilla de históricos (RG-Estimación) para incluir las 4 dimensiones solicitadas.</t>
        </is>
      </c>
      <c r="H3" s="11" t="inlineStr">
        <is>
          <t>Carlos Quintero Nava</t>
        </is>
      </c>
      <c r="I3" s="13" t="inlineStr">
        <is>
          <t>30/09/2026</t>
        </is>
      </c>
      <c r="J3" s="13" t="n"/>
      <c r="K3" s="33" t="inlineStr">
        <is>
          <t>Abierto</t>
        </is>
      </c>
    </row>
    <row r="4" ht="30" customHeight="1">
      <c r="A4" s="5" t="n">
        <v>2</v>
      </c>
      <c r="B4" s="1" t="inlineStr">
        <is>
          <t>27/07/2026</t>
        </is>
      </c>
      <c r="C4" s="1" t="inlineStr">
        <is>
          <t>Portabilidad de Derechos Pensionarios entre ISSSTE e IMSS</t>
        </is>
      </c>
      <c r="D4" s="33" t="inlineStr">
        <is>
          <t>Diseño de software</t>
        </is>
      </c>
      <c r="E4" s="1" t="inlineStr">
        <is>
          <t>No se realizó auditoría de configuración específica al documento de Diseño de software.</t>
        </is>
      </c>
      <c r="F4" s="34" t="inlineStr">
        <is>
          <t>Sobrecarga de trabajo</t>
        </is>
      </c>
      <c r="G4" s="1" t="inlineStr">
        <is>
          <t>Programar y ejecutar la auditoría de configuración pendiente al documento de Diseño de software.</t>
        </is>
      </c>
      <c r="H4" s="1" t="inlineStr">
        <is>
          <t>Carlos Quintero Nava</t>
        </is>
      </c>
      <c r="I4" s="1" t="inlineStr">
        <is>
          <t>30/09/2026</t>
        </is>
      </c>
      <c r="J4" s="1" t="n"/>
      <c r="K4" s="33" t="inlineStr">
        <is>
          <t>Abierto</t>
        </is>
      </c>
    </row>
    <row r="5" ht="30" customHeight="1">
      <c r="A5" s="5" t="n">
        <v>3</v>
      </c>
      <c r="B5" s="1" t="inlineStr">
        <is>
          <t>27/07/2026</t>
        </is>
      </c>
      <c r="C5" s="1" t="inlineStr">
        <is>
          <t>Portabilidad de Derechos Pensionarios entre ISSSTE e IMSS</t>
        </is>
      </c>
      <c r="D5" s="33" t="inlineStr">
        <is>
          <t>Diseño de software</t>
        </is>
      </c>
      <c r="E5" s="1" t="inlineStr">
        <is>
          <t>No se realizó auditoría de configuración específica a los manuales de operación y mantenimiento.</t>
        </is>
      </c>
      <c r="F5" s="34" t="inlineStr">
        <is>
          <t>Sobrecarga de trabajo</t>
        </is>
      </c>
      <c r="G5" s="1" t="inlineStr">
        <is>
          <t>Programar y ejecutar la auditoría de configuración pendiente a los manuales.</t>
        </is>
      </c>
      <c r="H5" s="1" t="inlineStr">
        <is>
          <t>Carlos Quintero Nava</t>
        </is>
      </c>
      <c r="I5" s="1" t="inlineStr">
        <is>
          <t>30/09/2026</t>
        </is>
      </c>
      <c r="J5" s="1" t="n"/>
      <c r="K5" s="33" t="inlineStr">
        <is>
          <t>Abierto</t>
        </is>
      </c>
    </row>
    <row r="6" ht="30" customHeight="1">
      <c r="A6" s="5" t="n">
        <v>4</v>
      </c>
      <c r="B6" s="1" t="inlineStr">
        <is>
          <t>27/07/2026</t>
        </is>
      </c>
      <c r="C6" s="1" t="inlineStr">
        <is>
          <t>Portabilidad de Derechos Pensionarios entre ISSSTE e IMSS</t>
        </is>
      </c>
      <c r="D6" s="33" t="inlineStr">
        <is>
          <t>Construcción</t>
        </is>
      </c>
      <c r="E6" s="1" t="inlineStr">
        <is>
          <t>El defecto real (DEF-01) se registró en FT-Gestión de incidencias en vez de en la hoja "pruebas internas" de gestión de pruebas.</t>
        </is>
      </c>
      <c r="F6" s="34" t="inlineStr">
        <is>
          <t>Herramientas</t>
        </is>
      </c>
      <c r="G6" s="1" t="inlineStr">
        <is>
          <t>Definir y comunicar con claridad en cuál documento se registran los defectos para evitar ambigüedad.</t>
        </is>
      </c>
      <c r="H6" s="1" t="inlineStr">
        <is>
          <t>Carlos Quintero Nava</t>
        </is>
      </c>
      <c r="I6" s="1" t="inlineStr">
        <is>
          <t>30/09/2026</t>
        </is>
      </c>
      <c r="J6" s="1" t="n"/>
      <c r="K6" s="33" t="inlineStr">
        <is>
          <t>Abierto</t>
        </is>
      </c>
    </row>
    <row r="7" ht="30" customHeight="1">
      <c r="A7" s="5" t="n">
        <v>5</v>
      </c>
      <c r="B7" s="1" t="inlineStr">
        <is>
          <t>27/07/2026</t>
        </is>
      </c>
      <c r="C7" s="1" t="inlineStr">
        <is>
          <t>Portabilidad de Derechos Pensionarios entre ISSSTE e IMSS</t>
        </is>
      </c>
      <c r="D7" s="33" t="inlineStr">
        <is>
          <t>Pruebas</t>
        </is>
      </c>
      <c r="E7" s="1" t="inlineStr">
        <is>
          <t>El manual de usuario conserva imágenes ilustrativas genéricas de la plantilla, no capturas reales del sistema.</t>
        </is>
      </c>
      <c r="F7" s="34" t="inlineStr">
        <is>
          <t>Sobrecarga de trabajo</t>
        </is>
      </c>
      <c r="G7" s="1" t="inlineStr">
        <is>
          <t>Sustituir las imágenes genéricas por capturas reales de los portales SINAVID-OV/SIPE-AV.</t>
        </is>
      </c>
      <c r="H7" s="1" t="inlineStr">
        <is>
          <t>Carlos Quintero Nava</t>
        </is>
      </c>
      <c r="I7" s="1" t="inlineStr">
        <is>
          <t>30/09/2026</t>
        </is>
      </c>
      <c r="J7" s="1" t="n"/>
      <c r="K7" s="33" t="inlineStr">
        <is>
          <t>Abierto</t>
        </is>
      </c>
    </row>
    <row r="8" ht="30" customHeight="1">
      <c r="A8" s="5" t="n">
        <v>6</v>
      </c>
      <c r="B8" s="1" t="inlineStr">
        <is>
          <t>27/07/2026</t>
        </is>
      </c>
      <c r="C8" s="1" t="inlineStr">
        <is>
          <t>Portabilidad de Derechos Pensionarios entre ISSSTE e IMSS</t>
        </is>
      </c>
      <c r="D8" s="33" t="inlineStr">
        <is>
          <t>Entrega</t>
        </is>
      </c>
      <c r="E8" s="1" t="inlineStr">
        <is>
          <t>No se cuenta con un formulario de entrega construido para el proyecto.</t>
        </is>
      </c>
      <c r="F8" s="34" t="inlineStr">
        <is>
          <t>Herramientas</t>
        </is>
      </c>
      <c r="G8" s="1" t="inlineStr">
        <is>
          <t>Elaborar y utilizar un formulario de entrega para la aceptación formal del cliente.</t>
        </is>
      </c>
      <c r="H8" s="1" t="inlineStr">
        <is>
          <t>Carlos Quintero Nava</t>
        </is>
      </c>
      <c r="I8" s="1" t="inlineStr">
        <is>
          <t>30/09/2026</t>
        </is>
      </c>
      <c r="J8" s="1" t="n"/>
      <c r="K8" s="33" t="inlineStr">
        <is>
          <t>Abierto</t>
        </is>
      </c>
    </row>
    <row r="9" ht="30" customHeight="1">
      <c r="A9" s="5" t="n">
        <v>7</v>
      </c>
      <c r="B9" s="1" t="inlineStr">
        <is>
          <t>27/07/2026</t>
        </is>
      </c>
      <c r="C9" s="1" t="inlineStr">
        <is>
          <t>Portabilidad de Derechos Pensionarios entre ISSSTE e IMSS</t>
        </is>
      </c>
      <c r="D9" s="33" t="inlineStr">
        <is>
          <t>Cierre</t>
        </is>
      </c>
      <c r="E9" s="1" t="inlineStr">
        <is>
          <t>No se ha realizado una reunión formal de lecciones aprendidas para el proyecto.</t>
        </is>
      </c>
      <c r="F9" s="34" t="inlineStr">
        <is>
          <t>Sobrecarga de trabajo</t>
        </is>
      </c>
      <c r="G9" s="1" t="inlineStr">
        <is>
          <t>Programar la reunión de lecciones aprendidas antes del cierre formal del proyecto.</t>
        </is>
      </c>
      <c r="H9" s="1" t="inlineStr">
        <is>
          <t>Carlos Quintero Nava</t>
        </is>
      </c>
      <c r="I9" s="1" t="inlineStr">
        <is>
          <t>30/09/2026</t>
        </is>
      </c>
      <c r="J9" s="1" t="n"/>
      <c r="K9" s="33" t="inlineStr">
        <is>
          <t>Abierto</t>
        </is>
      </c>
    </row>
    <row r="10" ht="30" customHeight="1">
      <c r="A10" s="5" t="n">
        <v>8</v>
      </c>
      <c r="B10" s="1" t="inlineStr">
        <is>
          <t>27/07/2026</t>
        </is>
      </c>
      <c r="C10" s="1" t="inlineStr">
        <is>
          <t>Portabilidad de Derechos Pensionarios entre ISSSTE e IMSS</t>
        </is>
      </c>
      <c r="D10" s="33" t="inlineStr">
        <is>
          <t>Cierre</t>
        </is>
      </c>
      <c r="E10" s="1" t="inlineStr">
        <is>
          <t>No se ha generado un informe de cierre para el gerente de proyectos.</t>
        </is>
      </c>
      <c r="F10" s="34" t="inlineStr">
        <is>
          <t>Sobrecarga de trabajo</t>
        </is>
      </c>
      <c r="G10" s="1" t="inlineStr">
        <is>
          <t>Elaborar el informe de cierre del proyecto para el gerente de proyectos.</t>
        </is>
      </c>
      <c r="H10" s="1" t="inlineStr">
        <is>
          <t>Carlos Quintero Nava</t>
        </is>
      </c>
      <c r="I10" s="1" t="inlineStr">
        <is>
          <t>30/09/2026</t>
        </is>
      </c>
      <c r="J10" s="1" t="n"/>
      <c r="K10" s="33" t="inlineStr">
        <is>
          <t>Abierto</t>
        </is>
      </c>
    </row>
    <row r="11" ht="30" customHeight="1">
      <c r="A11" s="5" t="n">
        <v>9</v>
      </c>
      <c r="B11" s="1" t="inlineStr">
        <is>
          <t>27/07/2026</t>
        </is>
      </c>
      <c r="C11" s="1" t="inlineStr">
        <is>
          <t>Portabilidad de Derechos Pensionarios entre ISSSTE e IMSS</t>
        </is>
      </c>
      <c r="D11" s="33" t="inlineStr">
        <is>
          <t>Monitoreo</t>
        </is>
      </c>
      <c r="E11" s="1" t="inlineStr">
        <is>
          <t>No se documentó un análisis de riesgos específico para la implementación del cambio CR-01.</t>
        </is>
      </c>
      <c r="F11" s="34" t="inlineStr">
        <is>
          <t>Sobrecarga de trabajo</t>
        </is>
      </c>
      <c r="G11" s="1" t="inlineStr">
        <is>
          <t>Documentar retroactivamente el análisis de riesgos de CR-01 y aplicarlo a futuros cambios.</t>
        </is>
      </c>
      <c r="H11" s="1" t="inlineStr">
        <is>
          <t>Carlos Quintero Nava</t>
        </is>
      </c>
      <c r="I11" s="1" t="inlineStr">
        <is>
          <t>30/09/2026</t>
        </is>
      </c>
      <c r="J11" s="1" t="n"/>
      <c r="K11" s="33" t="inlineStr">
        <is>
          <t>Abierto</t>
        </is>
      </c>
    </row>
    <row r="12" ht="30" customHeight="1">
      <c r="A12" s="5" t="n">
        <v>10</v>
      </c>
      <c r="B12" s="1" t="inlineStr">
        <is>
          <t>27/07/2026</t>
        </is>
      </c>
      <c r="C12" s="1" t="inlineStr">
        <is>
          <t>Portabilidad de Derechos Pensionarios entre ISSSTE e IMSS</t>
        </is>
      </c>
      <c r="D12" s="33" t="inlineStr">
        <is>
          <t>Monitoreo</t>
        </is>
      </c>
      <c r="E12" s="1" t="inlineStr">
        <is>
          <t>El plan de proyecto no se actualizó explícitamente para reflejar las actividades de la re-portabilidad.</t>
        </is>
      </c>
      <c r="F12" s="34" t="inlineStr">
        <is>
          <t>Sobrecarga de trabajo</t>
        </is>
      </c>
      <c r="G12" s="1" t="inlineStr">
        <is>
          <t>Actualizar el plan de proyecto para reflejar las actividades del cambio CR-01.</t>
        </is>
      </c>
      <c r="H12" s="1" t="inlineStr">
        <is>
          <t>Carlos Quintero Nava</t>
        </is>
      </c>
      <c r="I12" s="1" t="inlineStr">
        <is>
          <t>30/09/2026</t>
        </is>
      </c>
      <c r="J12" s="1" t="n"/>
      <c r="K12" s="33" t="inlineStr">
        <is>
          <t>Abierto</t>
        </is>
      </c>
    </row>
    <row r="13" ht="30" customHeight="1">
      <c r="A13" s="5" t="n"/>
      <c r="B13" s="1" t="n"/>
      <c r="C13" s="1" t="n"/>
      <c r="D13" s="33" t="n"/>
      <c r="E13" s="1" t="n"/>
      <c r="F13" s="34" t="n"/>
      <c r="G13" s="1" t="n"/>
      <c r="H13" s="1" t="n"/>
      <c r="I13" s="1" t="n"/>
      <c r="J13" s="1" t="n"/>
      <c r="K13" s="33" t="n"/>
    </row>
    <row r="14" ht="30" customHeight="1">
      <c r="A14" s="5" t="n"/>
      <c r="B14" s="1" t="n"/>
      <c r="C14" s="1" t="n"/>
      <c r="D14" s="33" t="n"/>
      <c r="E14" s="1" t="n"/>
      <c r="F14" s="34" t="n"/>
      <c r="G14" s="1" t="n"/>
      <c r="H14" s="1" t="n"/>
      <c r="I14" s="1" t="n"/>
      <c r="J14" s="1" t="n"/>
      <c r="K14" s="33" t="n"/>
    </row>
    <row r="15" ht="30" customHeight="1">
      <c r="A15" s="5" t="n"/>
      <c r="B15" s="1" t="n"/>
      <c r="C15" s="1" t="n"/>
      <c r="D15" s="33" t="n"/>
      <c r="E15" s="1" t="n"/>
      <c r="F15" s="34" t="n"/>
      <c r="G15" s="1" t="n"/>
      <c r="H15" s="1" t="n"/>
      <c r="I15" s="1" t="n"/>
      <c r="J15" s="1" t="n"/>
      <c r="K15" s="33" t="n"/>
    </row>
    <row r="16" ht="30" customHeight="1">
      <c r="A16" s="5" t="n"/>
      <c r="B16" s="1" t="n"/>
      <c r="C16" s="1" t="n"/>
      <c r="D16" s="33" t="n"/>
      <c r="E16" s="1" t="n"/>
      <c r="F16" s="34" t="n"/>
      <c r="G16" s="1" t="n"/>
      <c r="H16" s="1" t="n"/>
      <c r="I16" s="1" t="n"/>
      <c r="J16" s="1" t="n"/>
      <c r="K16" s="33" t="n"/>
    </row>
    <row r="17" ht="30" customHeight="1">
      <c r="A17" s="5" t="n"/>
      <c r="B17" s="1" t="n"/>
      <c r="C17" s="1" t="n"/>
      <c r="D17" s="33" t="n"/>
      <c r="E17" s="1" t="n"/>
      <c r="F17" s="34" t="n"/>
      <c r="G17" s="1" t="n"/>
      <c r="H17" s="1" t="n"/>
      <c r="I17" s="1" t="n"/>
      <c r="J17" s="1" t="n"/>
      <c r="K17" s="33" t="n"/>
    </row>
    <row r="18" ht="30" customHeight="1">
      <c r="A18" s="5" t="n"/>
      <c r="B18" s="1" t="n"/>
      <c r="C18" s="1" t="n"/>
      <c r="D18" s="33" t="n"/>
      <c r="E18" s="1" t="n"/>
      <c r="F18" s="34" t="n"/>
      <c r="G18" s="1" t="n"/>
      <c r="H18" s="1" t="n"/>
      <c r="I18" s="1" t="n"/>
      <c r="J18" s="1" t="n"/>
      <c r="K18" s="33" t="n"/>
    </row>
    <row r="19" ht="30" customHeight="1">
      <c r="A19" s="5" t="n"/>
      <c r="B19" s="1" t="n"/>
      <c r="C19" s="1" t="n"/>
      <c r="D19" s="33" t="n"/>
      <c r="E19" s="1" t="n"/>
      <c r="F19" s="34" t="n"/>
      <c r="G19" s="1" t="n"/>
      <c r="H19" s="1" t="n"/>
      <c r="I19" s="1" t="n"/>
      <c r="J19" s="1" t="n"/>
      <c r="K19" s="33" t="n"/>
    </row>
    <row r="20" ht="30" customHeight="1">
      <c r="A20" s="5" t="n"/>
      <c r="B20" s="1" t="n"/>
      <c r="C20" s="1" t="n"/>
      <c r="D20" s="33" t="n"/>
      <c r="E20" s="1" t="n"/>
      <c r="F20" s="34" t="n"/>
      <c r="G20" s="1" t="n"/>
      <c r="H20" s="1" t="n"/>
      <c r="I20" s="1" t="n"/>
      <c r="J20" s="1" t="n"/>
      <c r="K20" s="33" t="n"/>
    </row>
    <row r="21" ht="30" customHeight="1">
      <c r="A21" s="5" t="n"/>
      <c r="B21" s="1" t="n"/>
      <c r="C21" s="1" t="n"/>
      <c r="D21" s="33" t="n"/>
      <c r="E21" s="1" t="n"/>
      <c r="F21" s="34" t="n"/>
      <c r="G21" s="1" t="n"/>
      <c r="H21" s="1" t="n"/>
      <c r="I21" s="1" t="n"/>
      <c r="J21" s="1" t="n"/>
      <c r="K21" s="33" t="n"/>
    </row>
    <row r="22" ht="30" customHeight="1">
      <c r="A22" s="5" t="n"/>
      <c r="B22" s="1" t="n"/>
      <c r="C22" s="1" t="n"/>
      <c r="D22" s="33" t="n"/>
      <c r="E22" s="1" t="n"/>
      <c r="F22" s="34" t="n"/>
      <c r="G22" s="1" t="n"/>
      <c r="H22" s="1" t="n"/>
      <c r="I22" s="1" t="n"/>
      <c r="J22" s="1" t="n"/>
      <c r="K22" s="33" t="n"/>
    </row>
    <row r="23" ht="30" customHeight="1">
      <c r="A23" s="5" t="n"/>
      <c r="B23" s="1" t="n"/>
      <c r="C23" s="1" t="n"/>
      <c r="D23" s="33" t="n"/>
      <c r="E23" s="1" t="n"/>
      <c r="F23" s="34" t="n"/>
      <c r="G23" s="1" t="n"/>
      <c r="H23" s="1" t="n"/>
      <c r="I23" s="1" t="n"/>
      <c r="J23" s="1" t="n"/>
      <c r="K23" s="33" t="n"/>
    </row>
    <row r="24" ht="30" customHeight="1">
      <c r="A24" s="5" t="n"/>
      <c r="B24" s="1" t="n"/>
      <c r="C24" s="1" t="n"/>
      <c r="D24" s="33" t="n"/>
      <c r="E24" s="1" t="n"/>
      <c r="F24" s="34" t="n"/>
      <c r="G24" s="1" t="n"/>
      <c r="H24" s="1" t="n"/>
      <c r="I24" s="1" t="n"/>
      <c r="J24" s="1" t="n"/>
      <c r="K24" s="33" t="n"/>
    </row>
    <row r="25" ht="30" customHeight="1">
      <c r="A25" s="5" t="n"/>
      <c r="B25" s="1" t="n"/>
      <c r="C25" s="1" t="n"/>
      <c r="D25" s="33" t="n"/>
      <c r="E25" s="1" t="n"/>
      <c r="F25" s="34" t="n"/>
      <c r="G25" s="1" t="n"/>
      <c r="H25" s="1" t="n"/>
      <c r="I25" s="1" t="n"/>
      <c r="J25" s="1" t="n"/>
      <c r="K25" s="33" t="n"/>
    </row>
    <row r="26" ht="30" customHeight="1">
      <c r="A26" s="5" t="n"/>
      <c r="B26" s="1" t="n"/>
      <c r="C26" s="1" t="n"/>
      <c r="D26" s="33" t="n"/>
      <c r="E26" s="1" t="n"/>
      <c r="F26" s="34" t="n"/>
      <c r="G26" s="1" t="n"/>
      <c r="H26" s="1" t="n"/>
      <c r="I26" s="1" t="n"/>
      <c r="J26" s="1" t="n"/>
      <c r="K26" s="33" t="n"/>
    </row>
    <row r="27" ht="30" customHeight="1">
      <c r="A27" s="5" t="n"/>
      <c r="B27" s="1" t="n"/>
      <c r="C27" s="1" t="n"/>
      <c r="D27" s="33" t="n"/>
      <c r="E27" s="1" t="n"/>
      <c r="F27" s="34" t="n"/>
      <c r="G27" s="1" t="n"/>
      <c r="H27" s="1" t="n"/>
      <c r="I27" s="1" t="n"/>
      <c r="J27" s="1" t="n"/>
      <c r="K27" s="33" t="n"/>
    </row>
  </sheetData>
  <autoFilter ref="A2:K27"/>
  <mergeCells count="1">
    <mergeCell ref="A1:K1"/>
  </mergeCells>
  <pageMargins left="0.7" right="0.7" top="0.75" bottom="0.75" header="0.3" footer="0.3"/>
  <pageSetup orientation="landscape" scale="46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zoomScale="85" zoomScaleNormal="85" workbookViewId="0">
      <selection activeCell="E4" sqref="E4:E6"/>
    </sheetView>
  </sheetViews>
  <sheetFormatPr baseColWidth="8" defaultColWidth="11.42578125" defaultRowHeight="15"/>
  <cols>
    <col width="8.85546875" customWidth="1" min="1" max="1"/>
    <col width="21.28515625" customWidth="1" min="2" max="2"/>
    <col width="29.7109375" customWidth="1" min="3" max="3"/>
    <col width="40" customWidth="1" min="4" max="4"/>
    <col width="28" customWidth="1" min="5" max="5"/>
    <col width="36.7109375" customWidth="1" min="6" max="6"/>
    <col width="22.7109375" customWidth="1" min="7" max="7"/>
    <col width="16.5703125" customWidth="1" min="8" max="9"/>
    <col width="21" customWidth="1" min="10" max="10"/>
  </cols>
  <sheetData>
    <row r="1" ht="21" customHeight="1">
      <c r="A1" s="43" t="inlineStr">
        <is>
          <t>Concentrado de hallazgos en auditoría de procedimientos organizacionales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</row>
    <row r="2" ht="31.5" customHeight="1">
      <c r="A2" s="6" t="inlineStr">
        <is>
          <t xml:space="preserve">ID </t>
        </is>
      </c>
      <c r="B2" s="7" t="inlineStr">
        <is>
          <t>Fecha de detección</t>
        </is>
      </c>
      <c r="C2" s="31" t="inlineStr">
        <is>
          <t>Nombre del procedimiento</t>
        </is>
      </c>
      <c r="D2" s="6" t="inlineStr">
        <is>
          <t>No conformidad</t>
        </is>
      </c>
      <c r="E2" s="6" t="inlineStr">
        <is>
          <t>Motivo de la desviación</t>
        </is>
      </c>
      <c r="F2" s="6" t="inlineStr">
        <is>
          <t>Acción</t>
        </is>
      </c>
      <c r="G2" s="6" t="inlineStr">
        <is>
          <t>Responsable</t>
        </is>
      </c>
      <c r="H2" s="8" t="inlineStr">
        <is>
          <t>Fecha planeada de cierre</t>
        </is>
      </c>
      <c r="I2" s="8" t="inlineStr">
        <is>
          <t>Fecha real de cierre</t>
        </is>
      </c>
      <c r="J2" s="6" t="inlineStr">
        <is>
          <t>Estado</t>
        </is>
      </c>
    </row>
    <row r="3" ht="30" customHeight="1">
      <c r="A3" s="5" t="n">
        <v>1</v>
      </c>
      <c r="B3" s="1" t="inlineStr">
        <is>
          <t>27/07/2026</t>
        </is>
      </c>
      <c r="C3" s="20" t="inlineStr">
        <is>
          <t>Auditoría de procedimientos</t>
        </is>
      </c>
      <c r="D3" s="14" t="inlineStr">
        <is>
          <t>El plan de auditorías no menciona explícitamente los proyectos que serán auditados.</t>
        </is>
      </c>
      <c r="E3" s="15" t="inlineStr">
        <is>
          <t>Herramientas</t>
        </is>
      </c>
      <c r="F3" s="16" t="inlineStr">
        <is>
          <t>Actualizar DZ-Plan de auditorías para incluir el alcance de proyectos a auditar.</t>
        </is>
      </c>
      <c r="G3" s="17" t="inlineStr">
        <is>
          <t>Carlos Quintero Nava</t>
        </is>
      </c>
      <c r="H3" s="14" t="inlineStr">
        <is>
          <t>30/09/2026</t>
        </is>
      </c>
      <c r="I3" s="14" t="n"/>
      <c r="J3" s="18" t="inlineStr">
        <is>
          <t>Abierto</t>
        </is>
      </c>
    </row>
    <row r="4" ht="30" customHeight="1">
      <c r="A4" s="5" t="n">
        <v>2</v>
      </c>
      <c r="B4" s="19" t="inlineStr">
        <is>
          <t>27/07/2026</t>
        </is>
      </c>
      <c r="C4" s="20" t="inlineStr">
        <is>
          <t>Auditoría de procedimientos</t>
        </is>
      </c>
      <c r="D4" s="19" t="inlineStr">
        <is>
          <t>No hay evidencia de aprobación formal del plan de auditorías por parte del director general.</t>
        </is>
      </c>
      <c r="E4" s="15" t="inlineStr">
        <is>
          <t>Bypass de altos mandos</t>
        </is>
      </c>
      <c r="F4" s="19" t="inlineStr">
        <is>
          <t>Obtener y documentar la aprobación formal del director general.</t>
        </is>
      </c>
      <c r="G4" s="2" t="inlineStr">
        <is>
          <t>Carlos Quintero Nava</t>
        </is>
      </c>
      <c r="H4" s="19" t="inlineStr">
        <is>
          <t>30/09/2026</t>
        </is>
      </c>
      <c r="I4" s="19" t="n"/>
      <c r="J4" s="18" t="inlineStr">
        <is>
          <t>Abierto</t>
        </is>
      </c>
    </row>
    <row r="5" ht="44.45" customHeight="1">
      <c r="A5" s="5" t="n">
        <v>3</v>
      </c>
      <c r="B5" s="19" t="inlineStr">
        <is>
          <t>27/07/2026</t>
        </is>
      </c>
      <c r="C5" s="20" t="inlineStr">
        <is>
          <t xml:space="preserve">Evaluación de procedimientos </t>
        </is>
      </c>
      <c r="D5" s="19" t="inlineStr">
        <is>
          <t>El ciclo de evaluación de Estimación sigue en curso, sin resultados ni áreas de mejora documentadas.</t>
        </is>
      </c>
      <c r="E5" s="15" t="inlineStr">
        <is>
          <t>Sobrecarga de trabajo</t>
        </is>
      </c>
      <c r="F5" s="19" t="inlineStr">
        <is>
          <t>Concluir el ciclo de evaluación de Estimación y documentar resultados.</t>
        </is>
      </c>
      <c r="G5" s="2" t="inlineStr">
        <is>
          <t>Carlos Quintero Nava</t>
        </is>
      </c>
      <c r="H5" s="19" t="inlineStr">
        <is>
          <t>30/09/2026</t>
        </is>
      </c>
      <c r="I5" s="19" t="n"/>
      <c r="J5" s="18" t="inlineStr">
        <is>
          <t>Abierto</t>
        </is>
      </c>
    </row>
    <row r="6" ht="30" customHeight="1">
      <c r="A6" s="5" t="n">
        <v>4</v>
      </c>
      <c r="B6" s="19" t="inlineStr">
        <is>
          <t>27/07/2026</t>
        </is>
      </c>
      <c r="C6" s="20" t="inlineStr">
        <is>
          <t>Gestión de mejoras</t>
        </is>
      </c>
      <c r="D6" s="19" t="inlineStr">
        <is>
          <t>El registro de la única mejora real (ID004) no vincula un objetivo de negocio, al estar aún en fase de registro.</t>
        </is>
      </c>
      <c r="E6" s="15" t="inlineStr">
        <is>
          <t>Sobrecarga de trabajo</t>
        </is>
      </c>
      <c r="F6" s="19" t="inlineStr">
        <is>
          <t>Realizar el análisis pendiente de la mejora ID004 con el comité correspondiente.</t>
        </is>
      </c>
      <c r="G6" s="2" t="inlineStr">
        <is>
          <t>Carlos Quintero Nava</t>
        </is>
      </c>
      <c r="H6" s="19" t="inlineStr">
        <is>
          <t>30/09/2026</t>
        </is>
      </c>
      <c r="I6" s="19" t="n"/>
      <c r="J6" s="18" t="inlineStr">
        <is>
          <t>Abierto</t>
        </is>
      </c>
    </row>
    <row r="7" ht="30" customHeight="1">
      <c r="A7" s="5" t="n">
        <v>5</v>
      </c>
      <c r="B7" s="19" t="inlineStr">
        <is>
          <t>27/07/2026</t>
        </is>
      </c>
      <c r="C7" s="20" t="inlineStr">
        <is>
          <t>Gestión de mejoras</t>
        </is>
      </c>
      <c r="D7" s="19" t="inlineStr">
        <is>
          <t>PR-Gestión de mejoras no enumera qué procedimientos serán evaluados.</t>
        </is>
      </c>
      <c r="E7" s="15" t="inlineStr">
        <is>
          <t>Herramientas</t>
        </is>
      </c>
      <c r="F7" s="19" t="inlineStr">
        <is>
          <t>Actualizar PR-Gestión de mejoras para especificar los procedimientos sujetos a mejora.</t>
        </is>
      </c>
      <c r="G7" s="2" t="inlineStr">
        <is>
          <t>Carlos Quintero Nava</t>
        </is>
      </c>
      <c r="H7" s="19" t="inlineStr">
        <is>
          <t>30/09/2026</t>
        </is>
      </c>
      <c r="I7" s="19" t="n"/>
      <c r="J7" s="18" t="inlineStr">
        <is>
          <t>Abierto</t>
        </is>
      </c>
    </row>
    <row r="8" ht="30" customHeight="1">
      <c r="A8" s="5" t="n">
        <v>6</v>
      </c>
      <c r="B8" s="19" t="inlineStr">
        <is>
          <t>27/07/2026</t>
        </is>
      </c>
      <c r="C8" s="20" t="inlineStr">
        <is>
          <t>Gestión de negocio</t>
        </is>
      </c>
      <c r="D8" s="19" t="inlineStr">
        <is>
          <t>No hay evidencia de revisión periódica formal de los resultados de medición.</t>
        </is>
      </c>
      <c r="E8" s="15" t="inlineStr">
        <is>
          <t>Sobrecarga de trabajo</t>
        </is>
      </c>
      <c r="F8" s="19" t="inlineStr">
        <is>
          <t>Establecer y documentar reuniones periódicas de revisión de resultados de medición.</t>
        </is>
      </c>
      <c r="G8" s="2" t="inlineStr">
        <is>
          <t>Carlos Quintero Nava</t>
        </is>
      </c>
      <c r="H8" s="19" t="inlineStr">
        <is>
          <t>30/09/2026</t>
        </is>
      </c>
      <c r="I8" s="19" t="n"/>
      <c r="J8" s="18" t="inlineStr">
        <is>
          <t>Abierto</t>
        </is>
      </c>
    </row>
    <row r="9" ht="30" customHeight="1">
      <c r="A9" s="5" t="n">
        <v>7</v>
      </c>
      <c r="B9" s="19" t="inlineStr">
        <is>
          <t>27/07/2026</t>
        </is>
      </c>
      <c r="C9" s="20" t="inlineStr">
        <is>
          <t>Gestión de negocio</t>
        </is>
      </c>
      <c r="D9" s="19" t="inlineStr">
        <is>
          <t>No hay evidencia de revisión periódica formal del seguimiento a procesos y su plan de mejora.</t>
        </is>
      </c>
      <c r="E9" s="15" t="inlineStr">
        <is>
          <t>Sobrecarga de trabajo</t>
        </is>
      </c>
      <c r="F9" s="19" t="inlineStr">
        <is>
          <t>Establecer y documentar reuniones periódicas de seguimiento a procesos.</t>
        </is>
      </c>
      <c r="G9" s="2" t="inlineStr">
        <is>
          <t>Carlos Quintero Nava</t>
        </is>
      </c>
      <c r="H9" s="19" t="inlineStr">
        <is>
          <t>30/09/2026</t>
        </is>
      </c>
      <c r="I9" s="19" t="n"/>
      <c r="J9" s="18" t="inlineStr">
        <is>
          <t>Abierto</t>
        </is>
      </c>
    </row>
    <row r="10" ht="30" customHeight="1">
      <c r="A10" s="5" t="n">
        <v>8</v>
      </c>
      <c r="B10" s="19" t="inlineStr">
        <is>
          <t>27/07/2026</t>
        </is>
      </c>
      <c r="C10" s="20" t="inlineStr">
        <is>
          <t>Gestión de negocio</t>
        </is>
      </c>
      <c r="D10" s="19" t="inlineStr">
        <is>
          <t>No hay evidencia de revisión periódica formal del avance de los objetivos de negocio.</t>
        </is>
      </c>
      <c r="E10" s="15" t="inlineStr">
        <is>
          <t>Sobrecarga de trabajo</t>
        </is>
      </c>
      <c r="F10" s="19" t="inlineStr">
        <is>
          <t>Establecer y documentar reuniones periódicas de revisión de avance de objetivos.</t>
        </is>
      </c>
      <c r="G10" s="2" t="inlineStr">
        <is>
          <t>Carlos Quintero Nava</t>
        </is>
      </c>
      <c r="H10" s="19" t="inlineStr">
        <is>
          <t>30/09/2026</t>
        </is>
      </c>
      <c r="I10" s="19" t="n"/>
      <c r="J10" s="18" t="inlineStr">
        <is>
          <t>Abierto</t>
        </is>
      </c>
    </row>
    <row r="11" ht="30" customHeight="1">
      <c r="A11" s="5" t="n">
        <v>9</v>
      </c>
      <c r="B11" s="19" t="inlineStr">
        <is>
          <t>27/07/2026</t>
        </is>
      </c>
      <c r="C11" s="20" t="inlineStr">
        <is>
          <t>Gestión de negocio</t>
        </is>
      </c>
      <c r="D11" s="19" t="inlineStr">
        <is>
          <t>No hay evidencia de revisión periódica formal de las tendencias de calidad.</t>
        </is>
      </c>
      <c r="E11" s="15" t="inlineStr">
        <is>
          <t>Sobrecarga de trabajo</t>
        </is>
      </c>
      <c r="F11" s="19" t="inlineStr">
        <is>
          <t>Establecer y documentar reuniones periódicas de revisión de tendencias de calidad.</t>
        </is>
      </c>
      <c r="G11" s="2" t="inlineStr">
        <is>
          <t>Carlos Quintero Nava</t>
        </is>
      </c>
      <c r="H11" s="19" t="inlineStr">
        <is>
          <t>30/09/2026</t>
        </is>
      </c>
      <c r="I11" s="19" t="n"/>
      <c r="J11" s="18" t="inlineStr">
        <is>
          <t>Abierto</t>
        </is>
      </c>
    </row>
    <row r="12" ht="30" customHeight="1">
      <c r="A12" s="5" t="n">
        <v>10</v>
      </c>
      <c r="B12" s="19" t="inlineStr">
        <is>
          <t>27/07/2026</t>
        </is>
      </c>
      <c r="C12" s="20" t="inlineStr">
        <is>
          <t>Gestión de negocio</t>
        </is>
      </c>
      <c r="D12" s="19" t="inlineStr">
        <is>
          <t>No hay evidencia de revisión periódica formal de problemas identificados y su solución.</t>
        </is>
      </c>
      <c r="E12" s="15" t="inlineStr">
        <is>
          <t>Sobrecarga de trabajo</t>
        </is>
      </c>
      <c r="F12" s="19" t="inlineStr">
        <is>
          <t>Establecer y documentar reuniones periódicas de revisión de problemas y soluciones.</t>
        </is>
      </c>
      <c r="G12" s="2" t="inlineStr">
        <is>
          <t>Carlos Quintero Nava</t>
        </is>
      </c>
      <c r="H12" s="19" t="inlineStr">
        <is>
          <t>30/09/2026</t>
        </is>
      </c>
      <c r="I12" s="19" t="n"/>
      <c r="J12" s="18" t="inlineStr">
        <is>
          <t>Abierto</t>
        </is>
      </c>
    </row>
    <row r="13" ht="30" customHeight="1">
      <c r="A13" s="5" t="n">
        <v>11</v>
      </c>
      <c r="B13" s="19" t="inlineStr">
        <is>
          <t>27/07/2026</t>
        </is>
      </c>
      <c r="C13" s="20" t="inlineStr">
        <is>
          <t>Gestión de negocio</t>
        </is>
      </c>
      <c r="D13" s="19" t="inlineStr">
        <is>
          <t>No hay evidencia de revisión periódica formal de la necesidad de acciones correctivas.</t>
        </is>
      </c>
      <c r="E13" s="15" t="inlineStr">
        <is>
          <t>Sobrecarga de trabajo</t>
        </is>
      </c>
      <c r="F13" s="19" t="inlineStr">
        <is>
          <t>Establecer y documentar reuniones periódicas de revisión de acciones correctivas.</t>
        </is>
      </c>
      <c r="G13" s="2" t="inlineStr">
        <is>
          <t>Carlos Quintero Nava</t>
        </is>
      </c>
      <c r="H13" s="19" t="inlineStr">
        <is>
          <t>30/09/2026</t>
        </is>
      </c>
      <c r="I13" s="19" t="n"/>
      <c r="J13" s="18" t="inlineStr">
        <is>
          <t>Abierto</t>
        </is>
      </c>
    </row>
    <row r="14" ht="30" customHeight="1">
      <c r="A14" s="5" t="n"/>
      <c r="B14" s="19" t="n"/>
      <c r="C14" s="20" t="n"/>
      <c r="D14" s="19" t="n"/>
      <c r="E14" s="15" t="n"/>
      <c r="F14" s="19" t="n"/>
      <c r="G14" s="2" t="n"/>
      <c r="H14" s="19" t="n"/>
      <c r="I14" s="19" t="n"/>
      <c r="J14" s="18" t="n"/>
    </row>
    <row r="15" ht="30" customHeight="1">
      <c r="A15" s="5" t="n"/>
      <c r="B15" s="19" t="n"/>
      <c r="C15" s="20" t="n"/>
      <c r="D15" s="19" t="n"/>
      <c r="E15" s="15" t="n"/>
      <c r="F15" s="19" t="n"/>
      <c r="G15" s="2" t="n"/>
      <c r="H15" s="19" t="n"/>
      <c r="I15" s="19" t="n"/>
      <c r="J15" s="18" t="n"/>
    </row>
    <row r="16" ht="30" customHeight="1">
      <c r="A16" s="5" t="n"/>
      <c r="B16" s="19" t="n"/>
      <c r="C16" s="20" t="n"/>
      <c r="D16" s="19" t="n"/>
      <c r="E16" s="15" t="n"/>
      <c r="F16" s="19" t="n"/>
      <c r="G16" s="2" t="n"/>
      <c r="H16" s="19" t="n"/>
      <c r="I16" s="19" t="n"/>
      <c r="J16" s="18" t="n"/>
    </row>
    <row r="17" ht="30" customHeight="1">
      <c r="A17" s="5" t="n"/>
      <c r="B17" s="19" t="n"/>
      <c r="C17" s="20" t="n"/>
      <c r="D17" s="19" t="n"/>
      <c r="E17" s="15" t="n"/>
      <c r="F17" s="19" t="n"/>
      <c r="G17" s="2" t="n"/>
      <c r="H17" s="19" t="n"/>
      <c r="I17" s="19" t="n"/>
      <c r="J17" s="18" t="n"/>
    </row>
    <row r="18" ht="30" customHeight="1">
      <c r="A18" s="5" t="n"/>
      <c r="B18" s="19" t="n"/>
      <c r="C18" s="20" t="n"/>
      <c r="D18" s="19" t="n"/>
      <c r="E18" s="15" t="n"/>
      <c r="F18" s="19" t="n"/>
      <c r="G18" s="2" t="n"/>
      <c r="H18" s="19" t="n"/>
      <c r="I18" s="19" t="n"/>
      <c r="J18" s="18" t="n"/>
    </row>
    <row r="19" ht="30" customHeight="1">
      <c r="A19" s="5" t="n"/>
      <c r="B19" s="19" t="n"/>
      <c r="C19" s="20" t="n"/>
      <c r="D19" s="19" t="n"/>
      <c r="E19" s="15" t="n"/>
      <c r="F19" s="19" t="n"/>
      <c r="G19" s="2" t="n"/>
      <c r="H19" s="19" t="n"/>
      <c r="I19" s="19" t="n"/>
      <c r="J19" s="18" t="n"/>
    </row>
    <row r="20" ht="30" customHeight="1">
      <c r="A20" s="5" t="n"/>
      <c r="B20" s="19" t="n"/>
      <c r="C20" s="20" t="n"/>
      <c r="D20" s="19" t="n"/>
      <c r="E20" s="15" t="n"/>
      <c r="F20" s="19" t="n"/>
      <c r="G20" s="2" t="n"/>
      <c r="H20" s="19" t="n"/>
      <c r="I20" s="19" t="n"/>
      <c r="J20" s="18" t="n"/>
    </row>
    <row r="21" ht="30" customHeight="1">
      <c r="A21" s="5" t="n"/>
      <c r="B21" s="19" t="n"/>
      <c r="C21" s="20" t="n"/>
      <c r="D21" s="19" t="n"/>
      <c r="E21" s="15" t="n"/>
      <c r="F21" s="19" t="n"/>
      <c r="G21" s="2" t="n"/>
      <c r="H21" s="19" t="n"/>
      <c r="I21" s="19" t="n"/>
      <c r="J21" s="18" t="n"/>
    </row>
    <row r="22" ht="30" customHeight="1">
      <c r="A22" s="5" t="n"/>
      <c r="B22" s="19" t="n"/>
      <c r="C22" s="20" t="n"/>
      <c r="D22" s="19" t="n"/>
      <c r="E22" s="15" t="n"/>
      <c r="F22" s="19" t="n"/>
      <c r="G22" s="2" t="n"/>
      <c r="H22" s="19" t="n"/>
      <c r="I22" s="19" t="n"/>
      <c r="J22" s="18" t="n"/>
    </row>
    <row r="23" ht="30" customHeight="1">
      <c r="A23" s="5" t="n"/>
      <c r="B23" s="19" t="n"/>
      <c r="C23" s="20" t="n"/>
      <c r="D23" s="19" t="n"/>
      <c r="E23" s="15" t="n"/>
      <c r="F23" s="19" t="n"/>
      <c r="G23" s="2" t="n"/>
      <c r="H23" s="19" t="n"/>
      <c r="I23" s="19" t="n"/>
      <c r="J23" s="18" t="n"/>
    </row>
    <row r="24" ht="30" customHeight="1">
      <c r="A24" s="5" t="n"/>
      <c r="B24" s="19" t="n"/>
      <c r="C24" s="20" t="n"/>
      <c r="D24" s="19" t="n"/>
      <c r="E24" s="15" t="n"/>
      <c r="F24" s="19" t="n"/>
      <c r="G24" s="2" t="n"/>
      <c r="H24" s="19" t="n"/>
      <c r="I24" s="19" t="n"/>
      <c r="J24" s="18" t="n"/>
    </row>
    <row r="25" ht="30" customHeight="1">
      <c r="A25" s="5" t="n"/>
      <c r="B25" s="19" t="n"/>
      <c r="C25" s="20" t="n"/>
      <c r="D25" s="19" t="n"/>
      <c r="E25" s="15" t="n"/>
      <c r="F25" s="19" t="n"/>
      <c r="G25" s="2" t="n"/>
      <c r="H25" s="19" t="n"/>
      <c r="I25" s="19" t="n"/>
      <c r="J25" s="18" t="n"/>
    </row>
    <row r="26" ht="30" customHeight="1">
      <c r="A26" s="5" t="n"/>
      <c r="B26" s="19" t="n"/>
      <c r="C26" s="20" t="n"/>
      <c r="D26" s="19" t="n"/>
      <c r="E26" s="15" t="n"/>
      <c r="F26" s="19" t="n"/>
      <c r="G26" s="2" t="n"/>
      <c r="H26" s="19" t="n"/>
      <c r="I26" s="19" t="n"/>
      <c r="J26" s="18" t="n"/>
    </row>
    <row r="27" ht="30" customHeight="1">
      <c r="A27" s="5" t="n"/>
      <c r="B27" s="19" t="n"/>
      <c r="C27" s="20" t="n"/>
      <c r="D27" s="19" t="n"/>
      <c r="E27" s="15" t="n"/>
      <c r="F27" s="19" t="n"/>
      <c r="G27" s="2" t="n"/>
      <c r="H27" s="19" t="n"/>
      <c r="I27" s="19" t="n"/>
      <c r="J27" s="18" t="n"/>
    </row>
  </sheetData>
  <autoFilter ref="A2:J27"/>
  <mergeCells count="1">
    <mergeCell ref="A1:J1"/>
  </mergeCells>
  <pageMargins left="0.7" right="0.7" top="0.75" bottom="0.75" header="0.3" footer="0.3"/>
  <pageSetup orientation="landscape" paperSize="9" scale="54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zoomScale="70" zoomScaleNormal="70" workbookViewId="0">
      <selection activeCell="H45" sqref="H45"/>
    </sheetView>
  </sheetViews>
  <sheetFormatPr baseColWidth="8" defaultColWidth="8.85546875" defaultRowHeight="15"/>
  <cols>
    <col width="23" customWidth="1" min="1" max="1"/>
    <col width="11.28515625" customWidth="1" min="2" max="3"/>
    <col width="24.42578125" customWidth="1" min="4" max="4"/>
    <col width="12.5703125" customWidth="1" min="5" max="5"/>
    <col width="11.28515625" customWidth="1" min="6" max="6"/>
    <col width="21.42578125" customWidth="1" min="7" max="7"/>
    <col width="12.85546875" customWidth="1" min="8" max="8"/>
    <col width="24.85546875" customWidth="1" min="9" max="9"/>
    <col width="54.140625" customWidth="1" min="11" max="11"/>
    <col width="21.85546875" customWidth="1" min="12" max="12"/>
    <col width="8" customWidth="1" min="13" max="13"/>
    <col width="4.85546875" customWidth="1" min="14" max="14"/>
    <col width="24.5703125" customWidth="1" min="15" max="15"/>
    <col width="11.85546875" customWidth="1" min="16" max="16"/>
    <col width="18.85546875" customWidth="1" min="18" max="18"/>
    <col width="12" customWidth="1" min="19" max="19"/>
    <col width="7.7109375" customWidth="1" min="20" max="20"/>
    <col width="17.5703125" customWidth="1" min="21" max="21"/>
  </cols>
  <sheetData>
    <row r="1" ht="18.75" customHeight="1">
      <c r="A1" s="44" t="inlineStr">
        <is>
          <t>Auditoría de proyecto</t>
        </is>
      </c>
      <c r="K1" s="44" t="inlineStr">
        <is>
          <t>Auditoría de procedimientos organizacionales</t>
        </is>
      </c>
    </row>
    <row r="2">
      <c r="A2" s="27" t="inlineStr">
        <is>
          <t>Proceso</t>
        </is>
      </c>
      <c r="B2" s="27" t="inlineStr">
        <is>
          <t>Hallazgos</t>
        </is>
      </c>
      <c r="C2" s="28" t="n"/>
      <c r="D2" s="27" t="inlineStr">
        <is>
          <t xml:space="preserve">Motivos </t>
        </is>
      </c>
      <c r="E2" s="27" t="inlineStr">
        <is>
          <t>Hallazgos</t>
        </is>
      </c>
      <c r="G2" s="27" t="inlineStr">
        <is>
          <t>Estado</t>
        </is>
      </c>
      <c r="H2" s="27" t="inlineStr">
        <is>
          <t>Hallazgos</t>
        </is>
      </c>
      <c r="K2" s="27" t="inlineStr">
        <is>
          <t>Procedimiento</t>
        </is>
      </c>
      <c r="L2" s="27" t="inlineStr">
        <is>
          <t>Hallazgos</t>
        </is>
      </c>
      <c r="M2" s="28" t="n"/>
      <c r="O2" s="27" t="inlineStr">
        <is>
          <t xml:space="preserve">Motivos </t>
        </is>
      </c>
      <c r="P2" s="27" t="inlineStr">
        <is>
          <t>Hallazgos</t>
        </is>
      </c>
      <c r="R2" s="27" t="inlineStr">
        <is>
          <t>Estado</t>
        </is>
      </c>
      <c r="S2" s="27" t="inlineStr">
        <is>
          <t>Hallazgos</t>
        </is>
      </c>
    </row>
    <row r="3">
      <c r="A3" s="25" t="inlineStr">
        <is>
          <t>Estimación</t>
        </is>
      </c>
      <c r="B3" s="2">
        <f>COUNTIF('1.-Auditoría Proyectos'!D3:D27,'3.-Tendencias'!A3)</f>
        <v/>
      </c>
      <c r="C3" s="29" t="n"/>
      <c r="D3" s="30" t="inlineStr">
        <is>
          <t>Capacitación</t>
        </is>
      </c>
      <c r="E3" s="2">
        <f>COUNTIF('1.-Auditoría Proyectos'!F3:F27,'3.-Tendencias'!D3)</f>
        <v/>
      </c>
      <c r="G3" s="25" t="inlineStr">
        <is>
          <t>Abierto</t>
        </is>
      </c>
      <c r="H3" s="2">
        <f>COUNTIF('1.-Auditoría Proyectos'!K3:K27,'3.-Tendencias'!G3)</f>
        <v/>
      </c>
      <c r="K3" s="32" t="inlineStr">
        <is>
          <t>Auditoría de procedimientos</t>
        </is>
      </c>
      <c r="L3" s="2">
        <f>COUNTIF('2.-Auditorías Organizacionales'!C3:C27,'3.-Tendencias'!K3)</f>
        <v/>
      </c>
      <c r="M3" s="29" t="n"/>
      <c r="O3" s="30" t="inlineStr">
        <is>
          <t>Capacitación</t>
        </is>
      </c>
      <c r="P3" s="2">
        <f>COUNTIF('2.-Auditorías Organizacionales'!E3:E27,'3.-Tendencias'!O3)</f>
        <v/>
      </c>
      <c r="R3" s="25" t="inlineStr">
        <is>
          <t>Abierto</t>
        </is>
      </c>
      <c r="S3" s="2">
        <f>COUNTIF('2.-Auditorías Organizacionales'!J3:J27,'3.-Tendencias'!R3)</f>
        <v/>
      </c>
    </row>
    <row r="4">
      <c r="A4" s="25" t="inlineStr">
        <is>
          <t>Planeación</t>
        </is>
      </c>
      <c r="B4" s="2">
        <f>COUNTIF('1.-Auditoría Proyectos'!D4:D28,'3.-Tendencias'!A4)</f>
        <v/>
      </c>
      <c r="C4" s="29" t="n"/>
      <c r="D4" s="30" t="inlineStr">
        <is>
          <t>Herramientas</t>
        </is>
      </c>
      <c r="E4" s="2">
        <f>COUNTIF('1.-Auditoría Proyectos'!F3:F27,'3.-Tendencias'!D4)</f>
        <v/>
      </c>
      <c r="G4" s="25" t="inlineStr">
        <is>
          <t>Resuelto</t>
        </is>
      </c>
      <c r="H4" s="2">
        <f>COUNTIF('1.-Auditoría Proyectos'!K4:K28,'3.-Tendencias'!G4)</f>
        <v/>
      </c>
      <c r="K4" s="32" t="inlineStr">
        <is>
          <t xml:space="preserve">Evaluación de procedimientos </t>
        </is>
      </c>
      <c r="L4" s="2">
        <f>COUNTIF('2.-Auditorías Organizacionales'!C4:C28,'3.-Tendencias'!K4)</f>
        <v/>
      </c>
      <c r="M4" s="29" t="n"/>
      <c r="O4" s="30" t="inlineStr">
        <is>
          <t>Herramientas</t>
        </is>
      </c>
      <c r="P4" s="2">
        <f>COUNTIF('2.-Auditorías Organizacionales'!E4:E28,'3.-Tendencias'!O4)</f>
        <v/>
      </c>
      <c r="R4" s="25" t="inlineStr">
        <is>
          <t>Resuelto</t>
        </is>
      </c>
      <c r="S4" s="2">
        <f>COUNTIF('2.-Auditorías Organizacionales'!J3:J27,'3.-Tendencias'!R4)</f>
        <v/>
      </c>
    </row>
    <row r="5">
      <c r="A5" s="25" t="inlineStr">
        <is>
          <t>Gestión de requisitos</t>
        </is>
      </c>
      <c r="B5" s="2">
        <f>COUNTIF('1.-Auditoría Proyectos'!D3:D27,'3.-Tendencias'!A5)</f>
        <v/>
      </c>
      <c r="C5" s="29" t="n"/>
      <c r="D5" s="30" t="inlineStr">
        <is>
          <t>Perfil de puesto</t>
        </is>
      </c>
      <c r="E5" s="2">
        <f>COUNTIF('1.-Auditoría Proyectos'!F5:F29,'3.-Tendencias'!D5)</f>
        <v/>
      </c>
      <c r="G5" s="25" t="inlineStr">
        <is>
          <t>No se va a resolver</t>
        </is>
      </c>
      <c r="H5" s="2">
        <f>COUNTIF('1.-Auditoría Proyectos'!K5:K29,'3.-Tendencias'!G5)</f>
        <v/>
      </c>
      <c r="K5" s="32" t="inlineStr">
        <is>
          <t>Gestión de capacitación</t>
        </is>
      </c>
      <c r="L5" s="2">
        <f>COUNTIF('2.-Auditorías Organizacionales'!C5:C29,'3.-Tendencias'!K5)</f>
        <v/>
      </c>
      <c r="M5" s="29" t="n"/>
      <c r="O5" s="30" t="inlineStr">
        <is>
          <t>Perfil de puesto</t>
        </is>
      </c>
      <c r="P5" s="2">
        <f>COUNTIF('2.-Auditorías Organizacionales'!E5:E29,'3.-Tendencias'!O5)</f>
        <v/>
      </c>
      <c r="R5" s="25" t="inlineStr">
        <is>
          <t>No se va a resolver</t>
        </is>
      </c>
      <c r="S5" s="2">
        <f>COUNTIF('2.-Auditorías Organizacionales'!J5:J29,'3.-Tendencias'!R5)</f>
        <v/>
      </c>
    </row>
    <row r="6">
      <c r="A6" s="25" t="inlineStr">
        <is>
          <t>Diseño de software</t>
        </is>
      </c>
      <c r="B6" s="2">
        <f>COUNTIF('1.-Auditoría Proyectos'!D6:D30,'3.-Tendencias'!A6)</f>
        <v/>
      </c>
      <c r="C6" s="29" t="n"/>
      <c r="D6" s="30" t="inlineStr">
        <is>
          <t>Habilidades</t>
        </is>
      </c>
      <c r="E6" s="2">
        <f>COUNTIF('1.-Auditoría Proyectos'!F3:F27,'3.-Tendencias'!D6)</f>
        <v/>
      </c>
      <c r="K6" s="32" t="inlineStr">
        <is>
          <t>Gestión de negocio</t>
        </is>
      </c>
      <c r="L6" s="2">
        <f>COUNTIF('2.-Auditorías Organizacionales'!C6:C30,'3.-Tendencias'!K6)</f>
        <v/>
      </c>
      <c r="M6" s="29" t="n"/>
      <c r="O6" s="30" t="inlineStr">
        <is>
          <t>Habilidades</t>
        </is>
      </c>
      <c r="P6" s="2">
        <f>COUNTIF('2.-Auditorías Organizacionales'!E6:E30,'3.-Tendencias'!O6)</f>
        <v/>
      </c>
    </row>
    <row r="7">
      <c r="A7" s="25" t="inlineStr">
        <is>
          <t>Construcción</t>
        </is>
      </c>
      <c r="B7" s="2">
        <f>COUNTIF('1.-Auditoría Proyectos'!D7:D31,'3.-Tendencias'!A7)</f>
        <v/>
      </c>
      <c r="C7" s="29" t="n"/>
      <c r="D7" s="30" t="inlineStr">
        <is>
          <t>Sobrecarga de trabajo</t>
        </is>
      </c>
      <c r="E7" s="2">
        <f>COUNTIF('1.-Auditoría Proyectos'!F7:F31,'3.-Tendencias'!D7)</f>
        <v/>
      </c>
      <c r="K7" s="32" t="inlineStr">
        <is>
          <t>Gestión de mejoras</t>
        </is>
      </c>
      <c r="L7" s="2">
        <f>COUNTIF('2.-Auditorías Organizacionales'!C3:C27,'3.-Tendencias'!K7)</f>
        <v/>
      </c>
      <c r="M7" s="29" t="n"/>
      <c r="O7" s="30" t="inlineStr">
        <is>
          <t>Sobrecarga de trabajo</t>
        </is>
      </c>
      <c r="P7" s="2">
        <f>COUNTIF('2.-Auditorías Organizacionales'!E3:E27,'3.-Tendencias'!O7)</f>
        <v/>
      </c>
    </row>
    <row r="8">
      <c r="A8" s="25" t="inlineStr">
        <is>
          <t>Revisión por pares</t>
        </is>
      </c>
      <c r="B8" s="2">
        <f>COUNTIF('1.-Auditoría Proyectos'!D8:D32,'3.-Tendencias'!A8)</f>
        <v/>
      </c>
      <c r="C8" s="29" t="n"/>
      <c r="D8" s="30" t="inlineStr">
        <is>
          <t>Bypass de altos mandos</t>
        </is>
      </c>
      <c r="E8" s="2">
        <f>COUNTIF('1.-Auditoría Proyectos'!F3:F27,'3.-Tendencias'!D8)</f>
        <v/>
      </c>
      <c r="M8" s="29" t="n"/>
      <c r="O8" s="30" t="inlineStr">
        <is>
          <t>Bypass de altos mandos</t>
        </is>
      </c>
      <c r="P8" s="2">
        <f>COUNTIF('2.-Auditorías Organizacionales'!E8:E32,'3.-Tendencias'!O8)</f>
        <v/>
      </c>
    </row>
    <row r="9">
      <c r="A9" s="25" t="inlineStr">
        <is>
          <t>Pruebas</t>
        </is>
      </c>
      <c r="B9" s="2">
        <f>COUNTIF('1.-Auditoría Proyectos'!D3:D27,'3.-Tendencias'!A9)</f>
        <v/>
      </c>
      <c r="C9" s="29" t="n"/>
      <c r="M9" s="29" t="n"/>
    </row>
    <row r="10">
      <c r="A10" s="25" t="inlineStr">
        <is>
          <t>Entrega</t>
        </is>
      </c>
      <c r="B10" s="2">
        <f>COUNTIF('1.-Auditoría Proyectos'!D3:D27,'3.-Tendencias'!A10)</f>
        <v/>
      </c>
      <c r="C10" s="29" t="n"/>
      <c r="M10" s="29" t="n"/>
    </row>
    <row r="11">
      <c r="A11" s="25" t="inlineStr">
        <is>
          <t>Cierre</t>
        </is>
      </c>
      <c r="B11" s="2">
        <f>COUNTIF('1.-Auditoría Proyectos'!D3:D27,'3.-Tendencias'!A11)</f>
        <v/>
      </c>
      <c r="C11" s="29" t="n"/>
      <c r="M11" s="29" t="n"/>
    </row>
    <row r="12">
      <c r="A12" s="25" t="inlineStr">
        <is>
          <t>Monitoreo</t>
        </is>
      </c>
      <c r="B12" s="2">
        <f>COUNTIF('1.-Auditoría Proyectos'!D20:D44,'3.-Tendencias'!A12)</f>
        <v/>
      </c>
      <c r="C12" s="29" t="n"/>
      <c r="M12" s="29" t="n"/>
    </row>
    <row r="16">
      <c r="U16" t="inlineStr">
        <is>
          <t xml:space="preserve">                                                                                                                                                                         </t>
        </is>
      </c>
    </row>
  </sheetData>
  <mergeCells count="2">
    <mergeCell ref="A1:H1"/>
    <mergeCell ref="K1:S1"/>
  </mergeCells>
  <pageMargins left="0.7" right="0.7" top="0.75" bottom="0.75" header="0.3" footer="0.3"/>
  <pageSetup orientation="landscape" paperSize="9" scale="31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topLeftCell="A3" zoomScale="115" zoomScaleNormal="115" workbookViewId="0">
      <selection activeCell="E12" sqref="E12"/>
    </sheetView>
  </sheetViews>
  <sheetFormatPr baseColWidth="8" defaultColWidth="10.85546875" defaultRowHeight="15"/>
  <cols>
    <col width="22.5703125" customWidth="1" min="1" max="1"/>
    <col width="26" customWidth="1" min="2" max="2"/>
    <col width="17.7109375" bestFit="1" customWidth="1" min="4" max="4"/>
    <col width="31.5703125" customWidth="1" min="7" max="7"/>
    <col width="24.140625" customWidth="1" min="9" max="9"/>
  </cols>
  <sheetData>
    <row r="1" ht="15.75" customHeight="1" thickBot="1"/>
    <row r="2" ht="15.75" customHeight="1" thickBot="1">
      <c r="A2" s="22" t="inlineStr">
        <is>
          <t>Motivo</t>
        </is>
      </c>
      <c r="B2" s="24" t="inlineStr">
        <is>
          <t>Fase del proyecto auditada</t>
        </is>
      </c>
      <c r="D2" s="22" t="inlineStr">
        <is>
          <t>Estado</t>
        </is>
      </c>
      <c r="G2" s="23" t="inlineStr">
        <is>
          <t>Procedimientos organizacional</t>
        </is>
      </c>
    </row>
    <row r="3" ht="16.35" customHeight="1">
      <c r="A3" s="3" t="inlineStr">
        <is>
          <t>Capacitación</t>
        </is>
      </c>
      <c r="B3" s="19" t="inlineStr">
        <is>
          <t>Estimación</t>
        </is>
      </c>
      <c r="D3" s="3" t="inlineStr">
        <is>
          <t>Resuelto</t>
        </is>
      </c>
      <c r="G3" s="19" t="inlineStr">
        <is>
          <t>Auditoría de procedimientos</t>
        </is>
      </c>
    </row>
    <row r="4" ht="29.45" customHeight="1">
      <c r="A4" s="2" t="inlineStr">
        <is>
          <t>Herramientas</t>
        </is>
      </c>
      <c r="B4" s="19" t="inlineStr">
        <is>
          <t>Planeación</t>
        </is>
      </c>
      <c r="D4" s="2" t="inlineStr">
        <is>
          <t>Abierto</t>
        </is>
      </c>
      <c r="G4" s="21" t="inlineStr">
        <is>
          <t xml:space="preserve">Evaluación de procedimientos </t>
        </is>
      </c>
    </row>
    <row r="5">
      <c r="A5" s="2" t="inlineStr">
        <is>
          <t>Perfil de puesto</t>
        </is>
      </c>
      <c r="B5" s="19" t="inlineStr">
        <is>
          <t>Gestión de requisitos</t>
        </is>
      </c>
      <c r="D5" s="2" t="inlineStr">
        <is>
          <t>No se va a resolver</t>
        </is>
      </c>
      <c r="G5" s="19" t="inlineStr">
        <is>
          <t>Gestión de capacitación</t>
        </is>
      </c>
    </row>
    <row r="6">
      <c r="A6" s="2" t="inlineStr">
        <is>
          <t>Habilidades</t>
        </is>
      </c>
      <c r="B6" s="19" t="inlineStr">
        <is>
          <t>Diseño de software</t>
        </is>
      </c>
      <c r="G6" s="19" t="inlineStr">
        <is>
          <t>Gestión de negocio</t>
        </is>
      </c>
    </row>
    <row r="7">
      <c r="A7" s="2" t="inlineStr">
        <is>
          <t>Sobrecarga de trabajo</t>
        </is>
      </c>
      <c r="B7" s="19" t="inlineStr">
        <is>
          <t>Construcción</t>
        </is>
      </c>
      <c r="G7" s="19" t="inlineStr">
        <is>
          <t>Gestión de mejoras</t>
        </is>
      </c>
    </row>
    <row r="8">
      <c r="A8" s="2" t="inlineStr">
        <is>
          <t>Bypass de altos mandos</t>
        </is>
      </c>
      <c r="B8" s="19" t="inlineStr">
        <is>
          <t>Revisión por pares</t>
        </is>
      </c>
    </row>
    <row r="9">
      <c r="B9" s="19" t="inlineStr">
        <is>
          <t>Pruebas</t>
        </is>
      </c>
    </row>
    <row r="10">
      <c r="B10" s="26" t="inlineStr">
        <is>
          <t>Entrega</t>
        </is>
      </c>
    </row>
    <row r="11">
      <c r="B11" s="19" t="inlineStr">
        <is>
          <t>Cierre</t>
        </is>
      </c>
    </row>
    <row r="12">
      <c r="B12" s="19" t="inlineStr">
        <is>
          <t>Monitoreo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2019-10-01T16:54:03Z</dcterms:created>
  <dcterms:modified xmlns:dcterms="http://purl.org/dc/terms/" xmlns:xsi="http://www.w3.org/2001/XMLSchema-instance" xsi:type="dcterms:W3CDTF">2026-09-27T20:09:48Z</dcterms:modified>
  <cp:lastModifiedBy>Carlos Quintero N.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