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70" yWindow="10690" windowWidth="22620" windowHeight="14220" tabRatio="600" firstSheet="0" activeTab="1" autoFilterDateGrouping="1"/>
  </bookViews>
  <sheets>
    <sheet xmlns:r="http://schemas.openxmlformats.org/officeDocument/2006/relationships" name="Información del documento" sheetId="1" state="visible" r:id="rId1"/>
    <sheet xmlns:r="http://schemas.openxmlformats.org/officeDocument/2006/relationships" name="1.-RXP" sheetId="2" state="visible" r:id="rId2"/>
    <sheet xmlns:r="http://schemas.openxmlformats.org/officeDocument/2006/relationships" name="2.-Descripción tipos defectos" sheetId="3" state="visible" r:id="rId3"/>
  </sheets>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sz val="12"/>
      <scheme val="minor"/>
    </font>
    <font>
      <name val="Calibri"/>
      <family val="2"/>
      <b val="1"/>
      <color theme="1"/>
      <sz val="11"/>
      <scheme val="minor"/>
    </font>
    <font>
      <name val="Calibri"/>
      <family val="2"/>
      <sz val="12"/>
    </font>
    <font>
      <name val="Calibri"/>
      <family val="2"/>
      <sz val="11"/>
    </font>
    <font>
      <name val="Calibri"/>
      <family val="2"/>
      <color theme="1"/>
      <sz val="11"/>
    </font>
    <font>
      <name val="Calibri"/>
      <family val="2"/>
      <color rgb="FF000000"/>
      <sz val="12"/>
    </font>
    <font>
      <name val="Calibri"/>
      <family val="2"/>
      <color theme="1"/>
      <sz val="12"/>
      <scheme val="minor"/>
    </font>
    <font>
      <name val="Calibri"/>
      <family val="2"/>
      <b val="1"/>
      <color theme="1"/>
      <sz val="12"/>
      <scheme val="minor"/>
    </font>
    <font>
      <name val="Calibri"/>
      <family val="2"/>
      <b val="1"/>
      <color theme="0"/>
      <sz val="14"/>
    </font>
    <font>
      <name val="Calibri"/>
      <family val="2"/>
      <b val="1"/>
      <color theme="1"/>
      <sz val="14"/>
    </font>
    <font>
      <name val="Calibri"/>
      <family val="2"/>
      <i val="1"/>
      <color theme="1" tint="0.249977111117893"/>
      <sz val="11"/>
      <scheme val="minor"/>
    </font>
    <font>
      <name val="Calibri"/>
      <family val="2"/>
      <b val="1"/>
      <sz val="12"/>
    </font>
    <font>
      <name val="Tahoma"/>
      <family val="2"/>
      <color indexed="81"/>
      <sz val="9"/>
    </font>
    <font>
      <name val="Calibri"/>
      <family val="2"/>
      <b val="1"/>
      <color theme="0"/>
      <sz val="16"/>
      <scheme val="minor"/>
    </font>
    <font>
      <name val="Calibri"/>
      <family val="2"/>
      <color theme="1"/>
      <sz val="11"/>
      <scheme val="minor"/>
    </font>
    <font>
      <name val="Arial"/>
      <family val="2"/>
      <sz val="10"/>
    </font>
    <font>
      <name val="Calibri"/>
      <family val="2"/>
      <sz val="11"/>
      <scheme val="minor"/>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1"/>
      <scheme val="minor"/>
    </font>
    <font>
      <name val="Calibri"/>
      <family val="2"/>
      <color theme="1" tint="0.499984740745262"/>
      <sz val="12"/>
    </font>
  </fonts>
  <fills count="8">
    <fill>
      <patternFill/>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3">
    <xf numFmtId="0" fontId="15" fillId="0" borderId="0"/>
    <xf numFmtId="9" fontId="15" fillId="0" borderId="0"/>
    <xf numFmtId="0" fontId="16" fillId="0" borderId="0"/>
  </cellStyleXfs>
  <cellXfs count="70">
    <xf numFmtId="0" fontId="0" fillId="0" borderId="0" pivotButton="0" quotePrefix="0" xfId="0"/>
    <xf numFmtId="0" fontId="2" fillId="0" borderId="0" pivotButton="0" quotePrefix="0" xfId="0"/>
    <xf numFmtId="0" fontId="0" fillId="0" borderId="3" applyAlignment="1" pivotButton="0" quotePrefix="0" xfId="0">
      <alignment horizontal="center" vertical="center"/>
    </xf>
    <xf numFmtId="0" fontId="0" fillId="0" borderId="3"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xf>
    <xf numFmtId="0" fontId="4" fillId="0" borderId="3" applyAlignment="1" pivotButton="0" quotePrefix="0" xfId="0">
      <alignment horizontal="center" vertical="center" wrapText="1"/>
    </xf>
    <xf numFmtId="0" fontId="2" fillId="0" borderId="0" applyAlignment="1" pivotButton="0" quotePrefix="0" xfId="0">
      <alignment horizontal="center" vertical="center"/>
    </xf>
    <xf numFmtId="0" fontId="5" fillId="0" borderId="0" pivotButton="0" quotePrefix="0" xfId="0"/>
    <xf numFmtId="0" fontId="0" fillId="0" borderId="1" applyAlignment="1" pivotButton="0" quotePrefix="0" xfId="0">
      <alignment horizontal="center" vertical="center"/>
    </xf>
    <xf numFmtId="0" fontId="10" fillId="3" borderId="0" applyAlignment="1" pivotButton="0" quotePrefix="0" xfId="0">
      <alignment horizontal="center"/>
    </xf>
    <xf numFmtId="0" fontId="1" fillId="4" borderId="5" applyAlignment="1" pivotButton="0" quotePrefix="0" xfId="0">
      <alignment horizontal="center" vertical="center" wrapText="1"/>
    </xf>
    <xf numFmtId="0" fontId="1" fillId="4" borderId="3" applyAlignment="1" pivotButton="0" quotePrefix="0" xfId="0">
      <alignment horizontal="center" vertical="top" wrapText="1"/>
    </xf>
    <xf numFmtId="0" fontId="1" fillId="4" borderId="3" applyAlignment="1" pivotButton="0" quotePrefix="0" xfId="0">
      <alignment horizontal="center" vertical="center" wrapText="1"/>
    </xf>
    <xf numFmtId="0" fontId="7" fillId="4" borderId="3" applyAlignment="1" pivotButton="0" quotePrefix="0" xfId="0">
      <alignment horizontal="center" vertical="center"/>
    </xf>
    <xf numFmtId="0" fontId="8" fillId="4" borderId="3" applyAlignment="1" pivotButton="0" quotePrefix="0" xfId="0">
      <alignment horizontal="center" vertical="center" wrapText="1"/>
    </xf>
    <xf numFmtId="0" fontId="12" fillId="4" borderId="4" applyAlignment="1" pivotButton="0" quotePrefix="0" xfId="0">
      <alignment horizontal="center" vertical="center" wrapText="1"/>
    </xf>
    <xf numFmtId="0" fontId="1" fillId="4" borderId="3" applyAlignment="1" pivotButton="0" quotePrefix="0" xfId="0">
      <alignment horizontal="center" vertical="center" wrapText="1"/>
    </xf>
    <xf numFmtId="0" fontId="1" fillId="4" borderId="12" applyAlignment="1" pivotButton="0" quotePrefix="0" xfId="0">
      <alignment horizontal="center" vertical="center" wrapText="1"/>
    </xf>
    <xf numFmtId="1" fontId="17" fillId="5" borderId="3" applyAlignment="1" applyProtection="1" pivotButton="0" quotePrefix="0" xfId="1">
      <alignment horizontal="center" vertical="center" wrapText="1"/>
      <protection locked="0" hidden="0"/>
    </xf>
    <xf numFmtId="0" fontId="16" fillId="6" borderId="0" applyAlignment="1" pivotButton="0" quotePrefix="0" xfId="2">
      <alignment vertical="center" wrapText="1"/>
    </xf>
    <xf numFmtId="0" fontId="18" fillId="6" borderId="0" applyAlignment="1" pivotButton="0" quotePrefix="0" xfId="2">
      <alignment vertical="center" wrapText="1"/>
    </xf>
    <xf numFmtId="0" fontId="19" fillId="6" borderId="0" applyAlignment="1" pivotButton="0" quotePrefix="0" xfId="2">
      <alignment vertical="center" wrapText="1"/>
    </xf>
    <xf numFmtId="0" fontId="20" fillId="6" borderId="0" applyAlignment="1" pivotButton="0" quotePrefix="0" xfId="2">
      <alignment vertical="center" wrapText="1"/>
    </xf>
    <xf numFmtId="0" fontId="20" fillId="7" borderId="0" applyAlignment="1" pivotButton="0" quotePrefix="0" xfId="2">
      <alignment vertical="center" wrapText="1"/>
    </xf>
    <xf numFmtId="0" fontId="21" fillId="6" borderId="0" applyAlignment="1" pivotButton="0" quotePrefix="0" xfId="2">
      <alignment vertical="center"/>
    </xf>
    <xf numFmtId="0" fontId="16" fillId="6" borderId="0" applyAlignment="1" pivotButton="0" quotePrefix="0" xfId="2">
      <alignment vertical="center"/>
    </xf>
    <xf numFmtId="0" fontId="1" fillId="4" borderId="3" applyAlignment="1" pivotButton="0" quotePrefix="0" xfId="2">
      <alignment horizontal="center" vertical="center" wrapText="1"/>
    </xf>
    <xf numFmtId="0" fontId="22" fillId="3" borderId="3" applyAlignment="1" pivotButton="0" quotePrefix="0" xfId="2">
      <alignment horizontal="center" vertical="center" wrapText="1"/>
    </xf>
    <xf numFmtId="0" fontId="17" fillId="3" borderId="3" applyAlignment="1" pivotButton="0" quotePrefix="0" xfId="2">
      <alignment vertical="center" wrapText="1"/>
    </xf>
    <xf numFmtId="0" fontId="9" fillId="2"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justify" vertical="center" wrapText="1"/>
    </xf>
    <xf numFmtId="0" fontId="5" fillId="0" borderId="0" pivotButton="0" quotePrefix="0" xfId="0"/>
    <xf numFmtId="0" fontId="2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10" fillId="3" borderId="0" applyAlignment="1" pivotButton="0" quotePrefix="0" xfId="0">
      <alignment horizontal="center"/>
    </xf>
    <xf numFmtId="0" fontId="6" fillId="0" borderId="0" applyAlignment="1" pivotButton="0" quotePrefix="0" xfId="0">
      <alignment horizontal="left" vertical="center"/>
    </xf>
    <xf numFmtId="0" fontId="5" fillId="0" borderId="0" applyAlignment="1" pivotButton="0" quotePrefix="0" xfId="0">
      <alignment horizontal="center" vertical="center" wrapText="1"/>
    </xf>
    <xf numFmtId="0" fontId="17" fillId="3" borderId="1" applyAlignment="1" pivotButton="0" quotePrefix="0" xfId="2">
      <alignment horizontal="center" vertical="center" wrapText="1"/>
    </xf>
    <xf numFmtId="0" fontId="17" fillId="3" borderId="2" applyAlignment="1" pivotButton="0" quotePrefix="0" xfId="2">
      <alignment horizontal="center" vertical="center" wrapText="1"/>
    </xf>
    <xf numFmtId="0" fontId="1" fillId="4" borderId="1" applyAlignment="1" pivotButton="0" quotePrefix="0" xfId="0">
      <alignment horizontal="center" vertical="center" wrapText="1"/>
    </xf>
    <xf numFmtId="0" fontId="1" fillId="4" borderId="2" applyAlignment="1" pivotButton="0" quotePrefix="0" xfId="0">
      <alignment horizontal="center" vertical="center" wrapText="1"/>
    </xf>
    <xf numFmtId="0" fontId="14" fillId="2" borderId="0" applyAlignment="1" pivotButton="0" quotePrefix="0" xfId="0">
      <alignment horizontal="center" vertical="center"/>
    </xf>
    <xf numFmtId="0" fontId="1" fillId="4" borderId="10" applyAlignment="1" pivotButton="0" quotePrefix="0" xfId="0">
      <alignment horizontal="center" vertical="center" wrapText="1"/>
    </xf>
    <xf numFmtId="0" fontId="1" fillId="4" borderId="11" applyAlignment="1" pivotButton="0" quotePrefix="0" xfId="0">
      <alignment horizontal="center" vertical="center" wrapText="1"/>
    </xf>
    <xf numFmtId="0" fontId="0" fillId="0" borderId="1" applyAlignment="1" pivotButton="0" quotePrefix="0" xfId="0">
      <alignment horizontal="left"/>
    </xf>
    <xf numFmtId="0" fontId="0" fillId="0" borderId="2" applyAlignment="1" pivotButton="0" quotePrefix="0" xfId="0">
      <alignment horizontal="left"/>
    </xf>
    <xf numFmtId="0" fontId="0" fillId="0" borderId="1" applyAlignment="1" pivotButton="0" quotePrefix="0" xfId="0">
      <alignment horizontal="justify" vertical="distributed" wrapText="1"/>
    </xf>
    <xf numFmtId="0" fontId="0" fillId="0" borderId="2" applyAlignment="1" pivotButton="0" quotePrefix="0" xfId="0">
      <alignment horizontal="justify" vertical="distributed" wrapText="1"/>
    </xf>
    <xf numFmtId="0" fontId="0" fillId="0" borderId="3" applyAlignment="1" pivotButton="0" quotePrefix="0" xfId="0">
      <alignment horizontal="justify" vertical="distributed" wrapText="1"/>
    </xf>
    <xf numFmtId="0" fontId="11" fillId="0" borderId="3" applyAlignment="1" pivotButton="0" quotePrefix="0" xfId="0">
      <alignment horizontal="left" vertical="center" wrapText="1"/>
    </xf>
    <xf numFmtId="0" fontId="1" fillId="4" borderId="5" applyAlignment="1" pivotButton="0" quotePrefix="0" xfId="0">
      <alignment horizontal="center" vertical="center" wrapText="1"/>
    </xf>
    <xf numFmtId="0" fontId="0" fillId="0" borderId="3" applyAlignment="1" pivotButton="0" quotePrefix="0" xfId="0">
      <alignment horizontal="left"/>
    </xf>
    <xf numFmtId="0" fontId="14" fillId="2" borderId="6" applyAlignment="1" pivotButton="0" quotePrefix="0" xfId="0">
      <alignment horizontal="center"/>
    </xf>
    <xf numFmtId="0" fontId="14" fillId="2" borderId="7" applyAlignment="1" pivotButton="0" quotePrefix="0" xfId="0">
      <alignment horizontal="center"/>
    </xf>
    <xf numFmtId="0" fontId="14" fillId="2" borderId="8" applyAlignment="1" pivotButton="0" quotePrefix="0" xfId="0">
      <alignment horizontal="center"/>
    </xf>
    <xf numFmtId="0" fontId="14" fillId="2" borderId="9" applyAlignment="1" pivotButton="0" quotePrefix="0" xfId="0">
      <alignment horizontal="center" vertical="center"/>
    </xf>
    <xf numFmtId="0" fontId="1" fillId="4" borderId="3" applyAlignment="1" pivotButton="0" quotePrefix="0" xfId="0">
      <alignment horizontal="center" vertical="center" wrapText="1"/>
    </xf>
    <xf numFmtId="0" fontId="0" fillId="0" borderId="15"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9" pivotButton="0" quotePrefix="0" xfId="0"/>
    <xf numFmtId="0" fontId="0" fillId="0" borderId="5" pivotButton="0" quotePrefix="0" xfId="0"/>
    <xf numFmtId="0" fontId="14" fillId="2" borderId="17" applyAlignment="1" pivotButton="0" quotePrefix="0" xfId="0">
      <alignment horizontal="center"/>
    </xf>
    <xf numFmtId="0" fontId="0" fillId="0" borderId="7" pivotButton="0" quotePrefix="0" xfId="0"/>
    <xf numFmtId="0" fontId="0" fillId="0" borderId="8" pivotButton="0" quotePrefix="0" xfId="0"/>
    <xf numFmtId="0" fontId="1" fillId="4" borderId="4" applyAlignment="1" pivotButton="0" quotePrefix="0" xfId="0">
      <alignment horizontal="center" vertical="center" wrapText="1"/>
    </xf>
    <xf numFmtId="0" fontId="17" fillId="3" borderId="3" applyAlignment="1" pivotButton="0" quotePrefix="0" xfId="2">
      <alignment horizontal="center" vertical="center" wrapText="1"/>
    </xf>
  </cellXfs>
  <cellStyles count="3">
    <cellStyle name="Normal" xfId="0" builtinId="0"/>
    <cellStyle name="Percent"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Documentación Innevo</author>
    <author>Tania López</author>
  </authors>
  <commentList>
    <comment ref="K8" authorId="0" shapeId="0">
      <text>
        <t>Fecha en que se realizó la verificación</t>
      </text>
    </comment>
    <comment ref="L8" authorId="0" shapeId="0">
      <text>
        <t>Tiempo en horas que le llevo al revisor hacer la revisión por pares</t>
      </text>
    </comment>
    <comment ref="L14" authorId="1" shapeId="0">
      <text>
        <t xml:space="preserve">Ver la descripción de cada tipo de defecto en la hoja nombrada "descripción tipos de defectos"
</t>
      </text>
    </comment>
    <comment ref="N14" authorId="1" shapeId="0">
      <text>
        <t>Registrar la cantidad de defectos por tipo</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C2" sqref="C2"/>
    </sheetView>
  </sheetViews>
  <sheetFormatPr baseColWidth="8" defaultColWidth="11.42578125" defaultRowHeight="30.75" customHeight="1"/>
  <cols>
    <col width="20.28515625" bestFit="1" customWidth="1" style="33" min="1" max="1"/>
    <col width="23.5703125" customWidth="1" style="33" min="2" max="2"/>
    <col width="47.42578125" customWidth="1" style="33" min="3" max="3"/>
    <col width="26.5703125" customWidth="1" style="33" min="4" max="4"/>
    <col width="11.42578125" customWidth="1" style="33" min="5" max="16384"/>
  </cols>
  <sheetData>
    <row r="1" ht="15" customHeight="1">
      <c r="A1" s="35" t="inlineStr">
        <is>
          <t>Logo de la empresa</t>
        </is>
      </c>
      <c r="B1" s="59" t="n"/>
      <c r="C1" s="33" t="n"/>
    </row>
    <row r="2" ht="55.5" customHeight="1">
      <c r="A2" s="60" t="n"/>
      <c r="B2" s="61" t="n"/>
      <c r="C2" s="33" t="n"/>
    </row>
    <row r="3" ht="30.75" customHeight="1">
      <c r="A3" s="38" t="inlineStr">
        <is>
          <t>Este documento tiene un alcance a nivel proyecto</t>
        </is>
      </c>
    </row>
    <row r="4" ht="15.75" customHeight="1"/>
    <row r="5" ht="15" customHeight="1"/>
    <row r="6" ht="18.75" customHeight="1">
      <c r="A6" s="36" t="inlineStr">
        <is>
          <t>Historial de versiones</t>
        </is>
      </c>
    </row>
    <row r="7" ht="18.75" customHeight="1">
      <c r="A7" s="36" t="n"/>
      <c r="B7" s="36" t="n"/>
      <c r="C7" s="36" t="n"/>
      <c r="D7" s="36" t="n"/>
    </row>
    <row r="8" ht="18.75" customHeight="1">
      <c r="A8" s="30" t="inlineStr">
        <is>
          <t>Fecha</t>
        </is>
      </c>
      <c r="B8" s="30" t="inlineStr">
        <is>
          <t>Versión</t>
        </is>
      </c>
      <c r="C8" s="30" t="inlineStr">
        <is>
          <t>Descripción</t>
        </is>
      </c>
      <c r="D8" s="30" t="inlineStr">
        <is>
          <t>Autor</t>
        </is>
      </c>
    </row>
    <row r="9" ht="32.25" customHeight="1">
      <c r="A9" s="34" t="inlineStr">
        <is>
          <t>dd/mm/aaaa.</t>
        </is>
      </c>
      <c r="B9" s="34" t="inlineStr">
        <is>
          <t>Número de la versión v.v.</t>
        </is>
      </c>
      <c r="C9" s="34" t="inlineStr">
        <is>
          <t>Descripción de los cambios realizados en el documento.</t>
        </is>
      </c>
      <c r="D9" s="34" t="inlineStr">
        <is>
          <t>Nombre y apellido.</t>
        </is>
      </c>
    </row>
    <row r="10" ht="45" customHeight="1">
      <c r="A10" s="35" t="inlineStr">
        <is>
          <t>27/07/2026</t>
        </is>
      </c>
      <c r="B10" s="35" t="inlineStr">
        <is>
          <t>1.1</t>
        </is>
      </c>
      <c r="C10" s="32" t="inlineStr">
        <is>
          <t>Se registra la revisión por pares real del código de Portabilidad ISSSTE-IMSS (34 criterios, 1 defecto real en lPeriodos.4gl); se corrige "está hoja".</t>
        </is>
      </c>
      <c r="D10" s="35" t="inlineStr">
        <is>
          <t>Carlos Quintero N.</t>
        </is>
      </c>
    </row>
    <row r="11" ht="32.25" customHeight="1">
      <c r="A11" s="35" t="n"/>
      <c r="B11" s="35" t="n"/>
      <c r="C11" s="32" t="n"/>
      <c r="D11" s="35" t="n"/>
    </row>
    <row r="12" ht="32.25" customHeight="1">
      <c r="A12" s="35" t="n"/>
      <c r="B12" s="35" t="n"/>
      <c r="C12" s="32" t="n"/>
      <c r="D12" s="35" t="n"/>
    </row>
    <row r="13" ht="32.25" customHeight="1"/>
    <row r="14" ht="15.75" customHeight="1">
      <c r="A14" s="37"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O42"/>
  <sheetViews>
    <sheetView showGridLines="0" tabSelected="1" topLeftCell="B5" zoomScale="85" zoomScaleNormal="85" workbookViewId="0">
      <selection activeCell="C14" sqref="C14:D14"/>
    </sheetView>
  </sheetViews>
  <sheetFormatPr baseColWidth="8" defaultColWidth="11.42578125" defaultRowHeight="15"/>
  <cols>
    <col width="4.7109375" customWidth="1" min="2" max="2"/>
    <col width="26.42578125" customWidth="1" min="3" max="3"/>
    <col width="35.5703125" customWidth="1" min="4" max="4"/>
    <col width="15.42578125" customWidth="1" min="5" max="5"/>
    <col width="17.140625" customWidth="1" min="6" max="7"/>
    <col width="18.5703125" customWidth="1" min="8" max="8"/>
    <col width="44.7109375" customWidth="1" min="9" max="9"/>
    <col width="15" bestFit="1" customWidth="1" min="11" max="11"/>
    <col width="15" customWidth="1" min="12" max="12"/>
    <col width="19.140625" customWidth="1" min="13" max="13"/>
    <col width="20.42578125" customWidth="1" min="14" max="14"/>
    <col width="19.85546875" customWidth="1" min="15" max="15"/>
  </cols>
  <sheetData>
    <row r="2" ht="30" customHeight="1">
      <c r="C2" s="14" t="inlineStr">
        <is>
          <t xml:space="preserve">Proyecto: </t>
        </is>
      </c>
      <c r="D2" s="51" t="inlineStr">
        <is>
          <t>Portabilidad de Derechos Pensionarios entre ISSSTE e IMSS</t>
        </is>
      </c>
      <c r="E2" s="62" t="n"/>
      <c r="G2" s="15" t="inlineStr">
        <is>
          <t>Revisor:</t>
        </is>
      </c>
      <c r="H2" s="51" t="inlineStr">
        <is>
          <t>Carlos Quintero Nava</t>
        </is>
      </c>
      <c r="I2" s="62" t="n"/>
    </row>
    <row r="3" ht="30.75" customHeight="1">
      <c r="C3" s="7" t="n"/>
      <c r="D3" s="4" t="n"/>
      <c r="E3" s="4" t="n"/>
      <c r="G3" s="15" t="inlineStr">
        <is>
          <t>Función:</t>
        </is>
      </c>
      <c r="H3" s="51" t="inlineStr">
        <is>
          <t>Systems Engineer / Líder técnico</t>
        </is>
      </c>
      <c r="I3" s="62" t="n"/>
    </row>
    <row r="4">
      <c r="C4" s="4" t="n"/>
      <c r="D4" s="4" t="n"/>
      <c r="E4" s="1" t="n"/>
      <c r="F4" s="5" t="n"/>
      <c r="G4" s="5" t="n"/>
      <c r="H4" s="5" t="n"/>
      <c r="I4" s="5" t="n"/>
    </row>
    <row r="5" ht="15.75" customHeight="1">
      <c r="B5" t="inlineStr">
        <is>
          <t xml:space="preserve"> Coloque una "x" en la columna correspondiente a su respuesta. </t>
        </is>
      </c>
      <c r="C5" s="4" t="n"/>
      <c r="D5" s="4" t="n"/>
    </row>
    <row r="6" ht="25.5" customHeight="1" thickBot="1">
      <c r="B6" s="57" t="inlineStr">
        <is>
          <t>Checklist de código</t>
        </is>
      </c>
      <c r="C6" s="63" t="n"/>
      <c r="D6" s="63" t="n"/>
      <c r="E6" s="63" t="n"/>
      <c r="F6" s="63" t="n"/>
      <c r="G6" s="63" t="n"/>
      <c r="H6" s="63" t="n"/>
      <c r="I6" s="63" t="n"/>
    </row>
    <row r="7" ht="21.75" customHeight="1" thickBot="1">
      <c r="B7" s="58" t="inlineStr">
        <is>
          <t>Verificación</t>
        </is>
      </c>
      <c r="C7" s="64" t="n"/>
      <c r="D7" s="62" t="n"/>
      <c r="E7" s="41" t="inlineStr">
        <is>
          <t>Condiciones</t>
        </is>
      </c>
      <c r="F7" s="64" t="n"/>
      <c r="G7" s="52" t="n"/>
      <c r="H7" s="58" t="inlineStr">
        <is>
          <t>Observaciones</t>
        </is>
      </c>
      <c r="I7" s="59" t="n"/>
      <c r="K7" s="65" t="inlineStr">
        <is>
          <t xml:space="preserve">Resultados de verificación </t>
        </is>
      </c>
      <c r="L7" s="66" t="n"/>
      <c r="M7" s="66" t="n"/>
      <c r="N7" s="66" t="n"/>
      <c r="O7" s="67" t="n"/>
    </row>
    <row r="8" ht="31.5" customHeight="1">
      <c r="B8" s="12" t="inlineStr">
        <is>
          <t>No.</t>
        </is>
      </c>
      <c r="C8" s="58" t="inlineStr">
        <is>
          <t>Criterio a verificar</t>
        </is>
      </c>
      <c r="D8" s="62" t="n"/>
      <c r="E8" s="58" t="inlineStr">
        <is>
          <t>Sí</t>
        </is>
      </c>
      <c r="F8" s="58" t="inlineStr">
        <is>
          <t>No</t>
        </is>
      </c>
      <c r="G8" s="58" t="inlineStr">
        <is>
          <t>No aplica</t>
        </is>
      </c>
      <c r="H8" s="60" t="n"/>
      <c r="I8" s="61" t="n"/>
      <c r="K8" s="16" t="inlineStr">
        <is>
          <t>Fecha</t>
        </is>
      </c>
      <c r="L8" s="16" t="inlineStr">
        <is>
          <t>Duración</t>
        </is>
      </c>
      <c r="M8" s="16" t="inlineStr">
        <is>
          <t>Número de revisiones</t>
        </is>
      </c>
      <c r="N8" s="16" t="inlineStr">
        <is>
          <t>Preguntas aprobadas</t>
        </is>
      </c>
      <c r="O8" s="16" t="inlineStr">
        <is>
          <t>Preguntas no aprobadas</t>
        </is>
      </c>
    </row>
    <row r="9" ht="45" customHeight="1">
      <c r="B9" s="2" t="n">
        <v>1</v>
      </c>
      <c r="C9" s="50" t="inlineStr">
        <is>
          <t>¿El código implementa completa y correctamente el diseño?</t>
        </is>
      </c>
      <c r="D9" s="62" t="n"/>
      <c r="E9" s="2" t="n"/>
      <c r="F9" s="2" t="inlineStr">
        <is>
          <t>X</t>
        </is>
      </c>
      <c r="G9" s="2" t="n"/>
      <c r="H9" s="53" t="inlineStr">
        <is>
          <t>Defecto real DEF-01: el código bloqueaba indebidamente la re-portabilidad por la marca 410 en mWS1ConsultaBasicaISSSTE.4gl y lPeriodos.4gl. Corregido y cerrado (ver FT-Gestión de incidencias).</t>
        </is>
      </c>
      <c r="I9" s="62" t="n"/>
      <c r="K9" s="3" t="inlineStr">
        <is>
          <t>25/07/2026</t>
        </is>
      </c>
      <c r="L9" s="2" t="n">
        <v>2</v>
      </c>
      <c r="M9" s="6" t="n">
        <v>1</v>
      </c>
      <c r="N9" s="6">
        <f>COUNTA(E9:E42)+COUNTA(G9:G42)</f>
        <v/>
      </c>
      <c r="O9" s="6">
        <f>COUNTA(F9:F42)</f>
        <v/>
      </c>
    </row>
    <row r="10" ht="34.5" customHeight="1">
      <c r="B10" s="2" t="n">
        <v>2</v>
      </c>
      <c r="C10" s="50" t="inlineStr">
        <is>
          <t>¿El código cumple con los estándares de codificación definidas para el proyecto?</t>
        </is>
      </c>
      <c r="D10" s="62" t="n"/>
      <c r="E10" s="2" t="inlineStr">
        <is>
          <t>X</t>
        </is>
      </c>
      <c r="F10" s="2" t="n"/>
      <c r="G10" s="2" t="n"/>
      <c r="H10" s="53" t="n"/>
      <c r="I10" s="62" t="n"/>
      <c r="K10" s="3" t="n"/>
      <c r="L10" s="3" t="n"/>
      <c r="M10" s="6" t="n">
        <v>2</v>
      </c>
      <c r="N10" s="6" t="n"/>
      <c r="O10" s="6" t="n"/>
    </row>
    <row r="11" ht="32.25" customHeight="1">
      <c r="B11" s="2" t="n">
        <v>3</v>
      </c>
      <c r="C11" s="50" t="inlineStr">
        <is>
          <t>¿Está el código bien estructurado y consistente en estilo y formato?</t>
        </is>
      </c>
      <c r="D11" s="62" t="n"/>
      <c r="E11" s="2" t="inlineStr">
        <is>
          <t>X</t>
        </is>
      </c>
      <c r="F11" s="2" t="n"/>
      <c r="G11" s="2" t="n"/>
      <c r="H11" s="53" t="n"/>
      <c r="I11" s="62" t="n"/>
      <c r="K11" s="3" t="n"/>
      <c r="L11" s="3" t="n"/>
      <c r="M11" s="6" t="n">
        <v>3</v>
      </c>
      <c r="N11" s="6" t="n"/>
      <c r="O11" s="6" t="n"/>
    </row>
    <row r="12" ht="30.75" customHeight="1">
      <c r="B12" s="2" t="n">
        <v>4</v>
      </c>
      <c r="C12" s="50" t="inlineStr">
        <is>
          <t>¿Hay procedimientos no llamados o innecesarios, o código no utilizado?</t>
        </is>
      </c>
      <c r="D12" s="62" t="n"/>
      <c r="E12" s="2" t="inlineStr">
        <is>
          <t>X</t>
        </is>
      </c>
      <c r="F12" s="2" t="n"/>
      <c r="G12" s="2" t="n"/>
      <c r="H12" s="53" t="n"/>
      <c r="I12" s="62" t="n"/>
    </row>
    <row r="13" ht="30.75" customHeight="1">
      <c r="B13" s="2" t="n">
        <v>5</v>
      </c>
      <c r="C13" s="50" t="inlineStr">
        <is>
          <t xml:space="preserve">¿Puede cualquier parte del código ser remplazada por componentes o librerías de funciones reutilizables? </t>
        </is>
      </c>
      <c r="D13" s="62" t="n"/>
      <c r="E13" s="2" t="inlineStr">
        <is>
          <t>X</t>
        </is>
      </c>
      <c r="F13" s="2" t="n"/>
      <c r="G13" s="2" t="n"/>
      <c r="H13" s="53" t="n"/>
      <c r="I13" s="62" t="n"/>
      <c r="L13" s="43" t="inlineStr">
        <is>
          <t>Categorías de defectos</t>
        </is>
      </c>
    </row>
    <row r="14" ht="30" customHeight="1">
      <c r="B14" s="2" t="n">
        <v>6</v>
      </c>
      <c r="C14" s="50" t="inlineStr">
        <is>
          <t>¿Existe algún bloque de código repetido que pudiera ser condensado en un solo procedimiento?</t>
        </is>
      </c>
      <c r="D14" s="62" t="n"/>
      <c r="E14" s="2" t="inlineStr">
        <is>
          <t>X</t>
        </is>
      </c>
      <c r="F14" s="2" t="n"/>
      <c r="G14" s="2" t="n"/>
      <c r="H14" s="53" t="n"/>
      <c r="I14" s="62" t="n"/>
      <c r="L14" s="68" t="inlineStr">
        <is>
          <t>Categoría</t>
        </is>
      </c>
      <c r="M14" s="61" t="n"/>
      <c r="N14" s="18" t="inlineStr">
        <is>
          <t>Cantidad</t>
        </is>
      </c>
    </row>
    <row r="15" ht="30" customHeight="1">
      <c r="B15" s="2" t="n">
        <v>7</v>
      </c>
      <c r="C15" s="50" t="inlineStr">
        <is>
          <t>¿Es eficiente el uso de almacenamiento?</t>
        </is>
      </c>
      <c r="D15" s="62" t="n"/>
      <c r="E15" s="2" t="inlineStr">
        <is>
          <t>X</t>
        </is>
      </c>
      <c r="F15" s="2" t="n"/>
      <c r="G15" s="2" t="n"/>
      <c r="H15" s="53" t="n"/>
      <c r="I15" s="62" t="n"/>
      <c r="L15" s="69" t="inlineStr">
        <is>
          <t>Completitud</t>
        </is>
      </c>
      <c r="M15" s="62" t="n"/>
      <c r="N15" s="19" t="n">
        <v>0</v>
      </c>
    </row>
    <row r="16" ht="30" customHeight="1">
      <c r="B16" s="2" t="n">
        <v>8</v>
      </c>
      <c r="C16" s="50" t="inlineStr">
        <is>
          <t>¿Está el código documentado con un estilo de comentarios fácil de mantener?</t>
        </is>
      </c>
      <c r="D16" s="62" t="n"/>
      <c r="E16" s="2" t="inlineStr">
        <is>
          <t>X</t>
        </is>
      </c>
      <c r="F16" s="2" t="n"/>
      <c r="G16" s="2" t="n"/>
      <c r="H16" s="53" t="n"/>
      <c r="I16" s="62" t="n"/>
      <c r="L16" s="69" t="inlineStr">
        <is>
          <t>Estándares</t>
        </is>
      </c>
      <c r="M16" s="62" t="n"/>
      <c r="N16" s="19" t="n">
        <v>0</v>
      </c>
    </row>
    <row r="17" ht="30" customHeight="1">
      <c r="B17" s="2" t="n">
        <v>9</v>
      </c>
      <c r="C17" s="50" t="inlineStr">
        <is>
          <t>¿Todos los comentarios son consistentes con el código?</t>
        </is>
      </c>
      <c r="D17" s="62" t="n"/>
      <c r="E17" s="2" t="inlineStr">
        <is>
          <t>X</t>
        </is>
      </c>
      <c r="F17" s="2" t="n"/>
      <c r="G17" s="2" t="n"/>
      <c r="H17" s="53" t="n"/>
      <c r="I17" s="62" t="n"/>
      <c r="L17" s="69" t="inlineStr">
        <is>
          <t>Ambigüedad o imprecisión</t>
        </is>
      </c>
      <c r="M17" s="62" t="n"/>
      <c r="N17" s="19" t="n">
        <v>0</v>
      </c>
    </row>
    <row r="18" ht="30" customHeight="1">
      <c r="B18" s="2" t="n">
        <v>10</v>
      </c>
      <c r="C18" s="50" t="inlineStr">
        <is>
          <t>¿Se centran los comentarios en explicar el por qué y no el cómo?</t>
        </is>
      </c>
      <c r="D18" s="62" t="n"/>
      <c r="E18" s="2" t="inlineStr">
        <is>
          <t>X</t>
        </is>
      </c>
      <c r="F18" s="2" t="n"/>
      <c r="G18" s="2" t="n"/>
      <c r="H18" s="53" t="n"/>
      <c r="I18" s="62" t="n"/>
      <c r="L18" s="69" t="inlineStr">
        <is>
          <t>Consistencia</t>
        </is>
      </c>
      <c r="M18" s="62" t="n"/>
      <c r="N18" s="19" t="n">
        <v>0</v>
      </c>
    </row>
    <row r="19" ht="30" customHeight="1">
      <c r="B19" s="2" t="n">
        <v>11</v>
      </c>
      <c r="C19" s="50" t="inlineStr">
        <is>
          <t>¿Las variables fueron definidas con nombres claros, consistentes y significativos?</t>
        </is>
      </c>
      <c r="D19" s="62" t="n"/>
      <c r="E19" s="2" t="inlineStr">
        <is>
          <t>X</t>
        </is>
      </c>
      <c r="F19" s="2" t="n"/>
      <c r="G19" s="2" t="n"/>
      <c r="H19" s="53" t="n"/>
      <c r="I19" s="62" t="n"/>
      <c r="L19" s="69" t="inlineStr">
        <is>
          <t>Mal uso de la técnica</t>
        </is>
      </c>
      <c r="M19" s="62" t="n"/>
      <c r="N19" s="19" t="n">
        <v>1</v>
      </c>
    </row>
    <row r="20" ht="30" customHeight="1">
      <c r="B20" s="2" t="n">
        <v>12</v>
      </c>
      <c r="C20" s="50" t="inlineStr">
        <is>
          <t>¿Las variables asignadas tienen un tipo apropiado de consistencia y “casting”?</t>
        </is>
      </c>
      <c r="D20" s="62" t="n"/>
      <c r="E20" s="2" t="inlineStr">
        <is>
          <t>X</t>
        </is>
      </c>
      <c r="F20" s="2" t="n"/>
      <c r="G20" s="2" t="n"/>
      <c r="H20" s="53" t="n"/>
      <c r="I20" s="62" t="n"/>
      <c r="L20" s="69" t="inlineStr">
        <is>
          <t>Mejora</t>
        </is>
      </c>
      <c r="M20" s="62" t="n"/>
      <c r="N20" s="19" t="n">
        <v>0</v>
      </c>
    </row>
    <row r="21" ht="30" customHeight="1">
      <c r="B21" s="2" t="n">
        <v>13</v>
      </c>
      <c r="C21" s="50" t="inlineStr">
        <is>
          <t>¿Existen variables redundantes o no usadas?</t>
        </is>
      </c>
      <c r="D21" s="62" t="n"/>
      <c r="E21" s="2" t="inlineStr">
        <is>
          <t>X</t>
        </is>
      </c>
      <c r="F21" s="2" t="n"/>
      <c r="G21" s="2" t="n"/>
      <c r="H21" s="53" t="n"/>
      <c r="I21" s="62" t="n"/>
      <c r="L21" s="58" t="inlineStr">
        <is>
          <t>Total</t>
        </is>
      </c>
      <c r="M21" s="62" t="n"/>
      <c r="N21" s="58">
        <f>SUM(N15:N20)</f>
        <v/>
      </c>
    </row>
    <row r="22" ht="30" customHeight="1">
      <c r="B22" s="2" t="n">
        <v>14</v>
      </c>
      <c r="C22" s="50" t="inlineStr">
        <is>
          <t>¿El código evita comparaciones de igualdad entre números de punto flotante?</t>
        </is>
      </c>
      <c r="D22" s="62" t="n"/>
      <c r="E22" s="2" t="inlineStr">
        <is>
          <t>X</t>
        </is>
      </c>
      <c r="F22" s="2" t="n"/>
      <c r="G22" s="2" t="n"/>
      <c r="H22" s="53" t="n"/>
      <c r="I22" s="62" t="n"/>
    </row>
    <row r="23" ht="30" customHeight="1">
      <c r="B23" s="2" t="n">
        <v>15</v>
      </c>
      <c r="C23" s="50" t="inlineStr">
        <is>
          <t>¿El código sistemáticamente previene errores de redondeo?</t>
        </is>
      </c>
      <c r="D23" s="62" t="n"/>
      <c r="E23" s="2" t="inlineStr">
        <is>
          <t>X</t>
        </is>
      </c>
      <c r="F23" s="2" t="n"/>
      <c r="G23" s="9" t="n"/>
      <c r="H23" s="53" t="n"/>
      <c r="I23" s="62" t="n"/>
    </row>
    <row r="24" ht="30" customHeight="1">
      <c r="B24" s="2" t="n">
        <v>16</v>
      </c>
      <c r="C24" s="50" t="inlineStr">
        <is>
          <t>¿El código evita sumas y restas con números de magnitudes altamente diversas?</t>
        </is>
      </c>
      <c r="D24" s="62" t="n"/>
      <c r="E24" s="2" t="inlineStr">
        <is>
          <t>X</t>
        </is>
      </c>
      <c r="F24" s="2" t="n"/>
      <c r="G24" s="9" t="n"/>
      <c r="H24" s="53" t="n"/>
      <c r="I24" s="62" t="n"/>
    </row>
    <row r="25" ht="30" customHeight="1">
      <c r="B25" s="2" t="n">
        <v>17</v>
      </c>
      <c r="C25" s="50" t="inlineStr">
        <is>
          <t>¿Las divisiones entre cero son validadas?</t>
        </is>
      </c>
      <c r="D25" s="62" t="n"/>
      <c r="E25" s="2" t="inlineStr">
        <is>
          <t>X</t>
        </is>
      </c>
      <c r="F25" s="2" t="n"/>
      <c r="G25" s="9" t="n"/>
      <c r="H25" s="53" t="n"/>
      <c r="I25" s="62" t="n"/>
    </row>
    <row r="26" ht="30" customHeight="1">
      <c r="B26" s="2" t="n">
        <v>18</v>
      </c>
      <c r="C26" s="50" t="inlineStr">
        <is>
          <t>¿Están los ciclos, nodos y construcciones lógicas completas, correctas y propiamente anidadas?</t>
        </is>
      </c>
      <c r="D26" s="62" t="n"/>
      <c r="E26" s="2" t="inlineStr">
        <is>
          <t>X</t>
        </is>
      </c>
      <c r="F26" s="2" t="n"/>
      <c r="G26" s="9" t="n"/>
      <c r="H26" s="53" t="n"/>
      <c r="I26" s="62" t="n"/>
    </row>
    <row r="27" ht="30" customHeight="1">
      <c r="B27" s="2" t="n">
        <v>19</v>
      </c>
      <c r="C27" s="50" t="inlineStr">
        <is>
          <t>¿Se ha minimizado la anidación de bucles?</t>
        </is>
      </c>
      <c r="D27" s="62" t="n"/>
      <c r="E27" s="2" t="inlineStr">
        <is>
          <t>X</t>
        </is>
      </c>
      <c r="F27" s="2" t="n"/>
      <c r="G27" s="9" t="n"/>
      <c r="H27" s="53" t="n"/>
      <c r="I27" s="62" t="n"/>
    </row>
    <row r="28" ht="30" customHeight="1">
      <c r="B28" s="2" t="n">
        <v>20</v>
      </c>
      <c r="C28" s="50" t="inlineStr">
        <is>
          <t>¿Los casos más comunes fueron probados primero en cadenas “IF/ELSEIF”?</t>
        </is>
      </c>
      <c r="D28" s="62" t="n"/>
      <c r="E28" s="2" t="inlineStr">
        <is>
          <t>X</t>
        </is>
      </c>
      <c r="F28" s="2" t="n"/>
      <c r="G28" s="9" t="n"/>
      <c r="H28" s="53" t="n"/>
      <c r="I28" s="62" t="n"/>
    </row>
    <row r="29" ht="30" customHeight="1">
      <c r="B29" s="2" t="n">
        <v>21</v>
      </c>
      <c r="C29" s="50" t="inlineStr">
        <is>
          <t>¿Están todos los casos cubiertos en bloques de IF/ELSEIF o CASE, incluyendo sentencias ELSE o DEFAULT?</t>
        </is>
      </c>
      <c r="D29" s="62" t="n"/>
      <c r="E29" s="2" t="inlineStr">
        <is>
          <t>X</t>
        </is>
      </c>
      <c r="F29" s="2" t="n"/>
      <c r="G29" s="9" t="n"/>
      <c r="H29" s="53" t="n"/>
      <c r="I29" s="62" t="n"/>
    </row>
    <row r="30" ht="30" customHeight="1">
      <c r="B30" s="2" t="n">
        <v>22</v>
      </c>
      <c r="C30" s="50" t="inlineStr">
        <is>
          <t>¿Cada caso tiene un valor por default?</t>
        </is>
      </c>
      <c r="D30" s="62" t="n"/>
      <c r="E30" s="2" t="inlineStr">
        <is>
          <t>X</t>
        </is>
      </c>
      <c r="F30" s="2" t="n"/>
      <c r="G30" s="9" t="n"/>
      <c r="H30" s="53" t="n"/>
      <c r="I30" s="62" t="n"/>
    </row>
    <row r="31" ht="30" customHeight="1">
      <c r="B31" s="2" t="n">
        <v>23</v>
      </c>
      <c r="C31" s="50" t="inlineStr">
        <is>
          <t>¿Las condiciones de terminación de ciclos son obvias e invariablemente alcanzables?</t>
        </is>
      </c>
      <c r="D31" s="62" t="n"/>
      <c r="E31" s="2" t="inlineStr">
        <is>
          <t>X</t>
        </is>
      </c>
      <c r="F31" s="2" t="n"/>
      <c r="G31" s="9" t="n"/>
      <c r="H31" s="53" t="n"/>
      <c r="I31" s="62" t="n"/>
    </row>
    <row r="32" ht="30" customHeight="1">
      <c r="B32" s="2" t="n">
        <v>24</v>
      </c>
      <c r="C32" s="50" t="inlineStr">
        <is>
          <t>¿Son los índices propiamente inicializados antes de un ciclo?</t>
        </is>
      </c>
      <c r="D32" s="62" t="n"/>
      <c r="E32" s="2" t="inlineStr">
        <is>
          <t>X</t>
        </is>
      </c>
      <c r="F32" s="2" t="n"/>
      <c r="G32" s="9" t="n"/>
      <c r="H32" s="53" t="n"/>
      <c r="I32" s="62" t="n"/>
    </row>
    <row r="33" ht="30" customHeight="1">
      <c r="B33" s="2" t="n">
        <v>25</v>
      </c>
      <c r="C33" s="50" t="inlineStr">
        <is>
          <t>¿Puede cualquier sentencia incluida dentro de un ciclo ser puesta fuera del mismo?</t>
        </is>
      </c>
      <c r="D33" s="62" t="n"/>
      <c r="E33" s="2" t="inlineStr">
        <is>
          <t>X</t>
        </is>
      </c>
      <c r="F33" s="2" t="n"/>
      <c r="G33" s="9" t="n"/>
      <c r="H33" s="53" t="n"/>
      <c r="I33" s="62" t="n"/>
    </row>
    <row r="34" ht="30" customHeight="1">
      <c r="B34" s="2" t="n">
        <v>26</v>
      </c>
      <c r="C34" s="50" t="inlineStr">
        <is>
          <t>¿El código en el ciclo evita la manipulación de las variables índices?</t>
        </is>
      </c>
      <c r="D34" s="62" t="n"/>
      <c r="E34" s="2" t="inlineStr">
        <is>
          <t>X</t>
        </is>
      </c>
      <c r="F34" s="2" t="n"/>
      <c r="G34" s="9" t="n"/>
      <c r="H34" s="53" t="n"/>
      <c r="I34" s="62" t="n"/>
    </row>
    <row r="35" ht="30" customHeight="1">
      <c r="B35" s="2" t="n">
        <v>27</v>
      </c>
      <c r="C35" s="50" t="inlineStr">
        <is>
          <t>¿Fueron los índices, apuntadores y subscripts probados contra arreglos, registros o archivos?</t>
        </is>
      </c>
      <c r="D35" s="62" t="n"/>
      <c r="E35" s="2" t="inlineStr">
        <is>
          <t>X</t>
        </is>
      </c>
      <c r="F35" s="2" t="n"/>
      <c r="G35" s="9" t="n"/>
      <c r="H35" s="53" t="n"/>
      <c r="I35" s="62" t="n"/>
    </row>
    <row r="36" ht="30" customHeight="1">
      <c r="B36" s="2" t="n">
        <v>28</v>
      </c>
      <c r="C36" s="50" t="inlineStr">
        <is>
          <t>¿Se probó la validez y completitud de los datos importados y argumentos de entrada?</t>
        </is>
      </c>
      <c r="D36" s="62" t="n"/>
      <c r="E36" s="2" t="inlineStr">
        <is>
          <t>X</t>
        </is>
      </c>
      <c r="F36" s="2" t="n"/>
      <c r="G36" s="9" t="n"/>
      <c r="H36" s="53" t="n"/>
      <c r="I36" s="62" t="n"/>
    </row>
    <row r="37" ht="30" customHeight="1">
      <c r="B37" s="2" t="n">
        <v>29</v>
      </c>
      <c r="C37" s="50" t="inlineStr">
        <is>
          <t>¿Todas las variables de salida fueron asignadas?</t>
        </is>
      </c>
      <c r="D37" s="62" t="n"/>
      <c r="E37" s="2" t="inlineStr">
        <is>
          <t>X</t>
        </is>
      </c>
      <c r="F37" s="2" t="n"/>
      <c r="G37" s="9" t="n"/>
      <c r="H37" s="53" t="n"/>
      <c r="I37" s="62" t="n"/>
    </row>
    <row r="38" ht="30" customHeight="1">
      <c r="B38" s="2" t="n">
        <v>30</v>
      </c>
      <c r="C38" s="50" t="inlineStr">
        <is>
          <t>¿Fueron los datos correctos operados en cada sentencia?</t>
        </is>
      </c>
      <c r="D38" s="62" t="n"/>
      <c r="E38" s="2" t="inlineStr">
        <is>
          <t>X</t>
        </is>
      </c>
      <c r="F38" s="2" t="n"/>
      <c r="G38" s="9" t="n"/>
      <c r="H38" s="53" t="n"/>
      <c r="I38" s="62" t="n"/>
    </row>
    <row r="39" ht="30" customHeight="1">
      <c r="B39" s="2" t="n">
        <v>31</v>
      </c>
      <c r="C39" s="50" t="inlineStr">
        <is>
          <t xml:space="preserve"> ¿Cada asignación de memoria (allocate) fue desasignada (deallocate)?</t>
        </is>
      </c>
      <c r="D39" s="62" t="n"/>
      <c r="E39" s="2" t="inlineStr">
        <is>
          <t>X</t>
        </is>
      </c>
      <c r="F39" s="2" t="n"/>
      <c r="G39" s="9" t="n"/>
      <c r="H39" s="53" t="n"/>
      <c r="I39" s="62" t="n"/>
    </row>
    <row r="40" ht="30" customHeight="1">
      <c r="B40" s="2" t="n">
        <v>32</v>
      </c>
      <c r="C40" s="50" t="inlineStr">
        <is>
          <t>¿Se utilizaron “timeouts” o manejo de errores para los accesos a dispositivos externos?</t>
        </is>
      </c>
      <c r="D40" s="62" t="n"/>
      <c r="E40" s="2" t="inlineStr">
        <is>
          <t>X</t>
        </is>
      </c>
      <c r="F40" s="2" t="n"/>
      <c r="G40" s="9" t="n"/>
      <c r="H40" s="53" t="n"/>
      <c r="I40" s="62" t="n"/>
    </row>
    <row r="41" ht="30" customHeight="1">
      <c r="B41" s="2" t="n">
        <v>33</v>
      </c>
      <c r="C41" s="50" t="inlineStr">
        <is>
          <t>¿Se verificó la existencia de archivos antes de intentar accederlos?</t>
        </is>
      </c>
      <c r="D41" s="62" t="n"/>
      <c r="E41" s="2" t="inlineStr">
        <is>
          <t>X</t>
        </is>
      </c>
      <c r="F41" s="2" t="n"/>
      <c r="G41" s="9" t="n"/>
      <c r="H41" s="53" t="n"/>
      <c r="I41" s="62" t="n"/>
    </row>
    <row r="42" ht="30" customHeight="1">
      <c r="B42" s="2" t="n">
        <v>34</v>
      </c>
      <c r="C42" s="50" t="inlineStr">
        <is>
          <t>¿Todos los archivos y dispositivos se dejaron en el estado correcto dada la terminación del programa?</t>
        </is>
      </c>
      <c r="D42" s="62" t="n"/>
      <c r="E42" s="2" t="inlineStr">
        <is>
          <t>X</t>
        </is>
      </c>
      <c r="F42" s="2" t="n"/>
      <c r="G42" s="9" t="n"/>
      <c r="H42" s="53" t="n"/>
      <c r="I42" s="62" t="n"/>
    </row>
  </sheetData>
  <mergeCells count="86">
    <mergeCell ref="L17:M17"/>
    <mergeCell ref="H35:I35"/>
    <mergeCell ref="C15:D15"/>
    <mergeCell ref="H10:I10"/>
    <mergeCell ref="L19:M19"/>
    <mergeCell ref="H9:I9"/>
    <mergeCell ref="H39:I39"/>
    <mergeCell ref="C41:D41"/>
    <mergeCell ref="L14:M14"/>
    <mergeCell ref="C27:D27"/>
    <mergeCell ref="C36:D36"/>
    <mergeCell ref="H37:I37"/>
    <mergeCell ref="C17:D17"/>
    <mergeCell ref="H13:I13"/>
    <mergeCell ref="L21:M21"/>
    <mergeCell ref="C19:D19"/>
    <mergeCell ref="H15:I15"/>
    <mergeCell ref="L13:N13"/>
    <mergeCell ref="C28:D28"/>
    <mergeCell ref="H23:I23"/>
    <mergeCell ref="C30:D30"/>
    <mergeCell ref="L16:M16"/>
    <mergeCell ref="C14:D14"/>
    <mergeCell ref="H41:I41"/>
    <mergeCell ref="H34:I34"/>
    <mergeCell ref="H25:I25"/>
    <mergeCell ref="D2:E2"/>
    <mergeCell ref="C40:D40"/>
    <mergeCell ref="H36:I36"/>
    <mergeCell ref="H17:I17"/>
    <mergeCell ref="H11:I11"/>
    <mergeCell ref="L20:M20"/>
    <mergeCell ref="H19:I19"/>
    <mergeCell ref="H28:I28"/>
    <mergeCell ref="C8:D8"/>
    <mergeCell ref="H3:I3"/>
    <mergeCell ref="H12:I12"/>
    <mergeCell ref="K7:O7"/>
    <mergeCell ref="C18:D18"/>
    <mergeCell ref="H14:I14"/>
    <mergeCell ref="C34:D34"/>
    <mergeCell ref="H38:I38"/>
    <mergeCell ref="H7:I8"/>
    <mergeCell ref="H31:I31"/>
    <mergeCell ref="H40:I40"/>
    <mergeCell ref="C20:D20"/>
    <mergeCell ref="H21:I21"/>
    <mergeCell ref="C29:D29"/>
    <mergeCell ref="L18:M18"/>
    <mergeCell ref="C22:D22"/>
    <mergeCell ref="C31:D31"/>
    <mergeCell ref="C12:D12"/>
    <mergeCell ref="H2:I2"/>
    <mergeCell ref="C21:D21"/>
    <mergeCell ref="H16:I16"/>
    <mergeCell ref="H22:I22"/>
    <mergeCell ref="C23:D23"/>
    <mergeCell ref="C32:D32"/>
    <mergeCell ref="C38:D38"/>
    <mergeCell ref="E7:F7"/>
    <mergeCell ref="H42:I42"/>
    <mergeCell ref="H30:I30"/>
    <mergeCell ref="H20:I20"/>
    <mergeCell ref="C24:D24"/>
    <mergeCell ref="H29:I29"/>
    <mergeCell ref="C33:D33"/>
    <mergeCell ref="C42:D42"/>
    <mergeCell ref="C26:D26"/>
    <mergeCell ref="C35:D35"/>
    <mergeCell ref="C10:D10"/>
    <mergeCell ref="C16:D16"/>
    <mergeCell ref="C25:D25"/>
    <mergeCell ref="L15:M15"/>
    <mergeCell ref="C9:D9"/>
    <mergeCell ref="H32:I32"/>
    <mergeCell ref="C11:D11"/>
    <mergeCell ref="B7:D7"/>
    <mergeCell ref="C39:D39"/>
    <mergeCell ref="H27:I27"/>
    <mergeCell ref="B6:I6"/>
    <mergeCell ref="H24:I24"/>
    <mergeCell ref="H18:I18"/>
    <mergeCell ref="C37:D37"/>
    <mergeCell ref="H33:I33"/>
    <mergeCell ref="C13:D13"/>
    <mergeCell ref="H26:I26"/>
  </mergeCells>
  <pageMargins left="0.7" right="0.7" top="0.75" bottom="0.75" header="0.3" footer="0.3"/>
  <pageSetup orientation="landscape" paperSize="9" scale="4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S9"/>
  <sheetViews>
    <sheetView zoomScale="80" zoomScaleNormal="80" workbookViewId="0">
      <selection activeCell="C21" sqref="C21"/>
    </sheetView>
  </sheetViews>
  <sheetFormatPr baseColWidth="8" defaultColWidth="12.5703125" defaultRowHeight="12.75"/>
  <cols>
    <col width="5.42578125" customWidth="1" style="26" min="1" max="1"/>
    <col width="23.5703125" customWidth="1" style="26" min="2" max="2"/>
    <col width="75.140625" bestFit="1" customWidth="1" style="26" min="3" max="3"/>
    <col width="12.5703125" customWidth="1" style="26" min="4" max="16384"/>
  </cols>
  <sheetData>
    <row r="2" ht="18" customFormat="1" customHeight="1" s="20">
      <c r="B2" s="57" t="inlineStr">
        <is>
          <t>Tipos de defectos por categorías</t>
        </is>
      </c>
      <c r="C2" s="63" t="n"/>
      <c r="J2" s="21" t="n"/>
      <c r="K2" s="22" t="n"/>
      <c r="L2" s="23" t="n"/>
      <c r="M2" s="23" t="n"/>
      <c r="N2" s="24" t="inlineStr">
        <is>
          <t>Ambiente</t>
        </is>
      </c>
      <c r="O2" s="24" t="inlineStr">
        <is>
          <t>Completitud</t>
        </is>
      </c>
      <c r="P2" s="24" t="inlineStr">
        <is>
          <t>Ambigüedad</t>
        </is>
      </c>
      <c r="Q2" s="25" t="inlineStr">
        <is>
          <t>Manuales 2</t>
        </is>
      </c>
      <c r="R2" s="25" t="inlineStr">
        <is>
          <t>Omisión</t>
        </is>
      </c>
      <c r="S2" s="24" t="inlineStr">
        <is>
          <t>Ortografía</t>
        </is>
      </c>
    </row>
    <row r="3" ht="27.95" customHeight="1">
      <c r="B3" s="27" t="inlineStr">
        <is>
          <t>Categoría</t>
        </is>
      </c>
      <c r="C3" s="27" t="inlineStr">
        <is>
          <t>Descripción</t>
        </is>
      </c>
    </row>
    <row r="4" ht="47.25" customHeight="1">
      <c r="B4" s="28" t="inlineStr">
        <is>
          <t>Completitud</t>
        </is>
      </c>
      <c r="C4" s="29" t="inlineStr">
        <is>
          <t>Los defectos de esta categoría indican que el producto no refleja todas las especificaciones solicitadas, es decir, no está completo al no contemplar todos los elementos que debería considerar.</t>
        </is>
      </c>
    </row>
    <row r="5" ht="60" customHeight="1">
      <c r="B5" s="28" t="inlineStr">
        <is>
          <t>Estándares</t>
        </is>
      </c>
      <c r="C5" s="29"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5.5" customHeight="1">
      <c r="B6" s="28" t="inlineStr">
        <is>
          <t>Ambigüedad o imprecisión</t>
        </is>
      </c>
      <c r="C6" s="29"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38.25" customHeight="1">
      <c r="B7" s="28" t="inlineStr">
        <is>
          <t>Consistencia</t>
        </is>
      </c>
      <c r="C7" s="29" t="inlineStr">
        <is>
          <t>Los defectos de consistencia indican que los elementos que componen el producto en revisión no son congruentes entre sí.</t>
        </is>
      </c>
    </row>
    <row r="8" ht="45" customHeight="1">
      <c r="B8" s="28" t="inlineStr">
        <is>
          <t>Mal uso de la técnica</t>
        </is>
      </c>
      <c r="C8" s="29" t="inlineStr">
        <is>
          <t>Estos defectos hacen referencia a productos que no cumplen con las reglas y definiciones de la técnica utilizada.
La finalidad de esta categoría es fomentar el uso correcto de las técnicas.</t>
        </is>
      </c>
    </row>
    <row r="9" ht="39" customHeight="1">
      <c r="B9" s="28" t="inlineStr">
        <is>
          <t>Mejora</t>
        </is>
      </c>
      <c r="C9" s="29" t="inlineStr">
        <is>
          <t>En esta categoría caen todos aquellos defectos que no invalidan el producto, pero hacen que el producto pero que afectan su eficacia. 
El propósito de esta categoría es fomentar la mejora continua.</t>
        </is>
      </c>
    </row>
  </sheetData>
  <mergeCells count="1">
    <mergeCell ref="B2:C2"/>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2026-09-28T03:21:11Z</dcterms:modified>
  <cp:lastModifiedBy>Carlos Quintero N.</cp:lastModifiedBy>
  <cp:lastPrinted>2024-07-12T16:07:14Z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1329100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