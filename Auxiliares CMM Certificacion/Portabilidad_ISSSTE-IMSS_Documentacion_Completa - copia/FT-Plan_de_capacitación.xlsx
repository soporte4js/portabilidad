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090" yWindow="10810" windowWidth="22380" windowHeight="13980" tabRatio="600" firstSheet="0" activeTab="1" autoFilterDateGrouping="1"/>
  </bookViews>
  <sheets>
    <sheet xmlns:r="http://schemas.openxmlformats.org/officeDocument/2006/relationships" name="Información del documento" sheetId="1" state="visible" r:id="rId1"/>
    <sheet xmlns:r="http://schemas.openxmlformats.org/officeDocument/2006/relationships" name="1.-Progama capacitación" sheetId="2" state="visible" r:id="rId2"/>
    <sheet xmlns:r="http://schemas.openxmlformats.org/officeDocument/2006/relationships" name="2.-Desglose costos" sheetId="3" state="visible" r:id="rId3"/>
    <sheet xmlns:r="http://schemas.openxmlformats.org/officeDocument/2006/relationships" name="3.-Informe trimestral" sheetId="4" state="visible" r:id="rId4"/>
    <sheet xmlns:r="http://schemas.openxmlformats.org/officeDocument/2006/relationships" name="3.1.- Informe Cuatrimestral" sheetId="5" state="visible" r:id="rId5"/>
    <sheet xmlns:r="http://schemas.openxmlformats.org/officeDocument/2006/relationships" name="Listas" sheetId="6" state="hidden" r:id="rId6"/>
  </sheets>
  <definedNames/>
  <calcPr calcId="191028" fullCalcOnLoad="1"/>
</workbook>
</file>

<file path=xl/styles.xml><?xml version="1.0" encoding="utf-8"?>
<styleSheet xmlns="http://schemas.openxmlformats.org/spreadsheetml/2006/main">
  <numFmts count="4">
    <numFmt numFmtId="164" formatCode="_-[$$-80A]* #,##0.00_-;\-[$$-80A]* #,##0.00_-;_-[$$-80A]* &quot;-&quot;??_-;_-@_-"/>
    <numFmt numFmtId="165" formatCode="_-&quot;$&quot;* #,##0.00_-;\-&quot;$&quot;* #,##0.00_-;_-&quot;$&quot;* &quot;-&quot;??_-;_-@_-"/>
    <numFmt numFmtId="166" formatCode="_-[$$-409]* #,##0.00_ ;_-[$$-409]* \-#,##0.00\ ;_-[$$-409]* &quot;-&quot;??_ ;_-@_ "/>
    <numFmt numFmtId="167" formatCode="&quot;$&quot;#,##0.00"/>
  </numFmts>
  <fonts count="27">
    <font>
      <name val="Calibri"/>
      <family val="2"/>
      <color theme="1"/>
      <sz val="11"/>
      <scheme val="minor"/>
    </font>
    <font>
      <name val="Calibri"/>
      <family val="2"/>
      <color theme="1"/>
      <sz val="11"/>
      <scheme val="minor"/>
    </font>
    <font>
      <name val="Calibri"/>
      <family val="2"/>
      <sz val="12"/>
    </font>
    <font>
      <name val="Calibri"/>
      <family val="2"/>
      <b val="1"/>
      <color theme="1"/>
      <sz val="14"/>
      <scheme val="minor"/>
    </font>
    <font>
      <name val="Calibri"/>
      <family val="2"/>
      <sz val="8"/>
      <scheme val="minor"/>
    </font>
    <font>
      <name val="Calibri"/>
      <family val="2"/>
      <color theme="1"/>
      <sz val="11"/>
    </font>
    <font>
      <name val="Calibri"/>
      <family val="2"/>
      <color theme="1"/>
      <sz val="12"/>
    </font>
    <font>
      <name val="Calibri"/>
      <family val="2"/>
      <b val="1"/>
      <color theme="1"/>
      <sz val="11"/>
    </font>
    <font>
      <name val="Calibri"/>
      <family val="2"/>
      <b val="1"/>
      <color theme="1"/>
      <sz val="12"/>
    </font>
    <font>
      <name val="Calibri"/>
      <family val="2"/>
      <b val="1"/>
      <color theme="0"/>
      <sz val="14"/>
    </font>
    <font>
      <name val="Calibri"/>
      <family val="2"/>
      <i val="1"/>
      <color theme="1" tint="0.3499862666707358"/>
      <sz val="11"/>
    </font>
    <font>
      <name val="Tahoma"/>
      <family val="2"/>
      <color indexed="81"/>
      <sz val="9"/>
    </font>
    <font>
      <name val="Calibri"/>
      <family val="2"/>
      <b val="1"/>
      <color rgb="FF000000"/>
      <sz val="12"/>
    </font>
    <font>
      <name val="Calibri"/>
      <family val="2"/>
      <b val="1"/>
      <i val="1"/>
      <color theme="1"/>
      <sz val="9"/>
    </font>
    <font>
      <name val="Calibri"/>
      <family val="2"/>
      <i val="1"/>
      <color theme="1" tint="0.249977111117893"/>
      <sz val="12"/>
    </font>
    <font>
      <name val="Tahoma"/>
      <family val="2"/>
      <b val="1"/>
      <i val="1"/>
      <color indexed="81"/>
      <sz val="8"/>
    </font>
    <font>
      <name val="Calibri"/>
      <family val="2"/>
      <b val="1"/>
      <color theme="0"/>
      <sz val="16"/>
    </font>
    <font>
      <name val="Calibri"/>
      <family val="2"/>
      <b val="1"/>
      <sz val="12"/>
    </font>
    <font>
      <name val="Calibri"/>
      <family val="2"/>
      <b val="1"/>
      <sz val="11"/>
    </font>
    <font>
      <name val="Tahoma"/>
      <family val="2"/>
      <color theme="1"/>
      <sz val="9"/>
    </font>
    <font>
      <name val="Calibri"/>
      <family val="2"/>
      <b val="1"/>
      <i val="1"/>
      <color theme="1"/>
      <sz val="9"/>
      <scheme val="minor"/>
    </font>
    <font>
      <name val="Calibri"/>
      <family val="2"/>
      <b val="1"/>
      <color rgb="FFFFFFFF"/>
      <sz val="16"/>
    </font>
    <font>
      <name val="Calibri"/>
      <family val="2"/>
      <color theme="1" tint="0.3499862666707358"/>
      <sz val="9"/>
    </font>
    <font>
      <name val="Calibri"/>
      <family val="2"/>
      <b val="1"/>
      <color theme="1" tint="0.3499862666707358"/>
      <sz val="9"/>
    </font>
    <font>
      <name val="Calibri"/>
      <family val="2"/>
      <i val="1"/>
      <color theme="1" tint="0.3499862666707358"/>
      <sz val="10"/>
    </font>
    <font>
      <name val="Calibri"/>
      <family val="2"/>
      <color theme="1" tint="0.3499862666707358"/>
      <sz val="11"/>
    </font>
    <font>
      <name val="Calibri"/>
      <family val="2"/>
      <i val="1"/>
      <color theme="1" tint="0.3499862666707358"/>
      <sz val="11"/>
      <scheme val="minor"/>
    </font>
  </fonts>
  <fills count="6">
    <fill>
      <patternFill/>
    </fill>
    <fill>
      <patternFill patternType="gray125"/>
    </fill>
    <fill>
      <patternFill patternType="solid">
        <fgColor theme="1" tint="0.249977111117893"/>
        <bgColor indexed="64"/>
      </patternFill>
    </fill>
    <fill>
      <patternFill patternType="solid">
        <fgColor theme="2" tint="-0.09997863704336681"/>
        <bgColor indexed="64"/>
      </patternFill>
    </fill>
    <fill>
      <patternFill patternType="solid">
        <fgColor theme="0" tint="-0.1499984740745262"/>
        <bgColor indexed="64"/>
      </patternFill>
    </fill>
    <fill>
      <patternFill patternType="solid">
        <fgColor theme="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right style="medium">
        <color indexed="64"/>
      </right>
      <top/>
      <bottom/>
      <diagonal/>
    </border>
    <border>
      <left/>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1" fillId="0" borderId="0"/>
    <xf numFmtId="165" fontId="1" fillId="0" borderId="0"/>
  </cellStyleXfs>
  <cellXfs count="106">
    <xf numFmtId="0" fontId="0" fillId="0" borderId="0" pivotButton="0" quotePrefix="0" xfId="0"/>
    <xf numFmtId="0" fontId="0" fillId="0" borderId="0" applyAlignment="1" pivotButton="0" quotePrefix="0" xfId="0">
      <alignment horizontal="center"/>
    </xf>
    <xf numFmtId="0" fontId="5" fillId="0" borderId="1" applyAlignment="1" pivotButton="0" quotePrefix="0" xfId="0">
      <alignment vertical="center"/>
    </xf>
    <xf numFmtId="0" fontId="5" fillId="0" borderId="1" pivotButton="0" quotePrefix="0" xfId="0"/>
    <xf numFmtId="0" fontId="5" fillId="0" borderId="1" applyAlignment="1" pivotButton="0" quotePrefix="0" xfId="0">
      <alignment horizontal="center" vertical="center"/>
    </xf>
    <xf numFmtId="0" fontId="5" fillId="0" borderId="1" applyAlignment="1" pivotButton="0" quotePrefix="0" xfId="0">
      <alignment horizontal="center"/>
    </xf>
    <xf numFmtId="0" fontId="5" fillId="0" borderId="11" pivotButton="0" quotePrefix="0" xfId="0"/>
    <xf numFmtId="0" fontId="5" fillId="0" borderId="11" applyAlignment="1" pivotButton="0" quotePrefix="0" xfId="0">
      <alignment horizontal="center"/>
    </xf>
    <xf numFmtId="0" fontId="5" fillId="0" borderId="2" pivotButton="0" quotePrefix="0" xfId="0"/>
    <xf numFmtId="0" fontId="5" fillId="0" borderId="2" applyAlignment="1" pivotButton="0" quotePrefix="0" xfId="0">
      <alignment horizontal="center"/>
    </xf>
    <xf numFmtId="0" fontId="5" fillId="0" borderId="0" pivotButton="0" quotePrefix="0" xfId="0"/>
    <xf numFmtId="0" fontId="5" fillId="0" borderId="2" applyAlignment="1" pivotButton="0" quotePrefix="0" xfId="0">
      <alignment horizontal="left"/>
    </xf>
    <xf numFmtId="0" fontId="5" fillId="0" borderId="1" applyAlignment="1" pivotButton="0" quotePrefix="0" xfId="0">
      <alignment vertical="top"/>
    </xf>
    <xf numFmtId="0" fontId="5" fillId="0" borderId="1" applyAlignment="1" pivotButton="0" quotePrefix="0" xfId="0">
      <alignment horizontal="left"/>
    </xf>
    <xf numFmtId="164" fontId="5" fillId="0" borderId="1" pivotButton="0" quotePrefix="0" xfId="1"/>
    <xf numFmtId="165" fontId="5" fillId="0" borderId="1" pivotButton="0" quotePrefix="0" xfId="1"/>
    <xf numFmtId="0" fontId="5" fillId="0" borderId="1" applyAlignment="1" pivotButton="0" quotePrefix="0" xfId="0">
      <alignment vertical="center" wrapText="1"/>
    </xf>
    <xf numFmtId="0" fontId="5" fillId="0" borderId="1" applyAlignment="1" pivotButton="0" quotePrefix="0" xfId="0">
      <alignment wrapText="1"/>
    </xf>
    <xf numFmtId="14" fontId="5" fillId="0" borderId="1" pivotButton="0" quotePrefix="0" xfId="0"/>
    <xf numFmtId="0" fontId="6" fillId="0" borderId="0" pivotButton="0" quotePrefix="0" xfId="0"/>
    <xf numFmtId="1" fontId="0" fillId="0" borderId="0" pivotButton="0" quotePrefix="0" xfId="0"/>
    <xf numFmtId="0" fontId="5" fillId="0" borderId="1" applyAlignment="1" pivotButton="0" quotePrefix="0" xfId="0">
      <alignment horizontal="center" vertical="center" wrapText="1"/>
    </xf>
    <xf numFmtId="0" fontId="7" fillId="3" borderId="3" applyAlignment="1" pivotButton="0" quotePrefix="0" xfId="0">
      <alignment horizontal="left"/>
    </xf>
    <xf numFmtId="0" fontId="7" fillId="3" borderId="13" applyAlignment="1" pivotButton="0" quotePrefix="0" xfId="0">
      <alignment horizontal="left"/>
    </xf>
    <xf numFmtId="0" fontId="7" fillId="3" borderId="3" pivotButton="0" quotePrefix="0" xfId="0"/>
    <xf numFmtId="0" fontId="5" fillId="0" borderId="14" pivotButton="0" quotePrefix="0" xfId="0"/>
    <xf numFmtId="0" fontId="5" fillId="0" borderId="8" pivotButton="0" quotePrefix="0" xfId="0"/>
    <xf numFmtId="0" fontId="5" fillId="0" borderId="14" applyAlignment="1" pivotButton="0" quotePrefix="0" xfId="0">
      <alignment vertical="center"/>
    </xf>
    <xf numFmtId="0" fontId="5" fillId="0" borderId="8" applyAlignment="1" pivotButton="0" quotePrefix="0" xfId="0">
      <alignment vertical="center" wrapText="1"/>
    </xf>
    <xf numFmtId="166" fontId="5" fillId="0" borderId="1" pivotButton="0" quotePrefix="0" xfId="0"/>
    <xf numFmtId="166" fontId="5" fillId="0" borderId="1" applyAlignment="1" pivotButton="0" quotePrefix="0" xfId="1">
      <alignment vertical="center"/>
    </xf>
    <xf numFmtId="0" fontId="5" fillId="0" borderId="19" pivotButton="0" quotePrefix="0" xfId="0"/>
    <xf numFmtId="0" fontId="10" fillId="0" borderId="1" pivotButton="0" quotePrefix="0" xfId="0"/>
    <xf numFmtId="0" fontId="10" fillId="0" borderId="1" applyAlignment="1" pivotButton="0" quotePrefix="0" xfId="0">
      <alignment vertical="top" wrapText="1"/>
    </xf>
    <xf numFmtId="0" fontId="13" fillId="0" borderId="0" pivotButton="0" quotePrefix="0" xfId="0"/>
    <xf numFmtId="0" fontId="9" fillId="2" borderId="1" applyAlignment="1" pivotButton="0" quotePrefix="0" xfId="0">
      <alignment horizontal="center" vertical="center" wrapText="1"/>
    </xf>
    <xf numFmtId="0" fontId="2" fillId="0" borderId="1" applyAlignment="1" pivotButton="0" quotePrefix="0" xfId="0">
      <alignment horizontal="center" vertical="center" wrapText="1"/>
    </xf>
    <xf numFmtId="49" fontId="2" fillId="0" borderId="1" applyAlignment="1" pivotButton="0" quotePrefix="0" xfId="0">
      <alignment horizontal="center" vertical="center" wrapText="1"/>
    </xf>
    <xf numFmtId="0" fontId="0" fillId="0" borderId="0" pivotButton="0" quotePrefix="0" xfId="0"/>
    <xf numFmtId="0" fontId="12" fillId="4" borderId="1" applyAlignment="1" pivotButton="0" quotePrefix="0" xfId="0">
      <alignment horizontal="center" vertical="center" wrapText="1"/>
    </xf>
    <xf numFmtId="0" fontId="12" fillId="4" borderId="1" applyAlignment="1" pivotButton="0" quotePrefix="0" xfId="0">
      <alignment horizontal="center" vertical="center"/>
    </xf>
    <xf numFmtId="0" fontId="12" fillId="4" borderId="2" applyAlignment="1" pivotButton="0" quotePrefix="0" xfId="0">
      <alignment horizontal="center" vertical="center"/>
    </xf>
    <xf numFmtId="0" fontId="12" fillId="4" borderId="8" applyAlignment="1" pivotButton="0" quotePrefix="0" xfId="0">
      <alignment horizontal="center" vertical="center"/>
    </xf>
    <xf numFmtId="0" fontId="12" fillId="4" borderId="14" applyAlignment="1" pivotButton="0" quotePrefix="0" xfId="0">
      <alignment horizontal="center" vertical="center"/>
    </xf>
    <xf numFmtId="0" fontId="12" fillId="4" borderId="18" applyAlignment="1" pivotButton="0" quotePrefix="0" xfId="0">
      <alignment horizontal="center" vertical="center"/>
    </xf>
    <xf numFmtId="0" fontId="8" fillId="4" borderId="1" applyAlignment="1" pivotButton="0" quotePrefix="0" xfId="0">
      <alignment horizontal="center"/>
    </xf>
    <xf numFmtId="0" fontId="7" fillId="4" borderId="1" applyAlignment="1" pivotButton="0" quotePrefix="0" xfId="0">
      <alignment horizontal="center"/>
    </xf>
    <xf numFmtId="165" fontId="5" fillId="4" borderId="1" applyAlignment="1" pivotButton="0" quotePrefix="0" xfId="1">
      <alignment horizontal="center"/>
    </xf>
    <xf numFmtId="0" fontId="14" fillId="0" borderId="1" applyAlignment="1" pivotButton="0" quotePrefix="0" xfId="0">
      <alignment horizontal="center" vertical="center" wrapText="1"/>
    </xf>
    <xf numFmtId="49" fontId="14" fillId="0" borderId="1" applyAlignment="1" pivotButton="0" quotePrefix="0" xfId="0">
      <alignment horizontal="center" vertical="center" wrapText="1"/>
    </xf>
    <xf numFmtId="0" fontId="8" fillId="4" borderId="1" applyAlignment="1" pivotButton="0" quotePrefix="0" xfId="0">
      <alignment horizontal="center" wrapText="1"/>
    </xf>
    <xf numFmtId="165" fontId="8" fillId="4" borderId="1" applyAlignment="1" pivotButton="0" quotePrefix="0" xfId="0">
      <alignment horizontal="center"/>
    </xf>
    <xf numFmtId="165" fontId="8" fillId="5" borderId="1" applyAlignment="1" pivotButton="0" quotePrefix="0" xfId="1">
      <alignment horizontal="center"/>
    </xf>
    <xf numFmtId="0" fontId="5" fillId="4" borderId="5" pivotButton="0" quotePrefix="0" xfId="0"/>
    <xf numFmtId="0" fontId="5" fillId="4" borderId="12" applyAlignment="1" pivotButton="0" quotePrefix="0" xfId="0">
      <alignment horizontal="center"/>
    </xf>
    <xf numFmtId="0" fontId="5" fillId="4" borderId="6" applyAlignment="1" pivotButton="0" quotePrefix="0" xfId="0">
      <alignment horizontal="center"/>
    </xf>
    <xf numFmtId="0" fontId="5" fillId="4" borderId="5" applyAlignment="1" pivotButton="0" quotePrefix="0" xfId="0">
      <alignment horizontal="center"/>
    </xf>
    <xf numFmtId="0" fontId="5" fillId="4" borderId="4" applyAlignment="1" pivotButton="0" quotePrefix="0" xfId="0">
      <alignment horizontal="center"/>
    </xf>
    <xf numFmtId="0" fontId="7" fillId="4" borderId="1" applyAlignment="1" pivotButton="0" quotePrefix="0" xfId="0">
      <alignment horizontal="center" vertical="center"/>
    </xf>
    <xf numFmtId="0" fontId="7" fillId="4" borderId="1" applyAlignment="1" pivotButton="0" quotePrefix="0" xfId="0">
      <alignment horizontal="center" vertical="center" wrapText="1"/>
    </xf>
    <xf numFmtId="0" fontId="18" fillId="4" borderId="1" applyAlignment="1" pivotButton="0" quotePrefix="0" xfId="0">
      <alignment horizontal="center" vertical="center"/>
    </xf>
    <xf numFmtId="0" fontId="18" fillId="4" borderId="1" applyAlignment="1" pivotButton="0" quotePrefix="0" xfId="0">
      <alignment horizontal="center" vertical="center" wrapText="1"/>
    </xf>
    <xf numFmtId="0" fontId="19" fillId="0" borderId="0" pivotButton="0" quotePrefix="0" xfId="0"/>
    <xf numFmtId="0" fontId="20" fillId="0" borderId="0" pivotButton="0" quotePrefix="0" xfId="0"/>
    <xf numFmtId="0" fontId="10" fillId="0" borderId="1" applyAlignment="1" pivotButton="0" quotePrefix="0" xfId="0">
      <alignment vertical="center"/>
    </xf>
    <xf numFmtId="0" fontId="10" fillId="0" borderId="1" applyAlignment="1" pivotButton="0" quotePrefix="0" xfId="0">
      <alignment horizontal="center" vertical="center" wrapText="1"/>
    </xf>
    <xf numFmtId="0" fontId="10" fillId="0" borderId="1" applyAlignment="1" pivotButton="0" quotePrefix="0" xfId="0">
      <alignment horizontal="center" vertical="center"/>
    </xf>
    <xf numFmtId="167" fontId="10" fillId="0" borderId="1" applyAlignment="1" pivotButton="0" quotePrefix="0" xfId="1">
      <alignment horizontal="center" vertical="center"/>
    </xf>
    <xf numFmtId="0" fontId="22" fillId="0" borderId="1" applyAlignment="1" pivotButton="0" quotePrefix="0" xfId="0">
      <alignment horizontal="center" vertical="center" wrapText="1"/>
    </xf>
    <xf numFmtId="0" fontId="24" fillId="0" borderId="1" applyAlignment="1" pivotButton="0" quotePrefix="0" xfId="0">
      <alignment horizontal="center" vertical="center" wrapText="1"/>
    </xf>
    <xf numFmtId="0" fontId="25" fillId="0" borderId="1" applyAlignment="1" pivotButton="0" quotePrefix="0" xfId="0">
      <alignment horizontal="center" vertical="center"/>
    </xf>
    <xf numFmtId="0" fontId="10" fillId="0" borderId="8" applyAlignment="1" pivotButton="0" quotePrefix="0" xfId="0">
      <alignment horizontal="center" vertical="center" wrapText="1"/>
    </xf>
    <xf numFmtId="0" fontId="10" fillId="0" borderId="17" applyAlignment="1" pivotButton="0" quotePrefix="0" xfId="0">
      <alignment horizontal="center" vertical="center" wrapText="1"/>
    </xf>
    <xf numFmtId="0" fontId="26"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0" applyAlignment="1" pivotButton="0" quotePrefix="0" xfId="0">
      <alignment horizontal="center"/>
    </xf>
    <xf numFmtId="0" fontId="6" fillId="0" borderId="0" applyAlignment="1" pivotButton="0" quotePrefix="0" xfId="0">
      <alignment horizontal="left" vertical="center"/>
    </xf>
    <xf numFmtId="0" fontId="0" fillId="0" borderId="0" applyAlignment="1" pivotButton="0" quotePrefix="0" xfId="0">
      <alignment horizontal="left" wrapText="1"/>
    </xf>
    <xf numFmtId="0" fontId="0" fillId="0" borderId="1" applyAlignment="1" pivotButton="0" quotePrefix="0" xfId="0">
      <alignment horizontal="center" vertical="center" wrapText="1"/>
    </xf>
    <xf numFmtId="0" fontId="21" fillId="2" borderId="0" applyAlignment="1" pivotButton="0" quotePrefix="0" xfId="0">
      <alignment horizontal="center" vertical="center"/>
    </xf>
    <xf numFmtId="0" fontId="16" fillId="2" borderId="15" applyAlignment="1" pivotButton="0" quotePrefix="0" xfId="0">
      <alignment horizontal="center" vertical="center"/>
    </xf>
    <xf numFmtId="0" fontId="21" fillId="2" borderId="7" applyAlignment="1" pivotButton="0" quotePrefix="0" xfId="0">
      <alignment horizontal="center" vertical="center" wrapText="1"/>
    </xf>
    <xf numFmtId="0" fontId="21" fillId="2" borderId="0" applyAlignment="1" pivotButton="0" quotePrefix="0" xfId="0">
      <alignment horizontal="center" vertical="center" wrapText="1"/>
    </xf>
    <xf numFmtId="0" fontId="16" fillId="2" borderId="0" applyAlignment="1" pivotButton="0" quotePrefix="0" xfId="0">
      <alignment horizontal="center" vertical="center"/>
    </xf>
    <xf numFmtId="0" fontId="16" fillId="2" borderId="16" applyAlignment="1" pivotButton="0" quotePrefix="0" xfId="0">
      <alignment horizontal="center" vertical="center"/>
    </xf>
    <xf numFmtId="0" fontId="16" fillId="2" borderId="0" applyAlignment="1" pivotButton="0" quotePrefix="0" xfId="0">
      <alignment horizontal="center"/>
    </xf>
    <xf numFmtId="0" fontId="8" fillId="4" borderId="1" applyAlignment="1" pivotButton="0" quotePrefix="0" xfId="0">
      <alignment horizontal="center"/>
    </xf>
    <xf numFmtId="0" fontId="16" fillId="2" borderId="8" applyAlignment="1" pivotButton="0" quotePrefix="0" xfId="0">
      <alignment horizontal="center" vertical="center"/>
    </xf>
    <xf numFmtId="0" fontId="16" fillId="2" borderId="9" applyAlignment="1" pivotButton="0" quotePrefix="0" xfId="0">
      <alignment horizontal="center" vertical="center"/>
    </xf>
    <xf numFmtId="0" fontId="16" fillId="2" borderId="10" applyAlignment="1" pivotButton="0" quotePrefix="0" xfId="0">
      <alignment horizontal="center" vertical="center"/>
    </xf>
    <xf numFmtId="0" fontId="17" fillId="4" borderId="1" applyAlignment="1" pivotButton="0" quotePrefix="0" xfId="0">
      <alignment horizontal="center" vertical="center"/>
    </xf>
    <xf numFmtId="0" fontId="19" fillId="0" borderId="0" applyAlignment="1" pivotButton="0" quotePrefix="0" xfId="0">
      <alignment horizontal="left" vertical="top" wrapText="1"/>
    </xf>
    <xf numFmtId="0" fontId="0" fillId="0" borderId="22" pivotButton="0" quotePrefix="0" xfId="0"/>
    <xf numFmtId="0" fontId="0" fillId="0" borderId="24" pivotButton="0" quotePrefix="0" xfId="0"/>
    <xf numFmtId="0" fontId="0" fillId="0" borderId="25" pivotButton="0" quotePrefix="0" xfId="0"/>
    <xf numFmtId="0" fontId="0" fillId="0" borderId="10" pivotButton="0" quotePrefix="0" xfId="0"/>
    <xf numFmtId="0" fontId="0" fillId="0" borderId="16" pivotButton="0" quotePrefix="0" xfId="0"/>
    <xf numFmtId="0" fontId="21" fillId="2" borderId="15" applyAlignment="1" pivotButton="0" quotePrefix="0" xfId="0">
      <alignment horizontal="center" vertical="center"/>
    </xf>
    <xf numFmtId="0" fontId="0" fillId="0" borderId="15" pivotButton="0" quotePrefix="0" xfId="0"/>
    <xf numFmtId="165" fontId="8" fillId="5" borderId="1" applyAlignment="1" pivotButton="0" quotePrefix="0" xfId="1">
      <alignment horizontal="center"/>
    </xf>
    <xf numFmtId="165" fontId="8" fillId="4" borderId="1" applyAlignment="1" pivotButton="0" quotePrefix="0" xfId="0">
      <alignment horizontal="center"/>
    </xf>
    <xf numFmtId="164" fontId="5" fillId="0" borderId="1" pivotButton="0" quotePrefix="0" xfId="1"/>
    <xf numFmtId="165" fontId="5" fillId="0" borderId="1" pivotButton="0" quotePrefix="0" xfId="1"/>
    <xf numFmtId="165" fontId="5" fillId="4" borderId="1" applyAlignment="1" pivotButton="0" quotePrefix="0" xfId="1">
      <alignment horizontal="center"/>
    </xf>
    <xf numFmtId="0" fontId="16" fillId="2" borderId="1" applyAlignment="1" pivotButton="0" quotePrefix="0" xfId="0">
      <alignment horizontal="center" vertical="center"/>
    </xf>
    <xf numFmtId="0" fontId="0" fillId="0" borderId="9" pivotButton="0" quotePrefix="0" xfId="0"/>
  </cellXfs>
  <cellStyles count="2">
    <cellStyle name="Normal" xfId="0" builtinId="0"/>
    <cellStyle name="Currency"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a:defRPr sz="1260" b="1" i="0" strike="noStrike" kern="1200" spc="100" baseline="0">
                <a:solidFill>
                  <a:schemeClr val="lt1">
                    <a:lumMod val="95000"/>
                  </a:schemeClr>
                </a:solidFill>
                <effectLst>
                  <a:outerShdw blurRad="50800" dist="38100" dir="5400000" algn="t" rotWithShape="0">
                    <a:prstClr val="black"/>
                  </a:outerShdw>
                </effectLst>
                <a:latin typeface="Caibri"/>
                <a:ea typeface="+mn-ea"/>
                <a:cs typeface="+mn-cs"/>
              </a:defRPr>
            </a:pPr>
            <a:r>
              <a:rPr lang="es-MX"/>
              <a:t>Plan de capacitación 1er trimestre &lt;año&gt;</a:t>
            </a:r>
          </a:p>
        </rich>
      </tx>
      <layout>
        <manualLayout>
          <xMode val="edge"/>
          <yMode val="edge"/>
          <wMode val="factor"/>
          <hMode val="factor"/>
          <x val="0.1136734470691163"/>
          <y val="0.04629629629629629"/>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a:defRPr sz="1260" b="1" i="0" strike="noStrike" kern="1200" spc="100" baseline="0">
              <a:solidFill>
                <a:schemeClr val="lt1">
                  <a:lumMod val="95000"/>
                </a:schemeClr>
              </a:solidFill>
              <effectLst>
                <a:outerShdw blurRad="50800" dist="38100" dir="5400000" algn="t" rotWithShape="0">
                  <a:prstClr val="black"/>
                </a:outerShdw>
              </effectLst>
              <a:latin typeface="Caibri"/>
              <a:ea typeface="+mn-ea"/>
              <a:cs typeface="+mn-cs"/>
            </a:defRPr>
          </a:pPr>
          <a:r>
            <a:t>None</a:t>
          </a:r>
          <a:endParaRPr lang="en-US"/>
        </a:p>
      </txPr>
    </title>
    <plotArea>
      <layout/>
      <barChart>
        <barDir val="bar"/>
        <grouping val="clustered"/>
        <varyColors val="0"/>
        <ser>
          <idx val="0"/>
          <order val="0"/>
          <tx>
            <strRef>
              <f>'3.-Informe trimestral'!$F$3:$H$3</f>
              <strCache>
                <ptCount val="3"/>
                <pt idx="0">
                  <v>Proyecto</v>
                </pt>
              </strCache>
            </strRef>
          </tx>
          <spPr>
            <a:gradFill xmlns:a="http://schemas.openxmlformats.org/drawingml/2006/main"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lt1">
                        <a:lumMod val="85000"/>
                      </a:schemeClr>
                    </a:solidFill>
                    <a:latin typeface="Caibri"/>
                    <a:ea typeface="+mn-ea"/>
                    <a:cs typeface="+mn-cs"/>
                  </a:defRPr>
                </a:pPr>
                <a:r>
                  <a:t>None</a:t>
                </a:r>
                <a:endParaRPr lang="en-US"/>
              </a:p>
            </txPr>
            <dLblPos val="outEnd"/>
            <showLegendKey val="0"/>
            <showVal val="1"/>
            <showCatName val="0"/>
            <showSerName val="0"/>
            <showPercent val="0"/>
            <showBubbleSize val="0"/>
            <showLeaderLines val="0"/>
          </dLbls>
          <cat>
            <strRef>
              <f>'3.-Informe trimestral'!$C$4:$D$4</f>
              <strCache>
                <ptCount val="2"/>
                <pt idx="0">
                  <v>Capacitaciones planeadas</v>
                </pt>
                <pt idx="1">
                  <v>Capacitaciones realizadas</v>
                </pt>
              </strCache>
            </strRef>
          </cat>
          <val>
            <numRef>
              <f>'3.-Informe trimestral'!$G$8:$H$8</f>
              <numCache>
                <formatCode>General</formatCode>
                <ptCount val="2"/>
                <pt idx="0">
                  <v>0</v>
                </pt>
                <pt idx="1">
                  <v>0</v>
                </pt>
              </numCache>
            </numRef>
          </val>
        </ser>
        <ser>
          <idx val="1"/>
          <order val="1"/>
          <tx>
            <strRef>
              <f>'3.-Informe trimestral'!$B$3</f>
              <strCache>
                <ptCount val="1"/>
                <pt idx="0">
                  <v>Estratégica</v>
                </pt>
              </strCache>
            </strRef>
          </tx>
          <spPr>
            <a:gradFill xmlns:a="http://schemas.openxmlformats.org/drawingml/2006/main"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xmlns:a="http://schemas.openxmlformats.org/drawingml/2006/main">
              <a:noFill/>
              <a:prstDash val="solid"/>
            </a:ln>
          </spPr>
          <invertIfNegative val="0"/>
          <dPt>
            <idx val="0"/>
            <invertIfNegative val="0"/>
            <bubble3D val="0"/>
            <spPr>
              <a:ln xmlns:a="http://schemas.openxmlformats.org/drawingml/2006/main">
                <a:prstDash val="solid"/>
              </a:ln>
            </spPr>
          </dPt>
          <dPt>
            <idx val="1"/>
            <invertIfNegative val="0"/>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lt1">
                        <a:lumMod val="85000"/>
                      </a:schemeClr>
                    </a:solidFill>
                    <a:latin typeface="Caibri"/>
                    <a:ea typeface="+mn-ea"/>
                    <a:cs typeface="+mn-cs"/>
                  </a:defRPr>
                </a:pPr>
                <a:r>
                  <a:t>None</a:t>
                </a:r>
                <a:endParaRPr lang="en-US"/>
              </a:p>
            </txPr>
            <dLblPos val="outEnd"/>
            <showLegendKey val="0"/>
            <showVal val="1"/>
            <showCatName val="0"/>
            <showSerName val="0"/>
            <showPercent val="0"/>
            <showBubbleSize val="0"/>
            <showLeaderLines val="0"/>
          </dLbls>
          <val>
            <numRef>
              <f>'3.-Informe trimestral'!$C$8:$D$8</f>
              <numCache>
                <formatCode>General</formatCode>
                <ptCount val="2"/>
                <pt idx="0">
                  <v>0</v>
                </pt>
                <pt idx="1">
                  <v>0</v>
                </pt>
              </numCache>
            </numRef>
          </val>
        </ser>
        <dLbls>
          <dLblPos val="outEnd"/>
          <showLegendKey val="0"/>
          <showVal val="1"/>
          <showCatName val="0"/>
          <showSerName val="0"/>
          <showPercent val="0"/>
          <showBubbleSize val="0"/>
        </dLbls>
        <gapWidth val="100"/>
        <axId val="1952391135"/>
        <axId val="77747167"/>
      </barChart>
      <catAx>
        <axId val="1952391135"/>
        <scaling>
          <orientation val="minMax"/>
        </scaling>
        <delete val="0"/>
        <axPos val="l"/>
        <numFmt formatCode="General" sourceLinked="1"/>
        <majorTickMark val="out"/>
        <minorTickMark val="none"/>
        <tickLblPos val="nextTo"/>
        <spPr>
          <a:noFill xmlns:a="http://schemas.openxmlformats.org/drawingml/2006/main"/>
          <a:ln xmlns:a="http://schemas.openxmlformats.org/drawingml/2006/main" w="12700" cap="flat" cmpd="sng" algn="ctr">
            <a:solidFill>
              <a:schemeClr val="lt1">
                <a:alpha val="54000"/>
                <a:lumMod val="9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lt1">
                    <a:lumMod val="85000"/>
                  </a:schemeClr>
                </a:solidFill>
                <a:latin typeface="Caibri"/>
                <a:ea typeface="+mn-ea"/>
                <a:cs typeface="+mn-cs"/>
              </a:defRPr>
            </a:pPr>
            <a:r>
              <a:t>None</a:t>
            </a:r>
            <a:endParaRPr lang="en-US"/>
          </a:p>
        </txPr>
        <crossAx val="77747167"/>
        <crosses val="autoZero"/>
        <auto val="1"/>
        <lblAlgn val="ctr"/>
        <lblOffset val="100"/>
        <noMultiLvlLbl val="0"/>
      </catAx>
      <valAx>
        <axId val="77747167"/>
        <scaling>
          <orientation val="minMax"/>
        </scaling>
        <delete val="0"/>
        <axPos val="b"/>
        <majorGridlines>
          <spPr>
            <a:ln xmlns:a="http://schemas.openxmlformats.org/drawingml/2006/main" w="9525" cap="flat" cmpd="sng" algn="ctr">
              <a:solidFill>
                <a:schemeClr val="lt1">
                  <a:alpha val="10000"/>
                  <a:lumMod val="95000"/>
                </a:schemeClr>
              </a:solidFill>
              <a:prstDash val="solid"/>
              <a:round/>
            </a:ln>
          </spPr>
        </majorGridlines>
        <numFmt formatCode="General" sourceLinked="1"/>
        <majorTickMark val="out"/>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lt1">
                    <a:lumMod val="85000"/>
                  </a:schemeClr>
                </a:solidFill>
                <a:latin typeface="Caibri"/>
                <a:ea typeface="+mn-ea"/>
                <a:cs typeface="+mn-cs"/>
              </a:defRPr>
            </a:pPr>
            <a:r>
              <a:t>None</a:t>
            </a:r>
            <a:endParaRPr lang="en-US"/>
          </a:p>
        </txPr>
        <crossAx val="1952391135"/>
        <crosses val="autoZero"/>
        <crossBetween val="between"/>
      </valAx>
    </plotArea>
    <plotVisOnly val="1"/>
    <dispBlanksAs val="gap"/>
  </chart>
  <spPr>
    <a:gradFill xmlns:a="http://schemas.openxmlformats.org/drawingml/2006/main" rotWithShape="1">
      <a:gsLst>
        <a:gs pos="0">
          <a:schemeClr val="dk1">
            <a:lumMod val="65000"/>
            <a:lumOff val="35000"/>
          </a:schemeClr>
        </a:gs>
        <a:gs pos="100000">
          <a:schemeClr val="dk1">
            <a:lumMod val="85000"/>
            <a:lumOff val="15000"/>
          </a:schemeClr>
        </a:gs>
      </a:gsLst>
      <a:path path="circle">
        <a:fillToRect l="50000" t="50000" r="50000" b="50000"/>
      </a:path>
      <a:tileRect/>
    </a:gra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a:defRPr sz="1260" b="1" i="0" strike="noStrike" kern="1200" spc="100" baseline="0">
                <a:solidFill>
                  <a:schemeClr val="lt1">
                    <a:lumMod val="95000"/>
                  </a:schemeClr>
                </a:solidFill>
                <effectLst>
                  <a:outerShdw blurRad="50800" dist="38100" dir="5400000" algn="t" rotWithShape="0">
                    <a:prstClr val="black"/>
                  </a:outerShdw>
                </effectLst>
                <a:latin typeface="Calibri" panose="020F0502020204030204" pitchFamily="34" charset="0"/>
                <a:ea typeface="+mn-ea"/>
                <a:cs typeface="Calibri" panose="020F0502020204030204" pitchFamily="34" charset="0"/>
              </a:defRPr>
            </a:pPr>
            <a:r>
              <a:rPr lang="es-MX"/>
              <a:t>Plan de capacitación 2do trimestre &lt;año&gt;</a:t>
            </a:r>
          </a:p>
        </rich>
      </tx>
      <layout>
        <manualLayout>
          <xMode val="edge"/>
          <yMode val="edge"/>
          <wMode val="factor"/>
          <hMode val="factor"/>
          <x val="0.1136734470691163"/>
          <y val="0.04629629629629629"/>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a:defRPr sz="1260" b="1" i="0" strike="noStrike" kern="1200" spc="100" baseline="0">
              <a:solidFill>
                <a:schemeClr val="lt1">
                  <a:lumMod val="95000"/>
                </a:schemeClr>
              </a:solidFill>
              <effectLst>
                <a:outerShdw blurRad="50800" dist="38100" dir="5400000" algn="t" rotWithShape="0">
                  <a:prstClr val="black"/>
                </a:outerShdw>
              </effectLst>
              <a:latin typeface="Calibri" panose="020F0502020204030204" pitchFamily="34" charset="0"/>
              <a:ea typeface="+mn-ea"/>
              <a:cs typeface="Calibri" panose="020F0502020204030204" pitchFamily="34" charset="0"/>
            </a:defRPr>
          </a:pPr>
          <a:r>
            <a:t>None</a:t>
          </a:r>
          <a:endParaRPr lang="en-US"/>
        </a:p>
      </txPr>
    </title>
    <plotArea>
      <layout/>
      <barChart>
        <barDir val="bar"/>
        <grouping val="clustered"/>
        <varyColors val="0"/>
        <ser>
          <idx val="0"/>
          <order val="0"/>
          <tx>
            <strRef>
              <f>'3.-Informe trimestral'!$F$3</f>
              <strCache>
                <ptCount val="1"/>
                <pt idx="0">
                  <v>Proyecto</v>
                </pt>
              </strCache>
            </strRef>
          </tx>
          <spPr>
            <a:gradFill xmlns:a="http://schemas.openxmlformats.org/drawingml/2006/main"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r>
                  <a:t>None</a:t>
                </a:r>
                <a:endParaRPr lang="en-US"/>
              </a:p>
            </txPr>
            <dLblPos val="outEnd"/>
            <showLegendKey val="0"/>
            <showVal val="1"/>
            <showCatName val="0"/>
            <showSerName val="0"/>
            <showPercent val="0"/>
            <showBubbleSize val="0"/>
            <showLeaderLines val="0"/>
          </dLbls>
          <cat>
            <strRef>
              <f>'3.-Informe trimestral'!$C$4:$D$4</f>
              <strCache>
                <ptCount val="2"/>
                <pt idx="0">
                  <v>Capacitaciones planeadas</v>
                </pt>
                <pt idx="1">
                  <v>Capacitaciones realizadas</v>
                </pt>
              </strCache>
            </strRef>
          </cat>
          <val>
            <numRef>
              <f>'3.-Informe trimestral'!$G$12:$H$12</f>
              <numCache>
                <formatCode>General</formatCode>
                <ptCount val="2"/>
                <pt idx="0">
                  <v>0</v>
                </pt>
                <pt idx="1">
                  <v>0</v>
                </pt>
              </numCache>
            </numRef>
          </val>
        </ser>
        <ser>
          <idx val="1"/>
          <order val="1"/>
          <tx>
            <strRef>
              <f>'3.-Informe trimestral'!$B$3</f>
              <strCache>
                <ptCount val="1"/>
                <pt idx="0">
                  <v>Estratégica</v>
                </pt>
              </strCache>
            </strRef>
          </tx>
          <spPr>
            <a:gradFill xmlns:a="http://schemas.openxmlformats.org/drawingml/2006/main"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r>
                  <a:t>None</a:t>
                </a:r>
                <a:endParaRPr lang="en-US"/>
              </a:p>
            </txPr>
            <dLblPos val="outEnd"/>
            <showLegendKey val="0"/>
            <showVal val="1"/>
            <showCatName val="0"/>
            <showSerName val="0"/>
            <showPercent val="0"/>
            <showBubbleSize val="0"/>
            <showLeaderLines val="0"/>
          </dLbls>
          <val>
            <numRef>
              <f>'3.-Informe trimestral'!$C$12:$D$12</f>
              <numCache>
                <formatCode>General</formatCode>
                <ptCount val="2"/>
                <pt idx="0">
                  <v>0</v>
                </pt>
                <pt idx="1">
                  <v>0</v>
                </pt>
              </numCache>
            </numRef>
          </val>
        </ser>
        <dLbls>
          <dLblPos val="outEnd"/>
          <showLegendKey val="0"/>
          <showVal val="1"/>
          <showCatName val="0"/>
          <showSerName val="0"/>
          <showPercent val="0"/>
          <showBubbleSize val="0"/>
        </dLbls>
        <gapWidth val="100"/>
        <axId val="1952391135"/>
        <axId val="77747167"/>
      </barChart>
      <catAx>
        <axId val="1952391135"/>
        <scaling>
          <orientation val="minMax"/>
        </scaling>
        <delete val="0"/>
        <axPos val="l"/>
        <numFmt formatCode="General" sourceLinked="1"/>
        <majorTickMark val="out"/>
        <minorTickMark val="none"/>
        <tickLblPos val="nextTo"/>
        <spPr>
          <a:noFill xmlns:a="http://schemas.openxmlformats.org/drawingml/2006/main"/>
          <a:ln xmlns:a="http://schemas.openxmlformats.org/drawingml/2006/main" w="12700" cap="flat" cmpd="sng" algn="ctr">
            <a:solidFill>
              <a:schemeClr val="lt1">
                <a:alpha val="54000"/>
                <a:lumMod val="9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r>
              <a:t>None</a:t>
            </a:r>
            <a:endParaRPr lang="en-US"/>
          </a:p>
        </txPr>
        <crossAx val="77747167"/>
        <crosses val="autoZero"/>
        <auto val="1"/>
        <lblAlgn val="ctr"/>
        <lblOffset val="100"/>
        <noMultiLvlLbl val="0"/>
      </catAx>
      <valAx>
        <axId val="77747167"/>
        <scaling>
          <orientation val="minMax"/>
        </scaling>
        <delete val="0"/>
        <axPos val="b"/>
        <majorGridlines>
          <spPr>
            <a:ln xmlns:a="http://schemas.openxmlformats.org/drawingml/2006/main" w="9525" cap="flat" cmpd="sng" algn="ctr">
              <a:solidFill>
                <a:schemeClr val="lt1">
                  <a:alpha val="10000"/>
                  <a:lumMod val="95000"/>
                </a:schemeClr>
              </a:solidFill>
              <a:prstDash val="solid"/>
              <a:round/>
            </a:ln>
          </spPr>
        </majorGridlines>
        <numFmt formatCode="General" sourceLinked="1"/>
        <majorTickMark val="out"/>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r>
              <a:t>None</a:t>
            </a:r>
            <a:endParaRPr lang="en-US"/>
          </a:p>
        </txPr>
        <crossAx val="1952391135"/>
        <crosses val="autoZero"/>
        <crossBetween val="between"/>
      </valAx>
    </plotArea>
    <plotVisOnly val="1"/>
    <dispBlanksAs val="gap"/>
  </chart>
  <spPr>
    <a:gradFill xmlns:a="http://schemas.openxmlformats.org/drawingml/2006/main" rotWithShape="1">
      <a:gsLst>
        <a:gs pos="0">
          <a:schemeClr val="dk1">
            <a:lumMod val="65000"/>
            <a:lumOff val="35000"/>
          </a:schemeClr>
        </a:gs>
        <a:gs pos="100000">
          <a:schemeClr val="dk1">
            <a:lumMod val="85000"/>
            <a:lumOff val="15000"/>
          </a:schemeClr>
        </a:gs>
      </a:gsLst>
      <a:path path="circle">
        <a:fillToRect l="50000" t="50000" r="50000" b="50000"/>
      </a:path>
      <a:tileRect/>
    </a:gradFill>
    <a:ln xmlns:a="http://schemas.openxmlformats.org/drawingml/2006/main">
      <a:noFill/>
      <a:prstDash val="soli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a:defRPr sz="1260" b="1" i="0" strike="noStrike" kern="1200" spc="100" baseline="0">
                <a:solidFill>
                  <a:schemeClr val="lt1">
                    <a:lumMod val="95000"/>
                  </a:schemeClr>
                </a:solidFill>
                <effectLst>
                  <a:outerShdw blurRad="50800" dist="38100" dir="5400000" algn="t" rotWithShape="0">
                    <a:prstClr val="black"/>
                  </a:outerShdw>
                </effectLst>
                <a:latin typeface="Calibri" panose="020F0502020204030204" pitchFamily="34" charset="0"/>
                <a:ea typeface="+mn-ea"/>
                <a:cs typeface="Calibri" panose="020F0502020204030204" pitchFamily="34" charset="0"/>
              </a:defRPr>
            </a:pPr>
            <a:r>
              <a:rPr lang="es-MX"/>
              <a:t>Plan de capacitación 3er trimestre &lt;año&gt;</a:t>
            </a:r>
          </a:p>
        </rich>
      </tx>
      <layout>
        <manualLayout>
          <xMode val="edge"/>
          <yMode val="edge"/>
          <wMode val="factor"/>
          <hMode val="factor"/>
          <x val="0.1136734470691163"/>
          <y val="0.04629629629629629"/>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a:defRPr sz="1260" b="1" i="0" strike="noStrike" kern="1200" spc="100" baseline="0">
              <a:solidFill>
                <a:schemeClr val="lt1">
                  <a:lumMod val="95000"/>
                </a:schemeClr>
              </a:solidFill>
              <effectLst>
                <a:outerShdw blurRad="50800" dist="38100" dir="5400000" algn="t" rotWithShape="0">
                  <a:prstClr val="black"/>
                </a:outerShdw>
              </effectLst>
              <a:latin typeface="Calibri" panose="020F0502020204030204" pitchFamily="34" charset="0"/>
              <a:ea typeface="+mn-ea"/>
              <a:cs typeface="Calibri" panose="020F0502020204030204" pitchFamily="34" charset="0"/>
            </a:defRPr>
          </a:pPr>
          <a:r>
            <a:t>None</a:t>
          </a:r>
          <a:endParaRPr lang="en-US"/>
        </a:p>
      </txPr>
    </title>
    <plotArea>
      <layout/>
      <barChart>
        <barDir val="bar"/>
        <grouping val="clustered"/>
        <varyColors val="0"/>
        <ser>
          <idx val="0"/>
          <order val="0"/>
          <tx>
            <strRef>
              <f>'3.-Informe trimestral'!$F$3</f>
              <strCache>
                <ptCount val="1"/>
                <pt idx="0">
                  <v>Proyecto</v>
                </pt>
              </strCache>
            </strRef>
          </tx>
          <spPr>
            <a:gradFill xmlns:a="http://schemas.openxmlformats.org/drawingml/2006/main"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r>
                  <a:t>None</a:t>
                </a:r>
                <a:endParaRPr lang="en-US"/>
              </a:p>
            </txPr>
            <dLblPos val="outEnd"/>
            <showLegendKey val="0"/>
            <showVal val="1"/>
            <showCatName val="0"/>
            <showSerName val="0"/>
            <showPercent val="0"/>
            <showBubbleSize val="0"/>
            <showLeaderLines val="0"/>
          </dLbls>
          <cat>
            <strRef>
              <f>'3.-Informe trimestral'!$C$4:$D$4</f>
              <strCache>
                <ptCount val="2"/>
                <pt idx="0">
                  <v>Capacitaciones planeadas</v>
                </pt>
                <pt idx="1">
                  <v>Capacitaciones realizadas</v>
                </pt>
              </strCache>
            </strRef>
          </cat>
          <val>
            <numRef>
              <f>'3.-Informe trimestral'!$G$16:$H$16</f>
              <numCache>
                <formatCode>General</formatCode>
                <ptCount val="2"/>
                <pt idx="0">
                  <v>0</v>
                </pt>
                <pt idx="1">
                  <v>0</v>
                </pt>
              </numCache>
            </numRef>
          </val>
        </ser>
        <ser>
          <idx val="1"/>
          <order val="1"/>
          <tx>
            <strRef>
              <f>'3.-Informe trimestral'!$B$3</f>
              <strCache>
                <ptCount val="1"/>
                <pt idx="0">
                  <v>Estratégica</v>
                </pt>
              </strCache>
            </strRef>
          </tx>
          <spPr>
            <a:gradFill xmlns:a="http://schemas.openxmlformats.org/drawingml/2006/main"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r>
                  <a:t>None</a:t>
                </a:r>
                <a:endParaRPr lang="en-US"/>
              </a:p>
            </txPr>
            <dLblPos val="outEnd"/>
            <showLegendKey val="0"/>
            <showVal val="1"/>
            <showCatName val="0"/>
            <showSerName val="0"/>
            <showPercent val="0"/>
            <showBubbleSize val="0"/>
            <showLeaderLines val="0"/>
          </dLbls>
          <val>
            <numRef>
              <f>'3.-Informe trimestral'!$C$16:$D$16</f>
              <numCache>
                <formatCode>General</formatCode>
                <ptCount val="2"/>
                <pt idx="0">
                  <v>0</v>
                </pt>
                <pt idx="1">
                  <v>0</v>
                </pt>
              </numCache>
            </numRef>
          </val>
        </ser>
        <dLbls>
          <dLblPos val="outEnd"/>
          <showLegendKey val="0"/>
          <showVal val="1"/>
          <showCatName val="0"/>
          <showSerName val="0"/>
          <showPercent val="0"/>
          <showBubbleSize val="0"/>
        </dLbls>
        <gapWidth val="100"/>
        <axId val="1952391135"/>
        <axId val="77747167"/>
      </barChart>
      <catAx>
        <axId val="1952391135"/>
        <scaling>
          <orientation val="minMax"/>
        </scaling>
        <delete val="0"/>
        <axPos val="l"/>
        <numFmt formatCode="General" sourceLinked="1"/>
        <majorTickMark val="out"/>
        <minorTickMark val="none"/>
        <tickLblPos val="nextTo"/>
        <spPr>
          <a:noFill xmlns:a="http://schemas.openxmlformats.org/drawingml/2006/main"/>
          <a:ln xmlns:a="http://schemas.openxmlformats.org/drawingml/2006/main" w="12700" cap="flat" cmpd="sng" algn="ctr">
            <a:solidFill>
              <a:schemeClr val="lt1">
                <a:alpha val="54000"/>
                <a:lumMod val="9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r>
              <a:t>None</a:t>
            </a:r>
            <a:endParaRPr lang="en-US"/>
          </a:p>
        </txPr>
        <crossAx val="77747167"/>
        <crosses val="autoZero"/>
        <auto val="1"/>
        <lblAlgn val="ctr"/>
        <lblOffset val="100"/>
        <noMultiLvlLbl val="0"/>
      </catAx>
      <valAx>
        <axId val="77747167"/>
        <scaling>
          <orientation val="minMax"/>
        </scaling>
        <delete val="0"/>
        <axPos val="b"/>
        <majorGridlines>
          <spPr>
            <a:ln xmlns:a="http://schemas.openxmlformats.org/drawingml/2006/main" w="9525" cap="flat" cmpd="sng" algn="ctr">
              <a:solidFill>
                <a:schemeClr val="lt1">
                  <a:alpha val="10000"/>
                  <a:lumMod val="95000"/>
                </a:schemeClr>
              </a:solidFill>
              <a:prstDash val="solid"/>
              <a:round/>
            </a:ln>
          </spPr>
        </majorGridlines>
        <numFmt formatCode="General" sourceLinked="1"/>
        <majorTickMark val="out"/>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r>
              <a:t>None</a:t>
            </a:r>
            <a:endParaRPr lang="en-US"/>
          </a:p>
        </txPr>
        <crossAx val="1952391135"/>
        <crosses val="autoZero"/>
        <crossBetween val="between"/>
      </valAx>
    </plotArea>
    <plotVisOnly val="1"/>
    <dispBlanksAs val="gap"/>
  </chart>
  <spPr>
    <a:gradFill xmlns:a="http://schemas.openxmlformats.org/drawingml/2006/main" rotWithShape="1">
      <a:gsLst>
        <a:gs pos="0">
          <a:schemeClr val="dk1">
            <a:lumMod val="65000"/>
            <a:lumOff val="35000"/>
          </a:schemeClr>
        </a:gs>
        <a:gs pos="100000">
          <a:schemeClr val="dk1">
            <a:lumMod val="85000"/>
            <a:lumOff val="15000"/>
          </a:schemeClr>
        </a:gs>
      </a:gsLst>
      <a:path path="circle">
        <a:fillToRect l="50000" t="50000" r="50000" b="50000"/>
      </a:path>
      <a:tileRect/>
    </a:gradFill>
    <a:ln xmlns:a="http://schemas.openxmlformats.org/drawingml/2006/main">
      <a:noFill/>
      <a:prstDash val="soli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a:defRPr sz="1260" b="1" i="0" strike="noStrike" kern="1200" spc="100" baseline="0">
                <a:solidFill>
                  <a:schemeClr val="lt1">
                    <a:lumMod val="95000"/>
                  </a:schemeClr>
                </a:solidFill>
                <effectLst>
                  <a:outerShdw blurRad="50800" dist="38100" dir="5400000" algn="t" rotWithShape="0">
                    <a:prstClr val="black"/>
                  </a:outerShdw>
                </effectLst>
                <a:latin typeface="Calibri" panose="020F0502020204030204" pitchFamily="34" charset="0"/>
                <a:ea typeface="+mn-ea"/>
                <a:cs typeface="Calibri" panose="020F0502020204030204" pitchFamily="34" charset="0"/>
              </a:defRPr>
            </a:pPr>
            <a:r>
              <a:rPr lang="es-MX"/>
              <a:t>Plan de capacitación 4to trimestre &lt;año&gt;</a:t>
            </a:r>
          </a:p>
        </rich>
      </tx>
      <layout>
        <manualLayout>
          <xMode val="edge"/>
          <yMode val="edge"/>
          <wMode val="factor"/>
          <hMode val="factor"/>
          <x val="0.1136734470691163"/>
          <y val="0.04629629629629629"/>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a:defRPr sz="1260" b="1" i="0" strike="noStrike" kern="1200" spc="100" baseline="0">
              <a:solidFill>
                <a:schemeClr val="lt1">
                  <a:lumMod val="95000"/>
                </a:schemeClr>
              </a:solidFill>
              <effectLst>
                <a:outerShdw blurRad="50800" dist="38100" dir="5400000" algn="t" rotWithShape="0">
                  <a:prstClr val="black"/>
                </a:outerShdw>
              </effectLst>
              <a:latin typeface="Calibri" panose="020F0502020204030204" pitchFamily="34" charset="0"/>
              <a:ea typeface="+mn-ea"/>
              <a:cs typeface="Calibri" panose="020F0502020204030204" pitchFamily="34" charset="0"/>
            </a:defRPr>
          </a:pPr>
          <a:r>
            <a:t>None</a:t>
          </a:r>
          <a:endParaRPr lang="en-US"/>
        </a:p>
      </txPr>
    </title>
    <plotArea>
      <layout/>
      <barChart>
        <barDir val="bar"/>
        <grouping val="clustered"/>
        <varyColors val="0"/>
        <ser>
          <idx val="0"/>
          <order val="0"/>
          <tx>
            <strRef>
              <f>'3.-Informe trimestral'!$F$3</f>
              <strCache>
                <ptCount val="1"/>
                <pt idx="0">
                  <v>Proyecto</v>
                </pt>
              </strCache>
            </strRef>
          </tx>
          <spPr>
            <a:gradFill xmlns:a="http://schemas.openxmlformats.org/drawingml/2006/main"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r>
                  <a:t>None</a:t>
                </a:r>
                <a:endParaRPr lang="en-US"/>
              </a:p>
            </txPr>
            <dLblPos val="outEnd"/>
            <showLegendKey val="0"/>
            <showVal val="1"/>
            <showCatName val="0"/>
            <showSerName val="0"/>
            <showPercent val="0"/>
            <showBubbleSize val="0"/>
            <showLeaderLines val="0"/>
          </dLbls>
          <cat>
            <strRef>
              <f>'3.-Informe trimestral'!$C$4:$D$4</f>
              <strCache>
                <ptCount val="2"/>
                <pt idx="0">
                  <v>Capacitaciones planeadas</v>
                </pt>
                <pt idx="1">
                  <v>Capacitaciones realizadas</v>
                </pt>
              </strCache>
            </strRef>
          </cat>
          <val>
            <numRef>
              <f>'3.-Informe trimestral'!$G$20:$H$20</f>
              <numCache>
                <formatCode>General</formatCode>
                <ptCount val="2"/>
                <pt idx="0">
                  <v>0</v>
                </pt>
                <pt idx="1">
                  <v>0</v>
                </pt>
              </numCache>
            </numRef>
          </val>
        </ser>
        <ser>
          <idx val="1"/>
          <order val="1"/>
          <tx>
            <strRef>
              <f>'3.-Informe trimestral'!$B$3</f>
              <strCache>
                <ptCount val="1"/>
                <pt idx="0">
                  <v>Estratégica</v>
                </pt>
              </strCache>
            </strRef>
          </tx>
          <spPr>
            <a:gradFill xmlns:a="http://schemas.openxmlformats.org/drawingml/2006/main"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r>
                  <a:t>None</a:t>
                </a:r>
                <a:endParaRPr lang="en-US"/>
              </a:p>
            </txPr>
            <dLblPos val="outEnd"/>
            <showLegendKey val="0"/>
            <showVal val="1"/>
            <showCatName val="0"/>
            <showSerName val="0"/>
            <showPercent val="0"/>
            <showBubbleSize val="0"/>
            <showLeaderLines val="0"/>
          </dLbls>
          <val>
            <numRef>
              <f>'3.-Informe trimestral'!$C$20:$D$20</f>
              <numCache>
                <formatCode>General</formatCode>
                <ptCount val="2"/>
                <pt idx="0">
                  <v>0</v>
                </pt>
                <pt idx="1">
                  <v>0</v>
                </pt>
              </numCache>
            </numRef>
          </val>
        </ser>
        <dLbls>
          <dLblPos val="outEnd"/>
          <showLegendKey val="0"/>
          <showVal val="1"/>
          <showCatName val="0"/>
          <showSerName val="0"/>
          <showPercent val="0"/>
          <showBubbleSize val="0"/>
        </dLbls>
        <gapWidth val="100"/>
        <axId val="1952391135"/>
        <axId val="77747167"/>
      </barChart>
      <catAx>
        <axId val="1952391135"/>
        <scaling>
          <orientation val="minMax"/>
        </scaling>
        <delete val="0"/>
        <axPos val="l"/>
        <numFmt formatCode="General" sourceLinked="1"/>
        <majorTickMark val="out"/>
        <minorTickMark val="none"/>
        <tickLblPos val="nextTo"/>
        <spPr>
          <a:noFill xmlns:a="http://schemas.openxmlformats.org/drawingml/2006/main"/>
          <a:ln xmlns:a="http://schemas.openxmlformats.org/drawingml/2006/main" w="12700" cap="flat" cmpd="sng" algn="ctr">
            <a:solidFill>
              <a:schemeClr val="lt1">
                <a:alpha val="54000"/>
                <a:lumMod val="9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r>
              <a:t>None</a:t>
            </a:r>
            <a:endParaRPr lang="en-US"/>
          </a:p>
        </txPr>
        <crossAx val="77747167"/>
        <crosses val="autoZero"/>
        <auto val="1"/>
        <lblAlgn val="ctr"/>
        <lblOffset val="100"/>
        <noMultiLvlLbl val="0"/>
      </catAx>
      <valAx>
        <axId val="77747167"/>
        <scaling>
          <orientation val="minMax"/>
        </scaling>
        <delete val="0"/>
        <axPos val="b"/>
        <majorGridlines>
          <spPr>
            <a:ln xmlns:a="http://schemas.openxmlformats.org/drawingml/2006/main" w="9525" cap="flat" cmpd="sng" algn="ctr">
              <a:solidFill>
                <a:schemeClr val="lt1">
                  <a:alpha val="10000"/>
                  <a:lumMod val="95000"/>
                </a:schemeClr>
              </a:solidFill>
              <a:prstDash val="solid"/>
              <a:round/>
            </a:ln>
          </spPr>
        </majorGridlines>
        <numFmt formatCode="General" sourceLinked="1"/>
        <majorTickMark val="out"/>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r>
              <a:t>None</a:t>
            </a:r>
            <a:endParaRPr lang="en-US"/>
          </a:p>
        </txPr>
        <crossAx val="1952391135"/>
        <crosses val="autoZero"/>
        <crossBetween val="between"/>
      </valAx>
    </plotArea>
    <plotVisOnly val="1"/>
    <dispBlanksAs val="gap"/>
  </chart>
  <spPr>
    <a:gradFill xmlns:a="http://schemas.openxmlformats.org/drawingml/2006/main" rotWithShape="1">
      <a:gsLst>
        <a:gs pos="0">
          <a:schemeClr val="dk1">
            <a:lumMod val="65000"/>
            <a:lumOff val="35000"/>
          </a:schemeClr>
        </a:gs>
        <a:gs pos="100000">
          <a:schemeClr val="dk1">
            <a:lumMod val="85000"/>
            <a:lumOff val="15000"/>
          </a:schemeClr>
        </a:gs>
      </a:gsLst>
      <a:path path="circle">
        <a:fillToRect l="50000" t="50000" r="50000" b="50000"/>
      </a:path>
      <a:tileRect/>
    </a:gradFill>
    <a:ln xmlns:a="http://schemas.openxmlformats.org/drawingml/2006/main">
      <a:noFill/>
      <a:prstDash val="soli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spc="100" baseline="0">
                <a:solidFill>
                  <a:schemeClr val="lt1">
                    <a:lumMod val="95000"/>
                  </a:schemeClr>
                </a:solidFill>
                <effectLst>
                  <a:outerShdw blurRad="50800" dist="38100" dir="5400000" algn="t" rotWithShape="0">
                    <a:prstClr val="black"/>
                  </a:outerShdw>
                </effectLst>
                <a:latin typeface="+mn-lt"/>
                <a:ea typeface="+mn-ea"/>
                <a:cs typeface="+mn-cs"/>
              </a:defRPr>
            </a:pPr>
            <a:r>
              <a:rPr lang="es-MX"/>
              <a:t>Estratégica</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spc="100" baseline="0">
              <a:solidFill>
                <a:schemeClr val="lt1">
                  <a:lumMod val="95000"/>
                </a:schemeClr>
              </a:solidFill>
              <effectLst>
                <a:outerShdw blurRad="50800" dist="38100" dir="5400000" algn="t" rotWithShape="0">
                  <a:prstClr val="black"/>
                </a:outerShdw>
              </effectLst>
              <a:latin typeface="+mn-lt"/>
              <a:ea typeface="+mn-ea"/>
              <a:cs typeface="+mn-cs"/>
            </a:defRPr>
          </a:pPr>
          <a:r>
            <a:t>None</a:t>
          </a:r>
          <a:endParaRPr lang="en-US"/>
        </a:p>
      </txPr>
    </title>
    <plotArea>
      <layout/>
      <barChart>
        <barDir val="bar"/>
        <grouping val="clustered"/>
        <varyColors val="0"/>
        <ser>
          <idx val="0"/>
          <order val="0"/>
          <tx>
            <strRef>
              <f>'3.1.- Informe Cuatrimestral'!$B$2:$B$3</f>
              <strCache>
                <ptCount val="2"/>
                <pt idx="0">
                  <v>Estratégica</v>
                </pt>
                <pt idx="1">
                  <v>Capacitaciones planeadas</v>
                </pt>
              </strCache>
            </strRef>
          </tx>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lt1">
                        <a:lumMod val="8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strRef>
              <f>('3.1.- Informe Cuatrimestral'!$A$8,'3.1.- Informe Cuatrimestral'!$A$13,'3.1.- Informe Cuatrimestral'!$A$18)</f>
              <strCache>
                <ptCount val="3"/>
                <pt idx="0">
                  <v>1er cuatrimestre</v>
                </pt>
                <pt idx="1">
                  <v>2do cuatrimestre</v>
                </pt>
                <pt idx="2">
                  <v>3er cuatrimestre</v>
                </pt>
              </strCache>
            </strRef>
          </cat>
          <val>
            <numRef>
              <f>('3.1.- Informe Cuatrimestral'!$B$8,'3.1.- Informe Cuatrimestral'!$B$13,'3.1.- Informe Cuatrimestral'!$B$18)</f>
              <numCache>
                <formatCode>General</formatCode>
                <ptCount val="3"/>
                <pt idx="0">
                  <v>2</v>
                </pt>
                <pt idx="1">
                  <v>4</v>
                </pt>
                <pt idx="2">
                  <v>5</v>
                </pt>
              </numCache>
            </numRef>
          </val>
        </ser>
        <ser>
          <idx val="1"/>
          <order val="1"/>
          <tx>
            <strRef>
              <f>'3.1.- Informe Cuatrimestral'!$C$2:$C$3</f>
              <strCache>
                <ptCount val="2"/>
                <pt idx="0">
                  <v>Estratégica</v>
                </pt>
                <pt idx="1">
                  <v>Capacitaciones realizadas</v>
                </pt>
              </strCache>
            </strRef>
          </tx>
          <spPr>
            <a:gradFill xmlns:a="http://schemas.openxmlformats.org/drawingml/2006/main"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lt1">
                        <a:lumMod val="8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strRef>
              <f>('3.1.- Informe Cuatrimestral'!$A$8,'3.1.- Informe Cuatrimestral'!$A$13,'3.1.- Informe Cuatrimestral'!$A$18)</f>
              <strCache>
                <ptCount val="3"/>
                <pt idx="0">
                  <v>1er cuatrimestre</v>
                </pt>
                <pt idx="1">
                  <v>2do cuatrimestre</v>
                </pt>
                <pt idx="2">
                  <v>3er cuatrimestre</v>
                </pt>
              </strCache>
            </strRef>
          </cat>
          <val>
            <numRef>
              <f>('3.1.- Informe Cuatrimestral'!$C$8,'3.1.- Informe Cuatrimestral'!$C$13,'3.1.- Informe Cuatrimestral'!$C$18)</f>
              <numCache>
                <formatCode>General</formatCode>
                <ptCount val="3"/>
                <pt idx="0">
                  <v>2</v>
                </pt>
                <pt idx="1">
                  <v>4</v>
                </pt>
                <pt idx="2">
                  <v>5</v>
                </pt>
              </numCache>
            </numRef>
          </val>
        </ser>
        <dLbls>
          <dLblPos val="outEnd"/>
          <showLegendKey val="0"/>
          <showVal val="1"/>
          <showCatName val="0"/>
          <showSerName val="0"/>
          <showPercent val="0"/>
          <showBubbleSize val="0"/>
        </dLbls>
        <gapWidth val="115"/>
        <overlap val="-20"/>
        <axId val="1019719504"/>
        <axId val="538424112"/>
      </barChart>
      <catAx>
        <axId val="1019719504"/>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12700" cap="flat" cmpd="sng" algn="ctr">
            <a:solidFill>
              <a:schemeClr val="lt1">
                <a:alpha val="54000"/>
                <a:lumMod val="9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lumMod val="85000"/>
                  </a:schemeClr>
                </a:solidFill>
                <a:latin typeface="+mn-lt"/>
                <a:ea typeface="+mn-ea"/>
                <a:cs typeface="+mn-cs"/>
              </a:defRPr>
            </a:pPr>
            <a:r>
              <a:t>None</a:t>
            </a:r>
            <a:endParaRPr lang="en-US"/>
          </a:p>
        </txPr>
        <crossAx val="538424112"/>
        <crosses val="autoZero"/>
        <auto val="1"/>
        <lblAlgn val="ctr"/>
        <lblOffset val="100"/>
        <noMultiLvlLbl val="0"/>
      </catAx>
      <valAx>
        <axId val="538424112"/>
        <scaling>
          <orientation val="minMax"/>
        </scaling>
        <delete val="0"/>
        <axPos val="b"/>
        <majorGridlines>
          <spPr>
            <a:ln xmlns:a="http://schemas.openxmlformats.org/drawingml/2006/main" w="9525" cap="flat" cmpd="sng" algn="ctr">
              <a:solidFill>
                <a:schemeClr val="lt1">
                  <a:alpha val="10000"/>
                  <a:lumMod val="9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lumMod val="85000"/>
                  </a:schemeClr>
                </a:solidFill>
                <a:latin typeface="+mn-lt"/>
                <a:ea typeface="+mn-ea"/>
                <a:cs typeface="+mn-cs"/>
              </a:defRPr>
            </a:pPr>
            <a:r>
              <a:t>None</a:t>
            </a:r>
            <a:endParaRPr lang="en-US"/>
          </a:p>
        </txPr>
        <crossAx val="1019719504"/>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lumMod val="85000"/>
                </a:schemeClr>
              </a:solidFill>
              <a:latin typeface="+mn-lt"/>
              <a:ea typeface="+mn-ea"/>
              <a:cs typeface="+mn-cs"/>
            </a:defRPr>
          </a:pPr>
          <a:r>
            <a:t>None</a:t>
          </a:r>
          <a:endParaRPr lang="en-US"/>
        </a:p>
      </txPr>
    </legend>
    <plotVisOnly val="1"/>
    <dispBlanksAs val="gap"/>
  </chart>
  <spPr>
    <a:gradFill xmlns:a="http://schemas.openxmlformats.org/drawingml/2006/main" rotWithShape="1">
      <a:gsLst>
        <a:gs pos="0">
          <a:schemeClr val="dk1">
            <a:lumMod val="65000"/>
            <a:lumOff val="35000"/>
          </a:schemeClr>
        </a:gs>
        <a:gs pos="100000">
          <a:schemeClr val="dk1">
            <a:lumMod val="85000"/>
            <a:lumOff val="15000"/>
          </a:schemeClr>
        </a:gs>
      </a:gsLst>
      <a:path path="circle">
        <a:fillToRect l="50000" t="50000" r="50000" b="50000"/>
      </a:path>
      <a:tileRect/>
    </a:gradFill>
    <a:ln xmlns:a="http://schemas.openxmlformats.org/drawingml/2006/main">
      <a:noFill/>
      <a:prstDash val="soli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spc="100" baseline="0">
                <a:solidFill>
                  <a:schemeClr val="lt1">
                    <a:lumMod val="95000"/>
                  </a:schemeClr>
                </a:solidFill>
                <effectLst>
                  <a:outerShdw blurRad="50800" dist="38100" dir="5400000" algn="t" rotWithShape="0">
                    <a:prstClr val="black"/>
                  </a:outerShdw>
                </effectLst>
                <a:latin typeface="+mn-lt"/>
                <a:ea typeface="+mn-ea"/>
                <a:cs typeface="+mn-cs"/>
              </a:defRPr>
            </a:pPr>
            <a:r>
              <a:rPr lang="es-MX"/>
              <a:t>Proyecto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spc="100" baseline="0">
              <a:solidFill>
                <a:schemeClr val="lt1">
                  <a:lumMod val="95000"/>
                </a:schemeClr>
              </a:solidFill>
              <effectLst>
                <a:outerShdw blurRad="50800" dist="38100" dir="5400000" algn="t" rotWithShape="0">
                  <a:prstClr val="black"/>
                </a:outerShdw>
              </effectLst>
              <a:latin typeface="+mn-lt"/>
              <a:ea typeface="+mn-ea"/>
              <a:cs typeface="+mn-cs"/>
            </a:defRPr>
          </a:pPr>
          <a:r>
            <a:t>None</a:t>
          </a:r>
          <a:endParaRPr lang="en-US"/>
        </a:p>
      </txPr>
    </title>
    <plotArea>
      <layout/>
      <barChart>
        <barDir val="bar"/>
        <grouping val="clustered"/>
        <varyColors val="0"/>
        <ser>
          <idx val="0"/>
          <order val="0"/>
          <tx>
            <strRef>
              <f>'3.1.- Informe Cuatrimestral'!$F$2:$F$3</f>
              <strCache>
                <ptCount val="2"/>
                <pt idx="0">
                  <v>Proyecto</v>
                </pt>
                <pt idx="1">
                  <v>Capacitaciones planeadas</v>
                </pt>
              </strCache>
            </strRef>
          </tx>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lt1">
                        <a:lumMod val="8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strRef>
              <f>('3.1.- Informe Cuatrimestral'!$E$8,'3.1.- Informe Cuatrimestral'!$E$13,'3.1.- Informe Cuatrimestral'!$E$18)</f>
              <strCache>
                <ptCount val="3"/>
                <pt idx="0">
                  <v>1er cuatrimestre</v>
                </pt>
                <pt idx="1">
                  <v>2do cuatrimestre</v>
                </pt>
                <pt idx="2">
                  <v>3er cuatrimestre</v>
                </pt>
              </strCache>
            </strRef>
          </cat>
          <val>
            <numRef>
              <f>('3.1.- Informe Cuatrimestral'!$F$8,'3.1.- Informe Cuatrimestral'!$F$13,'3.1.- Informe Cuatrimestral'!$F$18)</f>
              <numCache>
                <formatCode>General</formatCode>
                <ptCount val="3"/>
                <pt idx="0">
                  <v>6</v>
                </pt>
                <pt idx="1">
                  <v>8</v>
                </pt>
                <pt idx="2">
                  <v>2</v>
                </pt>
              </numCache>
            </numRef>
          </val>
        </ser>
        <ser>
          <idx val="1"/>
          <order val="1"/>
          <tx>
            <strRef>
              <f>'3.1.- Informe Cuatrimestral'!$G$2:$G$3</f>
              <strCache>
                <ptCount val="2"/>
                <pt idx="0">
                  <v>Proyecto</v>
                </pt>
                <pt idx="1">
                  <v>Capacitaciones realizadas</v>
                </pt>
              </strCache>
            </strRef>
          </tx>
          <spPr>
            <a:gradFill xmlns:a="http://schemas.openxmlformats.org/drawingml/2006/main"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lt1">
                        <a:lumMod val="8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strRef>
              <f>('3.1.- Informe Cuatrimestral'!$E$8,'3.1.- Informe Cuatrimestral'!$E$13,'3.1.- Informe Cuatrimestral'!$E$18)</f>
              <strCache>
                <ptCount val="3"/>
                <pt idx="0">
                  <v>1er cuatrimestre</v>
                </pt>
                <pt idx="1">
                  <v>2do cuatrimestre</v>
                </pt>
                <pt idx="2">
                  <v>3er cuatrimestre</v>
                </pt>
              </strCache>
            </strRef>
          </cat>
          <val>
            <numRef>
              <f>('3.1.- Informe Cuatrimestral'!$G$8,'3.1.- Informe Cuatrimestral'!$G$13,'3.1.- Informe Cuatrimestral'!$G$18)</f>
              <numCache>
                <formatCode>General</formatCode>
                <ptCount val="3"/>
                <pt idx="0">
                  <v>5</v>
                </pt>
                <pt idx="1">
                  <v>8</v>
                </pt>
                <pt idx="2">
                  <v>2</v>
                </pt>
              </numCache>
            </numRef>
          </val>
        </ser>
        <dLbls>
          <dLblPos val="outEnd"/>
          <showLegendKey val="0"/>
          <showVal val="1"/>
          <showCatName val="0"/>
          <showSerName val="0"/>
          <showPercent val="0"/>
          <showBubbleSize val="0"/>
        </dLbls>
        <gapWidth val="115"/>
        <overlap val="-20"/>
        <axId val="1005482736"/>
        <axId val="542323712"/>
      </barChart>
      <catAx>
        <axId val="1005482736"/>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12700" cap="flat" cmpd="sng" algn="ctr">
            <a:solidFill>
              <a:schemeClr val="lt1">
                <a:alpha val="54000"/>
                <a:lumMod val="9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lumMod val="85000"/>
                  </a:schemeClr>
                </a:solidFill>
                <a:latin typeface="+mn-lt"/>
                <a:ea typeface="+mn-ea"/>
                <a:cs typeface="+mn-cs"/>
              </a:defRPr>
            </a:pPr>
            <a:r>
              <a:t>None</a:t>
            </a:r>
            <a:endParaRPr lang="en-US"/>
          </a:p>
        </txPr>
        <crossAx val="542323712"/>
        <crosses val="autoZero"/>
        <auto val="1"/>
        <lblAlgn val="ctr"/>
        <lblOffset val="100"/>
        <noMultiLvlLbl val="0"/>
      </catAx>
      <valAx>
        <axId val="542323712"/>
        <scaling>
          <orientation val="minMax"/>
        </scaling>
        <delete val="0"/>
        <axPos val="b"/>
        <majorGridlines>
          <spPr>
            <a:ln xmlns:a="http://schemas.openxmlformats.org/drawingml/2006/main" w="9525" cap="flat" cmpd="sng" algn="ctr">
              <a:solidFill>
                <a:schemeClr val="lt1">
                  <a:alpha val="10000"/>
                  <a:lumMod val="95000"/>
                </a:schemeClr>
              </a:solidFill>
              <a:prstDash val="solid"/>
              <a:round/>
            </a:ln>
          </spPr>
        </majorGridlines>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cap="all" baseline="0">
                  <a:solidFill>
                    <a:schemeClr val="lt1">
                      <a:lumMod val="85000"/>
                    </a:schemeClr>
                  </a:solidFill>
                  <a:latin typeface="+mn-lt"/>
                  <a:ea typeface="+mn-ea"/>
                  <a:cs typeface="+mn-cs"/>
                </a:defRPr>
              </a:pPr>
              <a:r>
                <a:t>None</a:t>
              </a:r>
              <a:endParaRPr lang="en-US"/>
            </a:p>
          </txPr>
        </title>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lumMod val="85000"/>
                  </a:schemeClr>
                </a:solidFill>
                <a:latin typeface="+mn-lt"/>
                <a:ea typeface="+mn-ea"/>
                <a:cs typeface="+mn-cs"/>
              </a:defRPr>
            </a:pPr>
            <a:r>
              <a:t>None</a:t>
            </a:r>
            <a:endParaRPr lang="en-US"/>
          </a:p>
        </txPr>
        <crossAx val="1005482736"/>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lt1">
                  <a:lumMod val="85000"/>
                </a:schemeClr>
              </a:solidFill>
              <a:latin typeface="+mn-lt"/>
              <a:ea typeface="+mn-ea"/>
              <a:cs typeface="+mn-cs"/>
            </a:defRPr>
          </a:pPr>
          <a:r>
            <a:t>None</a:t>
          </a:r>
          <a:endParaRPr lang="en-US"/>
        </a:p>
      </txPr>
    </legend>
    <plotVisOnly val="1"/>
    <dispBlanksAs val="gap"/>
  </chart>
  <spPr>
    <a:gradFill xmlns:a="http://schemas.openxmlformats.org/drawingml/2006/main" rotWithShape="1">
      <a:gsLst>
        <a:gs pos="0">
          <a:schemeClr val="dk1">
            <a:lumMod val="65000"/>
            <a:lumOff val="35000"/>
          </a:schemeClr>
        </a:gs>
        <a:gs pos="100000">
          <a:schemeClr val="dk1">
            <a:lumMod val="85000"/>
            <a:lumOff val="15000"/>
          </a:schemeClr>
        </a:gs>
      </a:gsLst>
      <a:path path="circle">
        <a:fillToRect l="50000" t="50000" r="50000" b="50000"/>
      </a:path>
      <a:tileRect/>
    </a:gradFill>
    <a:ln xmlns:a="http://schemas.openxmlformats.org/drawingml/2006/main">
      <a:noFill/>
      <a:prstDash val="solid"/>
    </a:ln>
  </spPr>
</chartSpace>
</file>

<file path=xl/comments/comment1.xml><?xml version="1.0" encoding="utf-8"?>
<comments xmlns="http://schemas.openxmlformats.org/spreadsheetml/2006/main">
  <authors>
    <author>Documentación Innevo</author>
    <author>Tania López</author>
  </authors>
  <commentList>
    <comment ref="A2" authorId="0" shapeId="0">
      <text>
        <t>Seleccionar opción de lista desplegable
-Estratégica→ Nivel organizacional, tiene alcance a toda la empresa
Proyecto→ corto plazo, se involucra solo al personal de un proyecto especifico.</t>
      </text>
    </comment>
    <comment ref="B2" authorId="0" shapeId="0">
      <text>
        <t>Plazo en que se debe de cumplir la capacitación del personal</t>
      </text>
    </comment>
    <comment ref="D2" authorId="0" shapeId="0">
      <text>
        <t>¿Qué se debe aprender en el curso? 
Son los objetivos que se espera alcanzar al finalizar la capacitación.</t>
      </text>
    </comment>
    <comment ref="E2" authorId="0" shapeId="0">
      <text>
        <t>Personas invitadas a la capacitación, registrar con número</t>
      </text>
    </comment>
    <comment ref="F2" authorId="1" shapeId="0">
      <text>
        <t xml:space="preserve">Nombre de las personas que tiene que asistir a la capacitación
</t>
      </text>
    </comment>
    <comment ref="H2" authorId="0" shapeId="0">
      <text>
        <t>Nombre completo de capacitador</t>
      </text>
    </comment>
    <comment ref="I2" authorId="0" shapeId="0">
      <text>
        <t>Temas que se verán o se espera que se vean durante el curso para cumplir con el objetivo</t>
      </text>
    </comment>
    <comment ref="J2" authorId="0" shapeId="0">
      <text>
        <t xml:space="preserve">Registrar el número de horas totales de la capacitación </t>
      </text>
    </comment>
    <comment ref="K2" authorId="0" shapeId="0">
      <text>
        <t>Elementos necesarios para la capacitación cómo herramientas o infraestructura</t>
      </text>
    </comment>
    <comment ref="L2" authorId="0" shapeId="0">
      <text>
        <t>Definir la moneda que se utilizara</t>
      </text>
    </comment>
    <comment ref="M2" authorId="0" shapeId="0">
      <text>
        <t>Presencial→ El personal se encuentra físicamente en la capacitación 
Virtual→ Se recibe la capacitación por medio de videoconferencias, plataformas, Webinar, etc.
Hibrido→ Una combinación entre presencial e hibrido</t>
      </text>
    </comment>
    <comment ref="N2" authorId="0" shapeId="0">
      <text>
        <t>Determinar el material que se requiere</t>
      </text>
    </comment>
    <comment ref="O2" authorId="0" shapeId="0">
      <text>
        <t>Ubicación donde se tomará la capacitación, ya sea dentro de las instalaciones de la organización, ubicaciones externas, enlaces o vínculos, etc.</t>
      </text>
    </comment>
    <comment ref="P2" authorId="0" shapeId="0">
      <text>
        <t>Registrar fechas planeadas, en caso de tener este registro en un documento aparte, insertar el enlace al documento.</t>
      </text>
    </comment>
    <comment ref="S2" authorId="0" shapeId="0">
      <text>
        <t>Estado en que se encuentra la capacitación</t>
      </text>
    </comment>
    <comment ref="T2" authorId="0" shapeId="0">
      <text>
        <t>Explicar el estado seleccionado, en caso de ser replanificada agregar la comparativa entre la fecha planeada y la nueva</t>
      </text>
    </comment>
    <comment ref="U2" authorId="0" shapeId="0">
      <text>
        <t>Personas que acudirán a la capacitación</t>
      </text>
    </comment>
    <comment ref="V2" authorId="0" shapeId="0">
      <text>
        <t>Número real de asistentes a la capacitación</t>
      </text>
    </comment>
    <comment ref="W2" authorId="0" shapeId="0">
      <text>
        <t>Ruta o enlace a los resultados de las evaluaciones sobre la capacitación</t>
      </text>
    </comment>
  </commentList>
</comments>
</file>

<file path=xl/comments/comment2.xml><?xml version="1.0" encoding="utf-8"?>
<comments xmlns="http://schemas.openxmlformats.org/spreadsheetml/2006/main">
  <authors>
    <author>Documentación Innevo</author>
  </authors>
  <commentList>
    <comment ref="C3" authorId="0" shapeId="0">
      <text>
        <t xml:space="preserve">Cantidad total de presupuesto asignada para capacitar al personal </t>
      </text>
    </comment>
    <comment ref="F3" authorId="0" shapeId="0">
      <text>
        <t>Sumatoria de costos totales de capacitaciones. 
Nota: si se agregan más tablas el resultado total debe agregarse a la formula de sumatorias en esta celda.</t>
      </text>
    </comment>
    <comment ref="I3" authorId="0" shapeId="0">
      <text>
        <t>Este presupuesto es el que nos queda disponible, ya que la formula es una resta entre:
Presupuesto asignado - costos de capacitación.</t>
      </text>
    </comment>
    <comment ref="B5" authorId="0" shapeId="0">
      <text>
        <t xml:space="preserve">Cada tabla es para una capacitación especifica </t>
      </text>
    </comment>
    <comment ref="B7" authorId="0" shapeId="0">
      <text>
        <t>Modificar, quitar, agregar los conceptos necesarios para la capacitación tomada</t>
      </text>
    </comment>
    <comment ref="C11" authorId="0" shapeId="0">
      <text>
        <t>Sumatoria de costos</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twoCellAnchor>
    <from>
      <col>8</col>
      <colOff>428624</colOff>
      <row>2</row>
      <rowOff>33866</rowOff>
    </from>
    <to>
      <col>13</col>
      <colOff>253691</colOff>
      <row>15</row>
      <rowOff>147108</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13</col>
      <colOff>419097</colOff>
      <row>2</row>
      <rowOff>42333</rowOff>
    </from>
    <to>
      <col>20</col>
      <colOff>158750</colOff>
      <row>15</row>
      <rowOff>156700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8</col>
      <colOff>418041</colOff>
      <row>16</row>
      <rowOff>125941</rowOff>
    </from>
    <to>
      <col>13</col>
      <colOff>222249</colOff>
      <row>31</row>
      <rowOff>134474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13</col>
      <colOff>433917</colOff>
      <row>16</row>
      <rowOff>127001</rowOff>
    </from>
    <to>
      <col>20</col>
      <colOff>132292</colOff>
      <row>31</row>
      <rowOff>135534</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2.xml><?xml version="1.0" encoding="utf-8"?>
<wsDr xmlns="http://schemas.openxmlformats.org/drawingml/2006/spreadsheetDrawing">
  <twoCellAnchor>
    <from>
      <col>7</col>
      <colOff>511491</colOff>
      <row>0</row>
      <rowOff>91440</rowOff>
    </from>
    <to>
      <col>13</col>
      <colOff>676275</colOff>
      <row>13</row>
      <rowOff>38100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516806</colOff>
      <row>13</row>
      <rowOff>168391</rowOff>
    </from>
    <to>
      <col>13</col>
      <colOff>674077</colOff>
      <row>30</row>
      <rowOff>7921</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D14"/>
  <sheetViews>
    <sheetView showGridLines="0" zoomScaleNormal="100" workbookViewId="0">
      <selection activeCell="H12" sqref="H12"/>
    </sheetView>
  </sheetViews>
  <sheetFormatPr baseColWidth="8" defaultColWidth="11.453125" defaultRowHeight="30.75" customHeight="1"/>
  <cols>
    <col width="20.26953125" customWidth="1" style="38" min="1" max="1"/>
    <col width="23.453125" customWidth="1" style="38" min="2" max="2"/>
    <col width="47.453125" customWidth="1" style="38" min="3" max="3"/>
    <col width="26.453125" customWidth="1" style="38" min="4" max="4"/>
  </cols>
  <sheetData>
    <row r="1" ht="14.5" customHeight="1" s="38">
      <c r="A1" s="74" t="inlineStr">
        <is>
          <t>Logo de la empresa</t>
        </is>
      </c>
      <c r="B1" s="92" t="n"/>
    </row>
    <row r="2" ht="54.75" customHeight="1" s="38">
      <c r="A2" s="93" t="n"/>
      <c r="B2" s="94" t="n"/>
    </row>
    <row r="3" ht="30.75" customHeight="1" s="38">
      <c r="A3" s="78" t="inlineStr">
        <is>
          <t>Alcance a nivel organizacional</t>
        </is>
      </c>
      <c r="B3" s="95" t="n"/>
    </row>
    <row r="4" ht="14.5" customHeight="1" s="38"/>
    <row r="5" ht="30.75" customHeight="1" s="38">
      <c r="A5" s="77" t="n"/>
    </row>
    <row r="6" ht="18.5" customHeight="1" s="38">
      <c r="A6" s="75" t="inlineStr">
        <is>
          <t>Historial de versiones</t>
        </is>
      </c>
    </row>
    <row r="7" ht="14.5" customHeight="1" s="38"/>
    <row r="8" ht="18.5" customHeight="1" s="38">
      <c r="A8" s="35" t="inlineStr">
        <is>
          <t>Fecha</t>
        </is>
      </c>
      <c r="B8" s="35" t="inlineStr">
        <is>
          <t>Versión</t>
        </is>
      </c>
      <c r="C8" s="35" t="inlineStr">
        <is>
          <t>Descripción</t>
        </is>
      </c>
      <c r="D8" s="35" t="inlineStr">
        <is>
          <t>Autor</t>
        </is>
      </c>
    </row>
    <row r="9" ht="32.25" customHeight="1" s="38">
      <c r="A9" s="48" t="inlineStr">
        <is>
          <t>dd/mm/aaaa</t>
        </is>
      </c>
      <c r="B9" s="49" t="inlineStr">
        <is>
          <t>1.0</t>
        </is>
      </c>
      <c r="C9" s="48" t="inlineStr">
        <is>
          <t>Creación de la plantilla</t>
        </is>
      </c>
      <c r="D9" s="48" t="inlineStr">
        <is>
          <t>Nombre y apellido</t>
        </is>
      </c>
    </row>
    <row r="10" ht="32.25" customHeight="1" s="38">
      <c r="A10" s="48" t="n"/>
      <c r="B10" s="49" t="inlineStr">
        <is>
          <t>Número de la versión v.v</t>
        </is>
      </c>
      <c r="C10" s="48" t="inlineStr">
        <is>
          <t>Descripción de los cambios realizados en el documento</t>
        </is>
      </c>
      <c r="D10" s="48" t="n"/>
    </row>
    <row r="11" ht="65" customHeight="1" s="38">
      <c r="A11" s="74" t="inlineStr">
        <is>
          <t>25/01/2026</t>
        </is>
      </c>
      <c r="B11" s="37" t="inlineStr">
        <is>
          <t>1.1</t>
        </is>
      </c>
      <c r="C11" s="74" t="inlineStr">
        <is>
          <t>Se completa el programa de capacitación indicando que no se identificaron necesidades para el proyecto Portabilidad ISSSTE-IMSS y se corrige "está hoja" por "esta hoja".</t>
        </is>
      </c>
      <c r="D11" s="74" t="inlineStr">
        <is>
          <t>Carlos Quintero N.</t>
        </is>
      </c>
    </row>
    <row r="12" ht="32.25" customHeight="1" s="38">
      <c r="A12" s="74" t="n"/>
      <c r="B12" s="37" t="n"/>
      <c r="C12" s="74" t="n"/>
      <c r="D12" s="74" t="n"/>
    </row>
    <row r="14" ht="15.5" customHeight="1" s="38">
      <c r="A14" s="76" t="inlineStr">
        <is>
          <t>Si se tiene un sistema de gestión de versiones eliminar esta hoja.</t>
        </is>
      </c>
    </row>
  </sheetData>
  <mergeCells count="5">
    <mergeCell ref="A5:D5"/>
    <mergeCell ref="A6:D6"/>
    <mergeCell ref="A1:B2"/>
    <mergeCell ref="A3:B3"/>
    <mergeCell ref="A14:D14"/>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X17"/>
  <sheetViews>
    <sheetView showGridLines="0" tabSelected="1" topLeftCell="O1" zoomScale="115" zoomScaleNormal="115" workbookViewId="0">
      <selection activeCell="W3" sqref="W3"/>
    </sheetView>
  </sheetViews>
  <sheetFormatPr baseColWidth="8" defaultColWidth="11.453125" defaultRowHeight="14.5"/>
  <cols>
    <col width="16.453125" customWidth="1" style="10" min="1" max="2"/>
    <col width="28" customWidth="1" style="10" min="3" max="3"/>
    <col width="37.54296875" customWidth="1" style="10" min="4" max="4"/>
    <col width="18.1796875" customWidth="1" style="10" min="5" max="6"/>
    <col width="15.1796875" customWidth="1" style="10" min="7" max="7"/>
    <col width="20.81640625" customWidth="1" style="10" min="8" max="8"/>
    <col width="47.7265625" customWidth="1" style="10" min="9" max="9"/>
    <col width="16.54296875" customWidth="1" style="10" min="10" max="10"/>
    <col width="29.453125" customWidth="1" style="10" min="11" max="11"/>
    <col width="14.453125" customWidth="1" style="10" min="12" max="12"/>
    <col width="23" customWidth="1" style="10" min="13" max="14"/>
    <col width="17" customWidth="1" style="10" min="15" max="15"/>
    <col width="23.453125" customWidth="1" style="10" min="16" max="16"/>
    <col width="8.453125" customWidth="1" style="10" min="17" max="17"/>
    <col width="8.7265625" customWidth="1" style="10" min="18" max="18"/>
    <col width="13.7265625" customWidth="1" style="10" min="19" max="19"/>
    <col width="24.54296875" customWidth="1" style="10" min="20" max="20"/>
    <col width="23.81640625" customWidth="1" style="10" min="21" max="21"/>
    <col width="14.7265625" customWidth="1" style="10" min="22" max="22"/>
    <col width="23.26953125" customWidth="1" style="10" min="23" max="23"/>
    <col width="36.1796875" customWidth="1" style="10" min="24" max="24"/>
    <col width="14.1796875" customWidth="1" style="10" min="25" max="25"/>
    <col width="39.26953125" customWidth="1" style="10" min="26" max="26"/>
    <col width="11.453125" customWidth="1" style="10" min="27" max="29"/>
    <col width="11.453125" customWidth="1" style="10" min="30" max="16384"/>
  </cols>
  <sheetData>
    <row r="1" ht="38.25" customHeight="1" s="38">
      <c r="A1" s="84" t="inlineStr">
        <is>
          <t>Detalles</t>
        </is>
      </c>
      <c r="B1" s="96" t="n"/>
      <c r="C1" s="96" t="n"/>
      <c r="D1" s="96" t="n"/>
      <c r="E1" s="96" t="n"/>
      <c r="F1" s="96" t="n"/>
      <c r="G1" s="96" t="n"/>
      <c r="H1" s="96" t="n"/>
      <c r="I1" s="96" t="n"/>
      <c r="J1" s="96" t="n"/>
      <c r="K1" s="96" t="n"/>
      <c r="L1" s="96" t="n"/>
      <c r="M1" s="97" t="inlineStr">
        <is>
          <t>Logística</t>
        </is>
      </c>
      <c r="O1" s="98" t="n"/>
      <c r="P1" s="81" t="inlineStr">
        <is>
          <t>Ejecutada en la fecha planeada</t>
        </is>
      </c>
      <c r="S1" s="83" t="inlineStr">
        <is>
          <t>Seguimiento</t>
        </is>
      </c>
      <c r="X1" s="19" t="n"/>
    </row>
    <row r="2" ht="31" customFormat="1" customHeight="1" s="19">
      <c r="A2" s="39" t="inlineStr">
        <is>
          <t>Capacitación</t>
        </is>
      </c>
      <c r="B2" s="39" t="inlineStr">
        <is>
          <t>Plazo</t>
        </is>
      </c>
      <c r="C2" s="40" t="inlineStr">
        <is>
          <t>Nombre de la capacitación</t>
        </is>
      </c>
      <c r="D2" s="40" t="inlineStr">
        <is>
          <t>Objetivos</t>
        </is>
      </c>
      <c r="E2" s="39" t="inlineStr">
        <is>
          <t>Quórum planeado</t>
        </is>
      </c>
      <c r="F2" s="39" t="inlineStr">
        <is>
          <t>Personas que deben asistir</t>
        </is>
      </c>
      <c r="G2" s="40" t="inlineStr">
        <is>
          <t>Tipo</t>
        </is>
      </c>
      <c r="H2" s="40" t="inlineStr">
        <is>
          <t>Capacitador</t>
        </is>
      </c>
      <c r="I2" s="40" t="inlineStr">
        <is>
          <t>Temario</t>
        </is>
      </c>
      <c r="J2" s="40" t="inlineStr">
        <is>
          <t>Duración</t>
        </is>
      </c>
      <c r="K2" s="40" t="inlineStr">
        <is>
          <t>Recursos</t>
        </is>
      </c>
      <c r="L2" s="39" t="inlineStr">
        <is>
          <t>Costo</t>
        </is>
      </c>
      <c r="M2" s="41" t="inlineStr">
        <is>
          <t>Formato</t>
        </is>
      </c>
      <c r="N2" s="41" t="inlineStr">
        <is>
          <t>Materiales</t>
        </is>
      </c>
      <c r="O2" s="41" t="inlineStr">
        <is>
          <t>Lugar</t>
        </is>
      </c>
      <c r="P2" s="40" t="inlineStr">
        <is>
          <t>Fecha planeada</t>
        </is>
      </c>
      <c r="Q2" s="41" t="inlineStr">
        <is>
          <t>Sí</t>
        </is>
      </c>
      <c r="R2" s="41" t="inlineStr">
        <is>
          <t>No</t>
        </is>
      </c>
      <c r="S2" s="40" t="inlineStr">
        <is>
          <t>Estado</t>
        </is>
      </c>
      <c r="T2" s="40" t="inlineStr">
        <is>
          <t>Observaciones</t>
        </is>
      </c>
      <c r="U2" s="42" t="inlineStr">
        <is>
          <t>Asistentes</t>
        </is>
      </c>
      <c r="V2" s="43" t="inlineStr">
        <is>
          <t>Quórum real</t>
        </is>
      </c>
      <c r="W2" s="44" t="inlineStr">
        <is>
          <t>Evaluaciones</t>
        </is>
      </c>
      <c r="X2" s="10" t="n"/>
    </row>
    <row r="3" ht="92.15000000000001" customHeight="1" s="38">
      <c r="A3" s="64" t="inlineStr">
        <is>
          <t>N/A</t>
        </is>
      </c>
      <c r="B3" s="65" t="n"/>
      <c r="C3" s="66" t="inlineStr">
        <is>
          <t>No aplica</t>
        </is>
      </c>
      <c r="D3" s="65" t="inlineStr">
        <is>
          <t>No se identificaron necesidades de capacitación para el proyecto Portabilidad de Derechos Pensionarios ISSSTE-IMSS (ver FT-Matriz de competencia y DNC).</t>
        </is>
      </c>
      <c r="E3" s="66" t="n"/>
      <c r="F3" s="65" t="n"/>
      <c r="G3" s="66" t="n"/>
      <c r="H3" s="65" t="n"/>
      <c r="I3" s="65" t="n"/>
      <c r="J3" s="66" t="n"/>
      <c r="K3" s="65" t="n"/>
      <c r="L3" s="67" t="n"/>
      <c r="M3" s="66" t="n"/>
      <c r="N3" s="68" t="n"/>
      <c r="O3" s="65" t="n"/>
      <c r="P3" s="69" t="n"/>
      <c r="Q3" s="70" t="n"/>
      <c r="R3" s="66" t="n"/>
      <c r="S3" s="70" t="inlineStr">
        <is>
          <t>No aplica</t>
        </is>
      </c>
      <c r="T3" s="65" t="n"/>
      <c r="U3" s="71" t="n"/>
      <c r="V3" s="72" t="n"/>
      <c r="W3" s="73" t="n"/>
    </row>
    <row r="4" ht="43.5" customHeight="1" s="38">
      <c r="A4" s="2" t="n"/>
      <c r="B4" s="21" t="n"/>
      <c r="C4" s="3" t="n"/>
      <c r="D4" s="16" t="n"/>
      <c r="E4" s="5" t="n"/>
      <c r="F4" s="5" t="n"/>
      <c r="G4" s="12" t="n"/>
      <c r="H4" s="3" t="n"/>
      <c r="I4" s="17" t="n"/>
      <c r="J4" s="3" t="n"/>
      <c r="K4" s="17" t="n"/>
      <c r="L4" s="29" t="n"/>
      <c r="M4" s="12" t="n"/>
      <c r="N4" s="12" t="n"/>
      <c r="O4" s="3" t="n"/>
      <c r="P4" s="18" t="n"/>
      <c r="Q4" s="4" t="n"/>
      <c r="R4" s="4" t="n"/>
      <c r="S4" s="4" t="n"/>
      <c r="T4" s="3" t="n"/>
      <c r="U4" s="26" t="n"/>
      <c r="V4" s="25" t="n"/>
      <c r="W4" s="31" t="n"/>
    </row>
    <row r="5" ht="29" customHeight="1" s="38">
      <c r="A5" s="2" t="n"/>
      <c r="B5" s="2" t="n"/>
      <c r="C5" s="16" t="n"/>
      <c r="D5" s="16" t="n"/>
      <c r="E5" s="4" t="n"/>
      <c r="F5" s="21" t="n"/>
      <c r="G5" s="2" t="n"/>
      <c r="H5" s="2" t="n"/>
      <c r="I5" s="2" t="n"/>
      <c r="J5" s="2" t="n"/>
      <c r="K5" s="17" t="n"/>
      <c r="L5" s="30" t="n"/>
      <c r="M5" s="12" t="n"/>
      <c r="N5" s="12" t="n"/>
      <c r="O5" s="2" t="n"/>
      <c r="P5" s="18" t="n"/>
      <c r="Q5" s="4" t="n"/>
      <c r="R5" s="4" t="n"/>
      <c r="S5" s="4" t="n"/>
      <c r="T5" s="2" t="n"/>
      <c r="U5" s="28" t="n"/>
      <c r="V5" s="27" t="n"/>
      <c r="W5" s="27" t="n"/>
    </row>
    <row r="6">
      <c r="A6" s="3" t="n"/>
      <c r="B6" s="3" t="n"/>
      <c r="C6" s="3" t="n"/>
      <c r="D6" s="3" t="n"/>
      <c r="E6" s="3" t="n"/>
      <c r="F6" s="3" t="n"/>
      <c r="G6" s="12" t="n"/>
      <c r="H6" s="3" t="n"/>
      <c r="I6" s="3" t="n"/>
      <c r="J6" s="3" t="n"/>
      <c r="K6" s="3" t="n"/>
      <c r="L6" s="29" t="n"/>
      <c r="M6" s="12" t="n"/>
      <c r="N6" s="12" t="n"/>
      <c r="O6" s="3" t="n"/>
      <c r="P6" s="3" t="n"/>
      <c r="Q6" s="4" t="n"/>
      <c r="R6" s="4" t="n"/>
      <c r="S6" s="4" t="n"/>
      <c r="T6" s="3" t="n"/>
      <c r="U6" s="26" t="n"/>
      <c r="V6" s="25" t="n"/>
      <c r="W6" s="25" t="n"/>
    </row>
    <row r="7">
      <c r="A7" s="3" t="n"/>
      <c r="B7" s="3" t="n"/>
      <c r="C7" s="3" t="n"/>
      <c r="D7" s="3" t="n"/>
      <c r="E7" s="3" t="n"/>
      <c r="F7" s="3" t="n"/>
      <c r="G7" s="12" t="n"/>
      <c r="H7" s="3" t="n"/>
      <c r="I7" s="3" t="n"/>
      <c r="J7" s="3" t="n"/>
      <c r="K7" s="3" t="n"/>
      <c r="L7" s="29" t="n"/>
      <c r="M7" s="12" t="n"/>
      <c r="N7" s="12" t="n"/>
      <c r="O7" s="3" t="n"/>
      <c r="P7" s="3" t="n"/>
      <c r="Q7" s="4" t="n"/>
      <c r="R7" s="4" t="n"/>
      <c r="S7" s="4" t="n"/>
      <c r="T7" s="3" t="n"/>
      <c r="U7" s="26" t="n"/>
      <c r="V7" s="25" t="n"/>
      <c r="W7" s="25" t="n"/>
    </row>
    <row r="8">
      <c r="A8" s="3" t="n"/>
      <c r="B8" s="3" t="n"/>
      <c r="C8" s="3" t="n"/>
      <c r="D8" s="3" t="n"/>
      <c r="E8" s="3" t="n"/>
      <c r="F8" s="3" t="n"/>
      <c r="G8" s="12" t="n"/>
      <c r="H8" s="3" t="n"/>
      <c r="I8" s="3" t="n"/>
      <c r="J8" s="3" t="n"/>
      <c r="K8" s="3" t="n"/>
      <c r="L8" s="29" t="n"/>
      <c r="M8" s="12" t="n"/>
      <c r="N8" s="12" t="n"/>
      <c r="O8" s="3" t="n"/>
      <c r="P8" s="3" t="n"/>
      <c r="Q8" s="4" t="n"/>
      <c r="R8" s="4" t="n"/>
      <c r="S8" s="4" t="n"/>
      <c r="T8" s="3" t="n"/>
      <c r="U8" s="26" t="n"/>
      <c r="V8" s="25" t="n"/>
      <c r="W8" s="25" t="n"/>
    </row>
    <row r="9">
      <c r="A9" s="3" t="n"/>
      <c r="B9" s="3" t="n"/>
      <c r="C9" s="3" t="n"/>
      <c r="D9" s="3" t="n"/>
      <c r="E9" s="3" t="n"/>
      <c r="F9" s="3" t="n"/>
      <c r="G9" s="12" t="n"/>
      <c r="H9" s="3" t="n"/>
      <c r="I9" s="3" t="n"/>
      <c r="J9" s="3" t="n"/>
      <c r="K9" s="3" t="n"/>
      <c r="L9" s="29" t="n"/>
      <c r="M9" s="12" t="n"/>
      <c r="N9" s="12" t="n"/>
      <c r="O9" s="3" t="n"/>
      <c r="P9" s="3" t="n"/>
      <c r="Q9" s="4" t="n"/>
      <c r="R9" s="4" t="n"/>
      <c r="S9" s="4" t="n"/>
      <c r="T9" s="3" t="n"/>
      <c r="U9" s="26" t="n"/>
      <c r="V9" s="25" t="n"/>
      <c r="W9" s="25" t="n"/>
    </row>
    <row r="10">
      <c r="A10" s="3" t="n"/>
      <c r="B10" s="3" t="n"/>
      <c r="C10" s="3" t="n"/>
      <c r="D10" s="3" t="n"/>
      <c r="E10" s="3" t="n"/>
      <c r="F10" s="3" t="n"/>
      <c r="G10" s="12" t="n"/>
      <c r="H10" s="3" t="n"/>
      <c r="I10" s="3" t="n"/>
      <c r="J10" s="3" t="n"/>
      <c r="K10" s="3" t="n"/>
      <c r="L10" s="29" t="n"/>
      <c r="M10" s="12" t="n"/>
      <c r="N10" s="12" t="n"/>
      <c r="O10" s="3" t="n"/>
      <c r="P10" s="3" t="n"/>
      <c r="Q10" s="4" t="n"/>
      <c r="R10" s="4" t="n"/>
      <c r="S10" s="4" t="n"/>
      <c r="T10" s="3" t="n"/>
      <c r="U10" s="26" t="n"/>
      <c r="V10" s="25" t="n"/>
      <c r="W10" s="25" t="n"/>
    </row>
    <row r="11">
      <c r="A11" s="3" t="n"/>
      <c r="B11" s="3" t="n"/>
      <c r="C11" s="3" t="n"/>
      <c r="D11" s="3" t="n"/>
      <c r="E11" s="3" t="n"/>
      <c r="F11" s="3" t="n"/>
      <c r="G11" s="12" t="n"/>
      <c r="H11" s="3" t="n"/>
      <c r="I11" s="3" t="n"/>
      <c r="J11" s="3" t="n"/>
      <c r="K11" s="3" t="n"/>
      <c r="L11" s="29" t="n"/>
      <c r="M11" s="12" t="n"/>
      <c r="N11" s="12" t="n"/>
      <c r="O11" s="3" t="n"/>
      <c r="P11" s="3" t="n"/>
      <c r="Q11" s="4" t="n"/>
      <c r="R11" s="4" t="n"/>
      <c r="S11" s="4" t="n"/>
      <c r="T11" s="3" t="n"/>
      <c r="U11" s="26" t="n"/>
      <c r="V11" s="25" t="n"/>
      <c r="W11" s="25" t="n"/>
    </row>
    <row r="12">
      <c r="A12" s="3" t="n"/>
      <c r="B12" s="3" t="n"/>
      <c r="C12" s="3" t="n"/>
      <c r="D12" s="3" t="n"/>
      <c r="E12" s="3" t="n"/>
      <c r="F12" s="3" t="n"/>
      <c r="G12" s="12" t="n"/>
      <c r="H12" s="3" t="n"/>
      <c r="I12" s="3" t="n"/>
      <c r="J12" s="3" t="n"/>
      <c r="K12" s="3" t="n"/>
      <c r="L12" s="29" t="n"/>
      <c r="M12" s="12" t="n"/>
      <c r="N12" s="12" t="n"/>
      <c r="O12" s="3" t="n"/>
      <c r="P12" s="3" t="n"/>
      <c r="Q12" s="4" t="n"/>
      <c r="R12" s="4" t="n"/>
      <c r="S12" s="4" t="n"/>
      <c r="T12" s="3" t="n"/>
      <c r="U12" s="26" t="n"/>
      <c r="V12" s="25" t="n"/>
      <c r="W12" s="25" t="n"/>
    </row>
    <row r="13">
      <c r="A13" s="3" t="n"/>
      <c r="B13" s="3" t="n"/>
      <c r="C13" s="3" t="n"/>
      <c r="D13" s="3" t="n"/>
      <c r="E13" s="3" t="n"/>
      <c r="F13" s="3" t="n"/>
      <c r="G13" s="12" t="n"/>
      <c r="H13" s="3" t="n"/>
      <c r="I13" s="3" t="n"/>
      <c r="J13" s="3" t="n"/>
      <c r="K13" s="3" t="n"/>
      <c r="L13" s="29" t="n"/>
      <c r="M13" s="12" t="n"/>
      <c r="N13" s="12" t="n"/>
      <c r="O13" s="3" t="n"/>
      <c r="P13" s="3" t="n"/>
      <c r="Q13" s="4" t="n"/>
      <c r="R13" s="4" t="n"/>
      <c r="S13" s="4" t="n"/>
      <c r="T13" s="3" t="n"/>
      <c r="U13" s="26" t="n"/>
      <c r="V13" s="25" t="n"/>
      <c r="W13" s="25" t="n"/>
    </row>
    <row r="14">
      <c r="A14" s="3" t="n"/>
      <c r="B14" s="3" t="n"/>
      <c r="C14" s="3" t="n"/>
      <c r="D14" s="3" t="n"/>
      <c r="E14" s="3" t="n"/>
      <c r="F14" s="3" t="n"/>
      <c r="G14" s="12" t="n"/>
      <c r="H14" s="3" t="n"/>
      <c r="I14" s="3" t="n"/>
      <c r="J14" s="3" t="n"/>
      <c r="K14" s="3" t="n"/>
      <c r="L14" s="29" t="n"/>
      <c r="M14" s="12" t="n"/>
      <c r="N14" s="12" t="n"/>
      <c r="O14" s="3" t="n"/>
      <c r="P14" s="3" t="n"/>
      <c r="Q14" s="4" t="n"/>
      <c r="R14" s="4" t="n"/>
      <c r="S14" s="4" t="n"/>
      <c r="T14" s="3" t="n"/>
      <c r="U14" s="26" t="n"/>
      <c r="V14" s="25" t="n"/>
      <c r="W14" s="25" t="n"/>
    </row>
    <row r="17">
      <c r="A17" s="34" t="inlineStr">
        <is>
          <t>Nota: Modificar todo el texto que este en gris y eliminar este comentario cuando se utilice el documento</t>
        </is>
      </c>
    </row>
  </sheetData>
  <mergeCells count="4">
    <mergeCell ref="M1:O1"/>
    <mergeCell ref="S1:W1"/>
    <mergeCell ref="P1:R1"/>
    <mergeCell ref="A1:L1"/>
  </mergeCells>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I22"/>
  <sheetViews>
    <sheetView showGridLines="0" zoomScale="130" zoomScaleNormal="130" workbookViewId="0">
      <selection activeCell="F26" sqref="F26"/>
    </sheetView>
  </sheetViews>
  <sheetFormatPr baseColWidth="8" defaultColWidth="11.453125" defaultRowHeight="14.5"/>
  <cols>
    <col width="2.7265625" customWidth="1" style="10" min="1" max="1"/>
    <col width="25" customWidth="1" style="10" min="2" max="2"/>
    <col width="11.453125" customWidth="1" style="10" min="3" max="3"/>
    <col width="0.54296875" customWidth="1" style="10" min="4" max="4"/>
    <col width="25" customWidth="1" style="10" min="5" max="5"/>
    <col width="11.453125" customWidth="1" style="10" min="6" max="6"/>
    <col width="0.453125" customWidth="1" style="10" min="7" max="7"/>
    <col width="25" customWidth="1" style="10" min="8" max="8"/>
    <col width="11.453125" customWidth="1" style="10" min="9" max="16384"/>
  </cols>
  <sheetData>
    <row r="2" ht="21" customHeight="1" s="38">
      <c r="B2" s="85" t="inlineStr">
        <is>
          <t xml:space="preserve">Presupuesto total </t>
        </is>
      </c>
    </row>
    <row r="3" ht="15.5" customHeight="1" s="38">
      <c r="B3" s="50" t="inlineStr">
        <is>
          <t>Presupuesto asignado:</t>
        </is>
      </c>
      <c r="C3" s="99" t="n">
        <v>0</v>
      </c>
      <c r="E3" s="86" t="inlineStr">
        <is>
          <t>Costos de capacitación</t>
        </is>
      </c>
      <c r="F3" s="100">
        <f>C11+F11+I11+C20+F20+I20</f>
        <v/>
      </c>
      <c r="H3" s="50" t="inlineStr">
        <is>
          <t>Presupuesto actual:</t>
        </is>
      </c>
      <c r="I3" s="100">
        <f>+C3-F3</f>
        <v/>
      </c>
    </row>
    <row r="5" ht="15.5" customHeight="1" s="38">
      <c r="B5" s="86" t="inlineStr">
        <is>
          <t>Nombre de la capacitación.</t>
        </is>
      </c>
      <c r="C5" s="95" t="n"/>
      <c r="E5" s="86" t="inlineStr">
        <is>
          <t>Nombre de la capacitación.</t>
        </is>
      </c>
      <c r="F5" s="95" t="n"/>
      <c r="H5" s="86" t="inlineStr">
        <is>
          <t>Nombre de la capacitación.</t>
        </is>
      </c>
      <c r="I5" s="95" t="n"/>
    </row>
    <row r="6" ht="15.5" customHeight="1" s="38">
      <c r="B6" s="86" t="inlineStr">
        <is>
          <t xml:space="preserve">Concepto </t>
        </is>
      </c>
      <c r="C6" s="86" t="inlineStr">
        <is>
          <t>Costo</t>
        </is>
      </c>
      <c r="E6" s="86" t="inlineStr">
        <is>
          <t xml:space="preserve">Concepto </t>
        </is>
      </c>
      <c r="F6" s="86" t="inlineStr">
        <is>
          <t>Costo</t>
        </is>
      </c>
      <c r="H6" s="86" t="inlineStr">
        <is>
          <t xml:space="preserve">Concepto </t>
        </is>
      </c>
      <c r="I6" s="86" t="inlineStr">
        <is>
          <t>Costo</t>
        </is>
      </c>
    </row>
    <row r="7">
      <c r="B7" s="32" t="inlineStr">
        <is>
          <t>Instructor</t>
        </is>
      </c>
      <c r="C7" s="101" t="n">
        <v>0</v>
      </c>
      <c r="E7" s="32" t="inlineStr">
        <is>
          <t>Instructor</t>
        </is>
      </c>
      <c r="F7" s="102" t="inlineStr">
        <is>
          <t>$</t>
        </is>
      </c>
      <c r="H7" s="32" t="inlineStr">
        <is>
          <t>Instructor</t>
        </is>
      </c>
      <c r="I7" s="102" t="inlineStr">
        <is>
          <t>$</t>
        </is>
      </c>
    </row>
    <row r="8" ht="15.65" customHeight="1" s="38">
      <c r="B8" s="33" t="inlineStr">
        <is>
          <t>Materiales de capacitación</t>
        </is>
      </c>
      <c r="C8" s="102" t="inlineStr">
        <is>
          <t>$</t>
        </is>
      </c>
      <c r="E8" s="33" t="inlineStr">
        <is>
          <t>Materiales de capacitación</t>
        </is>
      </c>
      <c r="F8" s="102" t="inlineStr">
        <is>
          <t>$</t>
        </is>
      </c>
      <c r="H8" s="33" t="inlineStr">
        <is>
          <t>Materiales de capacitación</t>
        </is>
      </c>
      <c r="I8" s="102" t="inlineStr">
        <is>
          <t>$</t>
        </is>
      </c>
    </row>
    <row r="9" ht="16.4" customHeight="1" s="38">
      <c r="B9" s="32" t="inlineStr">
        <is>
          <t>Renta sala de juntas</t>
        </is>
      </c>
      <c r="C9" s="102" t="inlineStr">
        <is>
          <t>$</t>
        </is>
      </c>
      <c r="E9" s="32" t="inlineStr">
        <is>
          <t>Renta sala de juntas</t>
        </is>
      </c>
      <c r="F9" s="102" t="inlineStr">
        <is>
          <t>$</t>
        </is>
      </c>
      <c r="H9" s="32" t="inlineStr">
        <is>
          <t>Renta sala de juntas</t>
        </is>
      </c>
      <c r="I9" s="102" t="inlineStr">
        <is>
          <t>$</t>
        </is>
      </c>
    </row>
    <row r="10" ht="15.65" customHeight="1" s="38">
      <c r="B10" s="32" t="inlineStr">
        <is>
          <t>Coffe Break</t>
        </is>
      </c>
      <c r="C10" s="101" t="inlineStr">
        <is>
          <t>$</t>
        </is>
      </c>
      <c r="E10" s="32" t="inlineStr">
        <is>
          <t>Coffe Break</t>
        </is>
      </c>
      <c r="F10" s="102" t="inlineStr">
        <is>
          <t>$</t>
        </is>
      </c>
      <c r="H10" s="32" t="inlineStr">
        <is>
          <t>Coffe Break</t>
        </is>
      </c>
      <c r="I10" s="102" t="inlineStr">
        <is>
          <t>$</t>
        </is>
      </c>
    </row>
    <row r="11">
      <c r="B11" s="46" t="inlineStr">
        <is>
          <t>Total</t>
        </is>
      </c>
      <c r="C11" s="103">
        <f>SUM(C7:C10)</f>
        <v/>
      </c>
      <c r="E11" s="46" t="inlineStr">
        <is>
          <t>Total</t>
        </is>
      </c>
      <c r="F11" s="103">
        <f>SUM(F7:F10)</f>
        <v/>
      </c>
      <c r="H11" s="46" t="inlineStr">
        <is>
          <t>Total</t>
        </is>
      </c>
      <c r="I11" s="103">
        <f>SUM(I7:I10)</f>
        <v/>
      </c>
    </row>
    <row r="14" ht="15.5" customHeight="1" s="38">
      <c r="B14" s="86" t="inlineStr">
        <is>
          <t>Nombre de la capacitación.</t>
        </is>
      </c>
      <c r="C14" s="95" t="n"/>
      <c r="E14" s="86" t="inlineStr">
        <is>
          <t>Nombre de la capacitación.</t>
        </is>
      </c>
      <c r="F14" s="95" t="n"/>
      <c r="H14" s="86" t="inlineStr">
        <is>
          <t>Nombre de la capacitación.</t>
        </is>
      </c>
      <c r="I14" s="95" t="n"/>
    </row>
    <row r="15" ht="15.5" customHeight="1" s="38">
      <c r="B15" s="86" t="inlineStr">
        <is>
          <t xml:space="preserve">Concepto </t>
        </is>
      </c>
      <c r="C15" s="86" t="inlineStr">
        <is>
          <t>Costo</t>
        </is>
      </c>
      <c r="E15" s="86" t="inlineStr">
        <is>
          <t xml:space="preserve">Concepto </t>
        </is>
      </c>
      <c r="F15" s="86" t="inlineStr">
        <is>
          <t>Costo</t>
        </is>
      </c>
      <c r="H15" s="86" t="inlineStr">
        <is>
          <t xml:space="preserve">Concepto </t>
        </is>
      </c>
      <c r="I15" s="86" t="inlineStr">
        <is>
          <t>Costo</t>
        </is>
      </c>
    </row>
    <row r="16">
      <c r="B16" s="32" t="inlineStr">
        <is>
          <t>Instructor</t>
        </is>
      </c>
      <c r="C16" s="102" t="inlineStr">
        <is>
          <t>$</t>
        </is>
      </c>
      <c r="E16" s="32" t="inlineStr">
        <is>
          <t>Instructor</t>
        </is>
      </c>
      <c r="F16" s="102" t="inlineStr">
        <is>
          <t>$</t>
        </is>
      </c>
      <c r="H16" s="32" t="inlineStr">
        <is>
          <t>Instructor</t>
        </is>
      </c>
      <c r="I16" s="102" t="inlineStr">
        <is>
          <t>$</t>
        </is>
      </c>
    </row>
    <row r="17">
      <c r="B17" s="33" t="inlineStr">
        <is>
          <t>Materiales de capacitación</t>
        </is>
      </c>
      <c r="C17" s="102" t="inlineStr">
        <is>
          <t>$</t>
        </is>
      </c>
      <c r="E17" s="33" t="inlineStr">
        <is>
          <t>Materiales de capacitación</t>
        </is>
      </c>
      <c r="F17" s="102" t="inlineStr">
        <is>
          <t>$</t>
        </is>
      </c>
      <c r="H17" s="33" t="inlineStr">
        <is>
          <t>Materiales de capacitación</t>
        </is>
      </c>
      <c r="I17" s="102" t="inlineStr">
        <is>
          <t>$</t>
        </is>
      </c>
    </row>
    <row r="18">
      <c r="B18" s="32" t="inlineStr">
        <is>
          <t>Renta sala de juntas</t>
        </is>
      </c>
      <c r="C18" s="102" t="inlineStr">
        <is>
          <t>$</t>
        </is>
      </c>
      <c r="E18" s="32" t="inlineStr">
        <is>
          <t>Renta sala de juntas</t>
        </is>
      </c>
      <c r="F18" s="102" t="inlineStr">
        <is>
          <t>$</t>
        </is>
      </c>
      <c r="H18" s="32" t="inlineStr">
        <is>
          <t>Renta sala de juntas</t>
        </is>
      </c>
      <c r="I18" s="102" t="inlineStr">
        <is>
          <t>$</t>
        </is>
      </c>
    </row>
    <row r="19">
      <c r="B19" s="32" t="inlineStr">
        <is>
          <t>Coffe Break</t>
        </is>
      </c>
      <c r="C19" s="102" t="inlineStr">
        <is>
          <t>$</t>
        </is>
      </c>
      <c r="E19" s="32" t="inlineStr">
        <is>
          <t>Coffe Break</t>
        </is>
      </c>
      <c r="F19" s="102" t="inlineStr">
        <is>
          <t>$</t>
        </is>
      </c>
      <c r="H19" s="32" t="inlineStr">
        <is>
          <t>Coffe Break</t>
        </is>
      </c>
      <c r="I19" s="102" t="inlineStr">
        <is>
          <t>$</t>
        </is>
      </c>
    </row>
    <row r="20">
      <c r="B20" s="46" t="inlineStr">
        <is>
          <t>Total</t>
        </is>
      </c>
      <c r="C20" s="103">
        <f>SUM(C16:C19)</f>
        <v/>
      </c>
      <c r="E20" s="46" t="inlineStr">
        <is>
          <t>Total</t>
        </is>
      </c>
      <c r="F20" s="103">
        <f>SUM(F16:F19)</f>
        <v/>
      </c>
      <c r="H20" s="46" t="inlineStr">
        <is>
          <t>Total</t>
        </is>
      </c>
      <c r="I20" s="103">
        <f>SUM(I16:I19)</f>
        <v/>
      </c>
    </row>
    <row r="22">
      <c r="B22" s="34" t="inlineStr">
        <is>
          <t xml:space="preserve">Nota: son ejemplos y los conceptos, pueden agregarse o eliminarse </t>
        </is>
      </c>
    </row>
  </sheetData>
  <mergeCells count="7">
    <mergeCell ref="B5:C5"/>
    <mergeCell ref="B2:I2"/>
    <mergeCell ref="E5:F5"/>
    <mergeCell ref="B14:C14"/>
    <mergeCell ref="H5:I5"/>
    <mergeCell ref="E14:F14"/>
    <mergeCell ref="H14:I14"/>
  </mergeCells>
  <pageMargins left="0.7" right="0.7" top="0.75" bottom="0.75" header="0.3" footer="0.3"/>
  <pageSetup orientation="portrait" paperSize="9"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L31"/>
  <sheetViews>
    <sheetView showGridLines="0" zoomScale="85" zoomScaleNormal="85" workbookViewId="0">
      <selection activeCell="N37" sqref="N37"/>
    </sheetView>
  </sheetViews>
  <sheetFormatPr baseColWidth="8" defaultColWidth="11.453125" defaultRowHeight="14.5"/>
  <cols>
    <col width="3.26953125" customWidth="1" style="38" min="1" max="1"/>
    <col width="12.453125" customWidth="1" style="38" min="2" max="2"/>
    <col width="16" customWidth="1" style="38" min="3" max="4"/>
    <col width="5.1796875" customWidth="1" style="38" min="5" max="5"/>
    <col width="13" customWidth="1" style="38" min="6" max="6"/>
    <col width="16" customWidth="1" style="38" min="7" max="8"/>
    <col width="26.453125" customWidth="1" style="38" min="9" max="9"/>
    <col width="16.453125" customWidth="1" style="38" min="10" max="10"/>
    <col width="12.453125" customWidth="1" style="38" min="11" max="11"/>
  </cols>
  <sheetData>
    <row r="2" ht="21" customHeight="1" s="38">
      <c r="B2" s="104" t="inlineStr">
        <is>
          <t>Capacitaciones planeadas contra las realizadas</t>
        </is>
      </c>
      <c r="C2" s="105" t="n"/>
      <c r="D2" s="105" t="n"/>
      <c r="E2" s="105" t="n"/>
      <c r="F2" s="105" t="n"/>
      <c r="G2" s="105" t="n"/>
      <c r="H2" s="95" t="n"/>
      <c r="I2" s="1" t="n"/>
    </row>
    <row r="3" ht="15.5" customHeight="1" s="38">
      <c r="B3" s="90" t="inlineStr">
        <is>
          <t>Estratégica</t>
        </is>
      </c>
      <c r="C3" s="105" t="n"/>
      <c r="D3" s="95" t="n"/>
      <c r="F3" s="90" t="inlineStr">
        <is>
          <t>Proyecto</t>
        </is>
      </c>
      <c r="G3" s="105" t="n"/>
      <c r="H3" s="95" t="n"/>
    </row>
    <row r="4" ht="29" customHeight="1" s="38">
      <c r="B4" s="58" t="inlineStr">
        <is>
          <t>Mes</t>
        </is>
      </c>
      <c r="C4" s="59" t="inlineStr">
        <is>
          <t>Capacitaciones planeadas</t>
        </is>
      </c>
      <c r="D4" s="59" t="inlineStr">
        <is>
          <t>Capacitaciones realizadas</t>
        </is>
      </c>
      <c r="F4" s="58" t="inlineStr">
        <is>
          <t>Mes</t>
        </is>
      </c>
      <c r="G4" s="59" t="inlineStr">
        <is>
          <t>Capacitaciones planeadas</t>
        </is>
      </c>
      <c r="H4" s="59" t="inlineStr">
        <is>
          <t>Capacitaciones realizadas</t>
        </is>
      </c>
    </row>
    <row r="5">
      <c r="B5" s="3" t="inlineStr">
        <is>
          <t>Enero</t>
        </is>
      </c>
      <c r="C5" s="4" t="n"/>
      <c r="D5" s="4" t="n"/>
      <c r="F5" s="3" t="inlineStr">
        <is>
          <t>Enero</t>
        </is>
      </c>
      <c r="G5" s="4" t="n"/>
      <c r="H5" s="4" t="n"/>
    </row>
    <row r="6">
      <c r="B6" s="3" t="inlineStr">
        <is>
          <t>Febrero</t>
        </is>
      </c>
      <c r="C6" s="5" t="n"/>
      <c r="D6" s="5" t="n"/>
      <c r="F6" s="3" t="inlineStr">
        <is>
          <t>Febrero</t>
        </is>
      </c>
      <c r="G6" s="5" t="n"/>
      <c r="H6" s="5" t="n"/>
    </row>
    <row r="7" ht="15" customHeight="1" s="38" thickBot="1">
      <c r="B7" s="6" t="inlineStr">
        <is>
          <t>Marzo</t>
        </is>
      </c>
      <c r="C7" s="7" t="n"/>
      <c r="D7" s="7" t="n"/>
      <c r="F7" s="6" t="inlineStr">
        <is>
          <t>Marzo</t>
        </is>
      </c>
      <c r="G7" s="7" t="n"/>
      <c r="H7" s="7" t="n"/>
    </row>
    <row r="8" ht="15" customHeight="1" s="38" thickBot="1">
      <c r="B8" s="53" t="inlineStr">
        <is>
          <t>1er trimestre</t>
        </is>
      </c>
      <c r="C8" s="54">
        <f>SUM(C5:C7)</f>
        <v/>
      </c>
      <c r="D8" s="55">
        <f>SUM(D5:D7)</f>
        <v/>
      </c>
      <c r="F8" s="53" t="inlineStr">
        <is>
          <t>1er trimestre</t>
        </is>
      </c>
      <c r="G8" s="54">
        <f>SUM(G5:G7)</f>
        <v/>
      </c>
      <c r="H8" s="55">
        <f>SUM(H5:H7)</f>
        <v/>
      </c>
    </row>
    <row r="9">
      <c r="B9" s="8" t="inlineStr">
        <is>
          <t>Abril</t>
        </is>
      </c>
      <c r="C9" s="9" t="n"/>
      <c r="D9" s="9" t="n"/>
      <c r="F9" s="8" t="inlineStr">
        <is>
          <t>Abril</t>
        </is>
      </c>
      <c r="G9" s="9" t="n"/>
      <c r="H9" s="9" t="n"/>
    </row>
    <row r="10">
      <c r="B10" s="3" t="inlineStr">
        <is>
          <t>Mayo</t>
        </is>
      </c>
      <c r="C10" s="5" t="n"/>
      <c r="D10" s="5" t="n"/>
      <c r="F10" s="3" t="inlineStr">
        <is>
          <t>Mayo</t>
        </is>
      </c>
      <c r="G10" s="5" t="n"/>
      <c r="H10" s="5" t="n"/>
    </row>
    <row r="11" ht="15" customHeight="1" s="38" thickBot="1">
      <c r="B11" s="6" t="inlineStr">
        <is>
          <t>Junio</t>
        </is>
      </c>
      <c r="C11" s="7" t="n"/>
      <c r="D11" s="7" t="n"/>
      <c r="F11" s="6" t="inlineStr">
        <is>
          <t>Junio</t>
        </is>
      </c>
      <c r="G11" s="7" t="n"/>
      <c r="H11" s="7" t="n"/>
    </row>
    <row r="12" ht="15" customHeight="1" s="38" thickBot="1">
      <c r="B12" s="53" t="inlineStr">
        <is>
          <t>2do trimestre</t>
        </is>
      </c>
      <c r="C12" s="54">
        <f>SUM(C9:C11)</f>
        <v/>
      </c>
      <c r="D12" s="55">
        <f>SUM(D9:D11)</f>
        <v/>
      </c>
      <c r="F12" s="53" t="inlineStr">
        <is>
          <t>2do trimestre</t>
        </is>
      </c>
      <c r="G12" s="54">
        <f>SUM(G9:G11)</f>
        <v/>
      </c>
      <c r="H12" s="55">
        <f>SUM(H9:H11)</f>
        <v/>
      </c>
    </row>
    <row r="13">
      <c r="B13" s="8" t="inlineStr">
        <is>
          <t>Julio</t>
        </is>
      </c>
      <c r="C13" s="9" t="n"/>
      <c r="D13" s="9" t="n"/>
      <c r="F13" s="8" t="inlineStr">
        <is>
          <t>Julio</t>
        </is>
      </c>
      <c r="G13" s="9" t="n"/>
      <c r="H13" s="9" t="n"/>
    </row>
    <row r="14">
      <c r="B14" s="3" t="inlineStr">
        <is>
          <t>Agosto</t>
        </is>
      </c>
      <c r="C14" s="5" t="n"/>
      <c r="D14" s="5" t="n"/>
      <c r="F14" s="3" t="inlineStr">
        <is>
          <t>Agosto</t>
        </is>
      </c>
      <c r="G14" s="5" t="n"/>
      <c r="H14" s="5" t="n"/>
    </row>
    <row r="15" ht="15" customHeight="1" s="38" thickBot="1">
      <c r="B15" s="6" t="inlineStr">
        <is>
          <t>Septiembre</t>
        </is>
      </c>
      <c r="C15" s="7" t="n"/>
      <c r="D15" s="7" t="n"/>
      <c r="F15" s="6" t="inlineStr">
        <is>
          <t>Septiembre</t>
        </is>
      </c>
      <c r="G15" s="7" t="n"/>
      <c r="H15" s="7" t="n"/>
    </row>
    <row r="16" ht="15" customHeight="1" s="38" thickBot="1">
      <c r="B16" s="53" t="inlineStr">
        <is>
          <t>3er trimestre</t>
        </is>
      </c>
      <c r="C16" s="54">
        <f>SUM(C13:C15)</f>
        <v/>
      </c>
      <c r="D16" s="55">
        <f>SUM(D13:D15)</f>
        <v/>
      </c>
      <c r="F16" s="53" t="inlineStr">
        <is>
          <t>3er trimestre</t>
        </is>
      </c>
      <c r="G16" s="54">
        <f>SUM(G13:G15)</f>
        <v/>
      </c>
      <c r="H16" s="55">
        <f>SUM(H13:H15)</f>
        <v/>
      </c>
    </row>
    <row r="17">
      <c r="B17" s="8" t="inlineStr">
        <is>
          <t>Octubre</t>
        </is>
      </c>
      <c r="C17" s="9" t="n"/>
      <c r="D17" s="9" t="n"/>
      <c r="F17" s="8" t="inlineStr">
        <is>
          <t>Octubre</t>
        </is>
      </c>
      <c r="G17" s="9" t="n"/>
      <c r="H17" s="9" t="n"/>
    </row>
    <row r="18">
      <c r="B18" s="3" t="inlineStr">
        <is>
          <t>Noviembre</t>
        </is>
      </c>
      <c r="C18" s="5" t="n"/>
      <c r="D18" s="5" t="n"/>
      <c r="F18" s="3" t="inlineStr">
        <is>
          <t>Noviembre</t>
        </is>
      </c>
      <c r="G18" s="5" t="n"/>
      <c r="H18" s="5" t="n"/>
    </row>
    <row r="19" ht="15" customHeight="1" s="38" thickBot="1">
      <c r="B19" s="6" t="inlineStr">
        <is>
          <t>Diciembre</t>
        </is>
      </c>
      <c r="C19" s="7" t="n"/>
      <c r="D19" s="7" t="n"/>
      <c r="F19" s="6" t="inlineStr">
        <is>
          <t>Diciembre</t>
        </is>
      </c>
      <c r="G19" s="7" t="n"/>
      <c r="H19" s="7" t="n"/>
    </row>
    <row r="20" ht="15" customHeight="1" s="38" thickBot="1">
      <c r="B20" s="56" t="inlineStr">
        <is>
          <t>4to trimestre</t>
        </is>
      </c>
      <c r="C20" s="54">
        <f>SUM(C17:C19)</f>
        <v/>
      </c>
      <c r="D20" s="57">
        <f>SUM(D17:D19)</f>
        <v/>
      </c>
      <c r="F20" s="56" t="inlineStr">
        <is>
          <t>4to trimestre</t>
        </is>
      </c>
      <c r="G20" s="54">
        <f>SUM(G17:G19)</f>
        <v/>
      </c>
      <c r="H20" s="55">
        <f>SUM(H17:H19)</f>
        <v/>
      </c>
    </row>
    <row r="23">
      <c r="B23" s="91" t="inlineStr">
        <is>
          <t>Instrucciones: solo se requiere registrar las celdas en blanco, colocando los periodos, las cantidad de capacitaciones planeadas y las realizadas, cada tabla es para un aspecto en concreto, las Estratégicas son aquellas planeadas para la organización en general, mientras que las de Proyecto son especificas para proyectos. 
Estas tablas están divididas en trimestres, pero pueden modificarse de acuerdo a la necesidad de la organización.</t>
        </is>
      </c>
    </row>
    <row r="24"/>
    <row r="25"/>
    <row r="26"/>
    <row r="27"/>
    <row r="28"/>
    <row r="30">
      <c r="D30" s="1" t="n"/>
      <c r="L30" s="20" t="n"/>
    </row>
    <row r="31">
      <c r="D31" s="1" t="n"/>
    </row>
  </sheetData>
  <mergeCells count="4">
    <mergeCell ref="F3:H3"/>
    <mergeCell ref="B2:H2"/>
    <mergeCell ref="B23:H28"/>
    <mergeCell ref="B3:D3"/>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K39"/>
  <sheetViews>
    <sheetView showGridLines="0" zoomScale="115" zoomScaleNormal="115" workbookViewId="0">
      <selection activeCell="A25" sqref="A25:G30"/>
    </sheetView>
  </sheetViews>
  <sheetFormatPr baseColWidth="8" defaultColWidth="10.81640625" defaultRowHeight="14.5"/>
  <cols>
    <col width="13.7265625" customWidth="1" style="38" min="2" max="2"/>
    <col width="13.54296875" customWidth="1" style="38" min="3" max="3"/>
    <col width="13.54296875" customWidth="1" style="38" min="6" max="6"/>
    <col width="14.81640625" customWidth="1" style="38" min="7" max="7"/>
  </cols>
  <sheetData>
    <row r="1" ht="21" customHeight="1" s="38">
      <c r="A1" s="104" t="inlineStr">
        <is>
          <t>Capacitaciones planeadas contra las realizadas</t>
        </is>
      </c>
      <c r="B1" s="105" t="n"/>
      <c r="C1" s="105" t="n"/>
      <c r="D1" s="105" t="n"/>
      <c r="E1" s="105" t="n"/>
      <c r="F1" s="105" t="n"/>
      <c r="G1" s="95" t="n"/>
      <c r="H1" s="1" t="n"/>
    </row>
    <row r="2" ht="15.5" customHeight="1" s="38">
      <c r="A2" s="90" t="inlineStr">
        <is>
          <t>Estratégica</t>
        </is>
      </c>
      <c r="B2" s="105" t="n"/>
      <c r="C2" s="95" t="n"/>
      <c r="E2" s="90" t="inlineStr">
        <is>
          <t>Proyecto</t>
        </is>
      </c>
      <c r="F2" s="105" t="n"/>
      <c r="G2" s="95" t="n"/>
    </row>
    <row r="3" ht="30" customHeight="1" s="38">
      <c r="A3" s="60" t="inlineStr">
        <is>
          <t>Mes</t>
        </is>
      </c>
      <c r="B3" s="61" t="inlineStr">
        <is>
          <t>Capacitaciones planeadas</t>
        </is>
      </c>
      <c r="C3" s="61" t="inlineStr">
        <is>
          <t>Capacitaciones realizadas</t>
        </is>
      </c>
      <c r="E3" s="60" t="inlineStr">
        <is>
          <t>Mes</t>
        </is>
      </c>
      <c r="F3" s="61" t="inlineStr">
        <is>
          <t>Capacitaciones planeadas</t>
        </is>
      </c>
      <c r="G3" s="61" t="inlineStr">
        <is>
          <t>Capacitaciones realizadas</t>
        </is>
      </c>
    </row>
    <row r="4">
      <c r="A4" s="3" t="inlineStr">
        <is>
          <t>Enero</t>
        </is>
      </c>
      <c r="B4" s="4" t="n">
        <v>1</v>
      </c>
      <c r="C4" s="4" t="n">
        <v>1</v>
      </c>
      <c r="E4" s="3" t="inlineStr">
        <is>
          <t>Enero</t>
        </is>
      </c>
      <c r="F4" s="4" t="n">
        <v>3</v>
      </c>
      <c r="G4" s="4" t="n">
        <v>2</v>
      </c>
    </row>
    <row r="5">
      <c r="A5" s="3" t="inlineStr">
        <is>
          <t>Febrero</t>
        </is>
      </c>
      <c r="B5" s="5" t="n">
        <v>0</v>
      </c>
      <c r="C5" s="5" t="n">
        <v>0</v>
      </c>
      <c r="E5" s="3" t="inlineStr">
        <is>
          <t>Febrero</t>
        </is>
      </c>
      <c r="F5" s="5" t="n">
        <v>3</v>
      </c>
      <c r="G5" s="5" t="n">
        <v>3</v>
      </c>
    </row>
    <row r="6">
      <c r="A6" s="3" t="inlineStr">
        <is>
          <t>Marzo</t>
        </is>
      </c>
      <c r="B6" s="5" t="n">
        <v>0</v>
      </c>
      <c r="C6" s="5" t="n">
        <v>0</v>
      </c>
      <c r="E6" s="3" t="inlineStr">
        <is>
          <t>Marzo</t>
        </is>
      </c>
      <c r="F6" s="5" t="n">
        <v>0</v>
      </c>
      <c r="G6" s="5" t="n">
        <v>0</v>
      </c>
    </row>
    <row r="7" ht="15" customHeight="1" s="38" thickBot="1">
      <c r="A7" s="6" t="inlineStr">
        <is>
          <t>Abril</t>
        </is>
      </c>
      <c r="B7" s="7" t="n">
        <v>1</v>
      </c>
      <c r="C7" s="7" t="n">
        <v>1</v>
      </c>
      <c r="E7" s="6" t="inlineStr">
        <is>
          <t>Abril</t>
        </is>
      </c>
      <c r="F7" s="7" t="n">
        <v>0</v>
      </c>
      <c r="G7" s="7" t="n">
        <v>0</v>
      </c>
    </row>
    <row r="8" ht="15" customHeight="1" s="38" thickBot="1">
      <c r="A8" s="53" t="inlineStr">
        <is>
          <t>1er cuatrimestre</t>
        </is>
      </c>
      <c r="B8" s="54">
        <f>SUM(B4:B7)</f>
        <v/>
      </c>
      <c r="C8" s="55">
        <f>SUM(C4:C7)</f>
        <v/>
      </c>
      <c r="E8" s="53" t="inlineStr">
        <is>
          <t>1er cuatrimestre</t>
        </is>
      </c>
      <c r="F8" s="54">
        <f>SUM(F4:F7)</f>
        <v/>
      </c>
      <c r="G8" s="55">
        <f>SUM(G4:G7)</f>
        <v/>
      </c>
    </row>
    <row r="9">
      <c r="A9" s="8" t="inlineStr">
        <is>
          <t>Mayo</t>
        </is>
      </c>
      <c r="B9" s="9" t="n">
        <v>2</v>
      </c>
      <c r="C9" s="9" t="n">
        <v>1</v>
      </c>
      <c r="E9" s="8" t="inlineStr">
        <is>
          <t>Mayo</t>
        </is>
      </c>
      <c r="F9" s="9" t="n">
        <v>3</v>
      </c>
      <c r="G9" s="9" t="n">
        <v>3</v>
      </c>
    </row>
    <row r="10">
      <c r="A10" s="3" t="inlineStr">
        <is>
          <t>Junio</t>
        </is>
      </c>
      <c r="B10" s="5" t="n">
        <v>1</v>
      </c>
      <c r="C10" s="5" t="n">
        <v>1</v>
      </c>
      <c r="E10" s="3" t="inlineStr">
        <is>
          <t>Junio</t>
        </is>
      </c>
      <c r="F10" s="5" t="n">
        <v>2</v>
      </c>
      <c r="G10" s="5" t="n">
        <v>2</v>
      </c>
    </row>
    <row r="11">
      <c r="A11" s="3" t="inlineStr">
        <is>
          <t>Julio</t>
        </is>
      </c>
      <c r="B11" s="5" t="n">
        <v>1</v>
      </c>
      <c r="C11" s="5" t="n">
        <v>1</v>
      </c>
      <c r="E11" s="3" t="inlineStr">
        <is>
          <t>Julio</t>
        </is>
      </c>
      <c r="F11" s="5" t="n">
        <v>2</v>
      </c>
      <c r="G11" s="5" t="n">
        <v>2</v>
      </c>
    </row>
    <row r="12" ht="15" customHeight="1" s="38" thickBot="1">
      <c r="A12" s="6" t="inlineStr">
        <is>
          <t>Agosto</t>
        </is>
      </c>
      <c r="B12" s="7" t="n">
        <v>0</v>
      </c>
      <c r="C12" s="7" t="n">
        <v>1</v>
      </c>
      <c r="E12" s="6" t="inlineStr">
        <is>
          <t>Agosto</t>
        </is>
      </c>
      <c r="F12" s="7" t="n">
        <v>1</v>
      </c>
      <c r="G12" s="7" t="n">
        <v>1</v>
      </c>
    </row>
    <row r="13" ht="15" customHeight="1" s="38" thickBot="1">
      <c r="A13" s="53" t="inlineStr">
        <is>
          <t>2do cuatrimestre</t>
        </is>
      </c>
      <c r="B13" s="54">
        <f>SUM(B9:B12)</f>
        <v/>
      </c>
      <c r="C13" s="55">
        <f>SUM(C9:C12)</f>
        <v/>
      </c>
      <c r="E13" s="53" t="inlineStr">
        <is>
          <t>2do cuatrimestre</t>
        </is>
      </c>
      <c r="F13" s="54">
        <f>SUM(F9:F12)</f>
        <v/>
      </c>
      <c r="G13" s="55">
        <f>SUM(G9:G12)</f>
        <v/>
      </c>
    </row>
    <row r="14">
      <c r="A14" s="8" t="inlineStr">
        <is>
          <t>Septiembre</t>
        </is>
      </c>
      <c r="B14" s="9" t="n">
        <v>2</v>
      </c>
      <c r="C14" s="9" t="n">
        <v>2</v>
      </c>
      <c r="E14" s="8" t="inlineStr">
        <is>
          <t>Septiembre</t>
        </is>
      </c>
      <c r="F14" s="9" t="n">
        <v>1</v>
      </c>
      <c r="G14" s="9" t="n">
        <v>1</v>
      </c>
    </row>
    <row r="15">
      <c r="A15" s="3" t="inlineStr">
        <is>
          <t>Octubre</t>
        </is>
      </c>
      <c r="B15" s="5" t="n">
        <v>2</v>
      </c>
      <c r="C15" s="5" t="n">
        <v>2</v>
      </c>
      <c r="E15" s="3" t="inlineStr">
        <is>
          <t>Octubre</t>
        </is>
      </c>
      <c r="F15" s="5" t="n">
        <v>1</v>
      </c>
      <c r="G15" s="5" t="n">
        <v>1</v>
      </c>
    </row>
    <row r="16">
      <c r="A16" s="3" t="inlineStr">
        <is>
          <t>Noviembre</t>
        </is>
      </c>
      <c r="B16" s="5" t="n">
        <v>1</v>
      </c>
      <c r="C16" s="5" t="n">
        <v>1</v>
      </c>
      <c r="E16" s="3" t="inlineStr">
        <is>
          <t>Noviembre</t>
        </is>
      </c>
      <c r="F16" s="5" t="n">
        <v>0</v>
      </c>
      <c r="G16" s="5" t="n">
        <v>0</v>
      </c>
    </row>
    <row r="17" ht="15" customHeight="1" s="38" thickBot="1">
      <c r="A17" s="6" t="inlineStr">
        <is>
          <t>Diciembre</t>
        </is>
      </c>
      <c r="B17" s="7" t="n">
        <v>0</v>
      </c>
      <c r="C17" s="7" t="n">
        <v>0</v>
      </c>
      <c r="E17" s="6" t="inlineStr">
        <is>
          <t>Diciembre</t>
        </is>
      </c>
      <c r="F17" s="7" t="n">
        <v>0</v>
      </c>
      <c r="G17" s="7" t="n">
        <v>0</v>
      </c>
    </row>
    <row r="18" ht="15" customHeight="1" s="38" thickBot="1">
      <c r="A18" s="53" t="inlineStr">
        <is>
          <t>3er cuatrimestre</t>
        </is>
      </c>
      <c r="B18" s="54">
        <f>SUM(B14:B17)</f>
        <v/>
      </c>
      <c r="C18" s="55">
        <f>SUM(C14:C17)</f>
        <v/>
      </c>
      <c r="E18" s="53" t="inlineStr">
        <is>
          <t>3er cuatrimestre</t>
        </is>
      </c>
      <c r="F18" s="54">
        <f>SUM(F14:F17)</f>
        <v/>
      </c>
      <c r="G18" s="55">
        <f>SUM(G14:G17)</f>
        <v/>
      </c>
    </row>
    <row r="20">
      <c r="A20" s="63" t="inlineStr">
        <is>
          <t>Ejemplo, eliminar y realizar registros reales</t>
        </is>
      </c>
    </row>
    <row r="25">
      <c r="A25" s="91" t="inlineStr">
        <is>
          <t>Instrucciones: solo se requiere registrar las celdas en blanco, colocando los periodos, las cantidad de capacitaciones planeadas y las realizadas, cada tabla es para un aspecto en concreto, las Estratégicas son aquellas planeadas para la organización en general, mientras que las de Proyecto son especificas para proyectos. 
Estas tablas están divididas en cuatrimestres, pero pueden modificarse de acuerdo a la necesidad de la organización.</t>
        </is>
      </c>
    </row>
    <row r="26"/>
    <row r="27"/>
    <row r="28"/>
    <row r="29"/>
    <row r="30"/>
    <row r="32">
      <c r="C32" s="1" t="n"/>
      <c r="K32" s="20" t="n"/>
    </row>
    <row r="33">
      <c r="C33" s="1" t="n"/>
    </row>
    <row r="39">
      <c r="G39" s="62" t="n"/>
    </row>
  </sheetData>
  <mergeCells count="4">
    <mergeCell ref="A1:G1"/>
    <mergeCell ref="E2:G2"/>
    <mergeCell ref="A2:C2"/>
    <mergeCell ref="A25:G30"/>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2:I5"/>
  <sheetViews>
    <sheetView showGridLines="0" workbookViewId="0">
      <selection activeCell="A1" sqref="A1"/>
    </sheetView>
  </sheetViews>
  <sheetFormatPr baseColWidth="8" defaultColWidth="11.453125" defaultRowHeight="14.5"/>
  <cols>
    <col width="19" customWidth="1" style="10" min="1" max="1"/>
    <col width="2.453125" customWidth="1" style="10" min="2" max="2"/>
    <col width="12.7265625" customWidth="1" style="10" min="3" max="3"/>
    <col width="14.1796875" customWidth="1" style="10" min="4" max="4"/>
    <col width="12.7265625" customWidth="1" style="10" min="5" max="5"/>
    <col width="1.7265625" customWidth="1" style="10" min="6" max="6"/>
    <col width="17.453125" customWidth="1" style="10" min="7" max="7"/>
    <col width="10.453125" customWidth="1" style="10" min="8" max="8"/>
    <col width="13.7265625" customWidth="1" style="10" min="9" max="9"/>
    <col width="2" customWidth="1" style="10" min="10" max="10"/>
    <col width="13.7265625" customWidth="1" style="10" min="11" max="11"/>
    <col width="11.453125" customWidth="1" style="10" min="12" max="16384"/>
  </cols>
  <sheetData>
    <row r="1" ht="15" customHeight="1" s="38" thickBot="1"/>
    <row r="2" ht="15" customHeight="1" s="38" thickBot="1">
      <c r="A2" s="22" t="inlineStr">
        <is>
          <t>Capacitación</t>
        </is>
      </c>
      <c r="D2" s="24" t="inlineStr">
        <is>
          <t>Tipo de curso</t>
        </is>
      </c>
      <c r="G2" s="23" t="inlineStr">
        <is>
          <t>Formato</t>
        </is>
      </c>
      <c r="I2" s="22" t="inlineStr">
        <is>
          <t>Estado</t>
        </is>
      </c>
    </row>
    <row r="3">
      <c r="A3" s="11" t="inlineStr">
        <is>
          <t>Estratégica</t>
        </is>
      </c>
      <c r="D3" s="8" t="inlineStr">
        <is>
          <t>Interna</t>
        </is>
      </c>
      <c r="G3" s="3" t="inlineStr">
        <is>
          <t>Presencial</t>
        </is>
      </c>
      <c r="I3" s="12" t="inlineStr">
        <is>
          <t>Cancelada</t>
        </is>
      </c>
    </row>
    <row r="4">
      <c r="A4" s="13" t="inlineStr">
        <is>
          <t>Proyecto</t>
        </is>
      </c>
      <c r="D4" s="3" t="inlineStr">
        <is>
          <t>Externa</t>
        </is>
      </c>
      <c r="G4" s="3" t="inlineStr">
        <is>
          <t>Remoto</t>
        </is>
      </c>
      <c r="I4" s="3" t="inlineStr">
        <is>
          <t>Realizada</t>
        </is>
      </c>
    </row>
    <row r="5">
      <c r="D5" s="3" t="inlineStr">
        <is>
          <t>Proveedor</t>
        </is>
      </c>
      <c r="G5" s="3" t="inlineStr">
        <is>
          <t>Hibrido</t>
        </is>
      </c>
      <c r="I5" s="3" t="inlineStr">
        <is>
          <t>Replanificada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Quintero N.</dc:creator>
  <dcterms:created xmlns:dcterms="http://purl.org/dc/terms/" xmlns:xsi="http://www.w3.org/2001/XMLSchema-instance" xsi:type="dcterms:W3CDTF">2019-10-02T22:37:43Z</dcterms:created>
  <dcterms:modified xmlns:dcterms="http://purl.org/dc/terms/" xmlns:xsi="http://www.w3.org/2001/XMLSchema-instance" xsi:type="dcterms:W3CDTF">2026-09-18T00:19:55Z</dcterms:modified>
  <cp:lastModifiedBy>Carlos Quintero 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0x0101005F79CA91C779E94BAF39074ADA180F65</vt:lpwstr>
  </property>
  <property name="IsMyDocuments" fmtid="{D5CDD505-2E9C-101B-9397-08002B2CF9AE}" pid="3">
    <vt:bool xmlns:vt="http://schemas.openxmlformats.org/officeDocument/2006/docPropsVTypes">1</vt:bool>
  </property>
  <property name="Order" fmtid="{D5CDD505-2E9C-101B-9397-08002B2CF9AE}" pid="4">
    <vt:r8 xmlns:vt="http://schemas.openxmlformats.org/officeDocument/2006/docPropsVTypes">1329400</vt:r8>
  </property>
  <property name="_ExtendedDescription" fmtid="{D5CDD505-2E9C-101B-9397-08002B2CF9AE}" pid="5">
    <vt:lpwstr xmlns:vt="http://schemas.openxmlformats.org/officeDocument/2006/docPropsVTypes"/>
  </property>
  <property name="TriggerFlowInfo"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MediaServiceImageTags" fmtid="{D5CDD505-2E9C-101B-9397-08002B2CF9AE}" pid="8">
    <vt:lpwstr xmlns:vt="http://schemas.openxmlformats.org/officeDocument/2006/docPropsVTypes"/>
  </property>
  <property name="Email" fmtid="{D5CDD505-2E9C-101B-9397-08002B2CF9AE}" pid="9">
    <vt:lpwstr xmlns:vt="http://schemas.openxmlformats.org/officeDocument/2006/docPropsVTypes">carlos.quintero@4js.com</vt:lpwstr>
  </property>
</Properties>
</file>