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2" autoFilterDateGrouping="1"/>
  </bookViews>
  <sheets>
    <sheet xmlns:r="http://schemas.openxmlformats.org/officeDocument/2006/relationships" name="Historial de versiones" sheetId="1" state="visible" r:id="rId1"/>
    <sheet xmlns:r="http://schemas.openxmlformats.org/officeDocument/2006/relationships" name="Lista" sheetId="2" state="hidden" r:id="rId2"/>
    <sheet xmlns:r="http://schemas.openxmlformats.org/officeDocument/2006/relationships" name="1.-Análisis de decisión" sheetId="3" state="visible" r:id="rId3"/>
    <sheet xmlns:r="http://schemas.openxmlformats.org/officeDocument/2006/relationships" name="Registro de decisiones" sheetId="4" state="hidden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sz val="12"/>
    </font>
    <font>
      <name val="Calibri"/>
      <family val="2"/>
      <b val="1"/>
      <color theme="1"/>
      <sz val="14"/>
      <scheme val="minor"/>
    </font>
    <font>
      <name val="Calibri"/>
      <family val="2"/>
      <sz val="10"/>
    </font>
    <font>
      <name val="Times New Roman"/>
      <family val="1"/>
      <b val="1"/>
      <color theme="0"/>
      <sz val="14"/>
    </font>
    <font>
      <name val="Times New Roman"/>
      <family val="1"/>
      <sz val="10"/>
    </font>
    <font>
      <name val="Calibri"/>
      <family val="2"/>
      <b val="1"/>
      <color theme="0"/>
      <sz val="14"/>
    </font>
    <font>
      <name val="Times New Roman"/>
      <family val="1"/>
      <color rgb="FFC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Tahoma"/>
      <family val="2"/>
      <color indexed="81"/>
      <sz val="9"/>
    </font>
    <font>
      <name val="Calibri"/>
      <family val="2"/>
      <i val="1"/>
      <color theme="1" tint="0.249977111117893"/>
      <sz val="10"/>
      <scheme val="minor"/>
    </font>
    <font>
      <name val="Calibri"/>
      <family val="2"/>
      <color theme="1" tint="0.249977111117893"/>
      <sz val="11"/>
      <scheme val="minor"/>
    </font>
    <font>
      <name val="Calibri"/>
      <family val="2"/>
      <i val="1"/>
      <color theme="1" tint="0.249977111117893"/>
      <sz val="11"/>
    </font>
    <font>
      <name val="Calibri"/>
      <family val="2"/>
      <b val="1"/>
      <i val="1"/>
      <color theme="1" tint="0.249977111117893"/>
      <sz val="11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" tint="0.249977111117893"/>
      <sz val="10"/>
      <scheme val="minor"/>
    </font>
    <font>
      <name val="Calibri"/>
      <family val="2"/>
      <b val="1"/>
      <color theme="1" tint="0.249977111117893"/>
      <sz val="10"/>
      <scheme val="minor"/>
    </font>
  </fonts>
  <fills count="14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7" fillId="3" borderId="5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  <xf numFmtId="0" fontId="7" fillId="3" borderId="7" applyAlignment="1" pivotButton="0" quotePrefix="0" xfId="0">
      <alignment horizontal="center" vertical="center" wrapText="1"/>
    </xf>
    <xf numFmtId="0" fontId="7" fillId="3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1" fontId="8" fillId="0" borderId="10" applyAlignment="1" pivotButton="0" quotePrefix="0" xfId="0">
      <alignment horizontal="center" vertical="center"/>
    </xf>
    <xf numFmtId="1" fontId="8" fillId="0" borderId="1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center" vertical="center"/>
    </xf>
    <xf numFmtId="1" fontId="8" fillId="0" borderId="11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 wrapText="1"/>
    </xf>
    <xf numFmtId="0" fontId="7" fillId="3" borderId="17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18" applyAlignment="1" pivotButton="0" quotePrefix="0" xfId="0">
      <alignment horizontal="center" wrapText="1"/>
    </xf>
    <xf numFmtId="0" fontId="13" fillId="0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20" pivotButton="0" quotePrefix="0" xfId="0"/>
    <xf numFmtId="0" fontId="15" fillId="6" borderId="2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7" borderId="1" pivotButton="0" quotePrefix="0" xfId="0"/>
    <xf numFmtId="0" fontId="11" fillId="0" borderId="1" applyAlignment="1" pivotButton="0" quotePrefix="0" xfId="0">
      <alignment horizontal="center" vertical="center"/>
    </xf>
    <xf numFmtId="0" fontId="12" fillId="0" borderId="18" pivotButton="0" quotePrefix="0" xfId="0"/>
    <xf numFmtId="0" fontId="0" fillId="9" borderId="0" pivotButton="0" quotePrefix="0" xfId="0"/>
    <xf numFmtId="0" fontId="10" fillId="2" borderId="1" applyAlignment="1" applyProtection="1" pivotButton="0" quotePrefix="0" xfId="0">
      <alignment horizontal="left" vertical="center" wrapText="1"/>
      <protection locked="0" hidden="0"/>
    </xf>
    <xf numFmtId="0" fontId="23" fillId="0" borderId="1" applyAlignment="1" pivotButton="0" quotePrefix="0" xfId="0">
      <alignment horizontal="center" vertical="center" wrapText="1"/>
    </xf>
    <xf numFmtId="0" fontId="18" fillId="0" borderId="1" applyAlignment="1" applyProtection="1" pivotButton="0" quotePrefix="0" xfId="0">
      <alignment horizontal="left" vertical="center" wrapText="1"/>
      <protection locked="0" hidden="0"/>
    </xf>
    <xf numFmtId="0" fontId="23" fillId="8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/>
    </xf>
    <xf numFmtId="0" fontId="9" fillId="11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justify" vertical="center" wrapText="1"/>
    </xf>
    <xf numFmtId="0" fontId="28" fillId="5" borderId="1" applyAlignment="1" applyProtection="1" pivotButton="0" quotePrefix="0" xfId="0">
      <alignment horizontal="left" vertical="center" wrapText="1"/>
      <protection locked="0" hidden="0"/>
    </xf>
    <xf numFmtId="14" fontId="28" fillId="2" borderId="1" applyAlignment="1" applyProtection="1" pivotButton="0" quotePrefix="0" xfId="0">
      <alignment horizontal="left" vertical="center" wrapText="1"/>
      <protection locked="0" hidden="0"/>
    </xf>
    <xf numFmtId="0" fontId="28" fillId="0" borderId="1" pivotButton="0" quotePrefix="0" xfId="0"/>
    <xf numFmtId="0" fontId="18" fillId="12" borderId="1" applyAlignment="1" applyProtection="1" pivotButton="0" quotePrefix="0" xfId="0">
      <alignment horizontal="left" vertical="center" wrapText="1"/>
      <protection locked="0" hidden="0"/>
    </xf>
    <xf numFmtId="0" fontId="0" fillId="12" borderId="1" applyAlignment="1" applyProtection="1" pivotButton="0" quotePrefix="0" xfId="0">
      <alignment horizontal="center" vertical="center"/>
      <protection locked="0" hidden="0"/>
    </xf>
    <xf numFmtId="0" fontId="13" fillId="12" borderId="1" applyAlignment="1" applyProtection="1" pivotButton="0" quotePrefix="0" xfId="0">
      <alignment horizontal="center" vertical="center"/>
      <protection locked="0" hidden="0"/>
    </xf>
    <xf numFmtId="0" fontId="24" fillId="7" borderId="20" applyAlignment="1" pivotButton="0" quotePrefix="0" xfId="0">
      <alignment horizontal="center" vertical="center" wrapText="1"/>
    </xf>
    <xf numFmtId="0" fontId="25" fillId="7" borderId="21" applyAlignment="1" pivotButton="0" quotePrefix="0" xfId="0">
      <alignment horizontal="center" vertical="center" wrapText="1"/>
    </xf>
    <xf numFmtId="0" fontId="28" fillId="0" borderId="22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8" fillId="5" borderId="1" applyAlignment="1" applyProtection="1" pivotButton="0" quotePrefix="0" xfId="0">
      <alignment horizontal="left" wrapText="1"/>
      <protection locked="0" hidden="0"/>
    </xf>
    <xf numFmtId="0" fontId="23" fillId="8" borderId="1" applyAlignment="1" pivotButton="0" quotePrefix="0" xfId="0">
      <alignment horizontal="center" vertical="center" wrapText="1"/>
    </xf>
    <xf numFmtId="0" fontId="28" fillId="12" borderId="1" applyAlignment="1" applyProtection="1" pivotButton="0" quotePrefix="0" xfId="0">
      <alignment horizontal="center" vertical="top" wrapText="1"/>
      <protection locked="0" hidden="0"/>
    </xf>
    <xf numFmtId="0" fontId="18" fillId="12" borderId="1" applyAlignment="1" applyProtection="1" pivotButton="0" quotePrefix="0" xfId="0">
      <alignment horizontal="left" vertical="center"/>
      <protection locked="0" hidden="0"/>
    </xf>
    <xf numFmtId="0" fontId="27" fillId="1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28" fillId="0" borderId="1" applyAlignment="1" applyProtection="1" pivotButton="0" quotePrefix="0" xfId="0">
      <alignment horizontal="left" wrapText="1"/>
      <protection locked="0" hidden="0"/>
    </xf>
    <xf numFmtId="0" fontId="19" fillId="0" borderId="1" applyAlignment="1" applyProtection="1" pivotButton="0" quotePrefix="0" xfId="0">
      <alignment horizontal="center" vertical="top" wrapText="1"/>
      <protection locked="0" hidden="0"/>
    </xf>
    <xf numFmtId="0" fontId="0" fillId="0" borderId="4" applyAlignment="1" applyProtection="1" pivotButton="0" quotePrefix="0" xfId="0">
      <alignment horizontal="center" vertical="top" wrapText="1"/>
      <protection locked="0" hidden="0"/>
    </xf>
    <xf numFmtId="0" fontId="0" fillId="0" borderId="2" applyAlignment="1" applyProtection="1" pivotButton="0" quotePrefix="0" xfId="0">
      <alignment horizontal="center" vertical="top" wrapText="1"/>
      <protection locked="0" hidden="0"/>
    </xf>
    <xf numFmtId="0" fontId="0" fillId="0" borderId="1" applyAlignment="1" applyProtection="1" pivotButton="0" quotePrefix="0" xfId="0">
      <alignment horizontal="center" vertical="top" wrapText="1"/>
      <protection locked="0" hidden="0"/>
    </xf>
    <xf numFmtId="0" fontId="19" fillId="0" borderId="1" applyAlignment="1" applyProtection="1" pivotButton="0" quotePrefix="0" xfId="0">
      <alignment horizontal="center" vertical="center" wrapText="1"/>
      <protection locked="0" hidden="0"/>
    </xf>
    <xf numFmtId="0" fontId="0" fillId="12" borderId="1" applyAlignment="1" applyProtection="1" pivotButton="0" quotePrefix="0" xfId="0">
      <alignment horizontal="center" vertical="top" wrapText="1"/>
      <protection locked="0" hidden="0"/>
    </xf>
    <xf numFmtId="0" fontId="19" fillId="12" borderId="1" applyAlignment="1" applyProtection="1" pivotButton="0" quotePrefix="0" xfId="0">
      <alignment horizontal="center" vertical="top" wrapText="1"/>
      <protection locked="0" hidden="0"/>
    </xf>
    <xf numFmtId="0" fontId="0" fillId="12" borderId="4" applyAlignment="1" applyProtection="1" pivotButton="0" quotePrefix="0" xfId="0">
      <alignment horizontal="center" vertical="top" wrapText="1"/>
      <protection locked="0" hidden="0"/>
    </xf>
    <xf numFmtId="0" fontId="0" fillId="12" borderId="2" applyAlignment="1" applyProtection="1" pivotButton="0" quotePrefix="0" xfId="0">
      <alignment horizontal="center" vertical="top" wrapText="1"/>
      <protection locked="0" hidden="0"/>
    </xf>
    <xf numFmtId="0" fontId="27" fillId="11" borderId="1" applyAlignment="1" pivotButton="0" quotePrefix="0" xfId="0">
      <alignment horizontal="center"/>
    </xf>
    <xf numFmtId="0" fontId="11" fillId="7" borderId="1" applyAlignment="1" pivotButton="0" quotePrefix="0" xfId="0">
      <alignment horizontal="center" vertical="center"/>
    </xf>
    <xf numFmtId="0" fontId="22" fillId="7" borderId="4" applyAlignment="1" pivotButton="0" quotePrefix="0" xfId="0">
      <alignment horizontal="center" vertical="top" wrapText="1"/>
    </xf>
    <xf numFmtId="0" fontId="22" fillId="7" borderId="3" applyAlignment="1" pivotButton="0" quotePrefix="0" xfId="0">
      <alignment horizontal="center" vertical="top" wrapText="1"/>
    </xf>
    <xf numFmtId="0" fontId="22" fillId="7" borderId="2" applyAlignment="1" pivotButton="0" quotePrefix="0" xfId="0">
      <alignment horizontal="center" vertical="top" wrapText="1"/>
    </xf>
    <xf numFmtId="0" fontId="12" fillId="7" borderId="0" applyAlignment="1" pivotButton="0" quotePrefix="0" xfId="0">
      <alignment horizontal="center" vertical="center"/>
    </xf>
    <xf numFmtId="0" fontId="12" fillId="7" borderId="19" applyAlignment="1" pivotButton="0" quotePrefix="0" xfId="0">
      <alignment horizontal="center" vertical="center"/>
    </xf>
    <xf numFmtId="0" fontId="12" fillId="7" borderId="11" applyAlignment="1" pivotButton="0" quotePrefix="0" xfId="0">
      <alignment horizontal="center" vertical="center" wrapText="1"/>
    </xf>
    <xf numFmtId="0" fontId="12" fillId="7" borderId="18" applyAlignment="1" pivotButton="0" quotePrefix="0" xfId="0">
      <alignment horizontal="center" vertical="center" wrapText="1"/>
    </xf>
    <xf numFmtId="0" fontId="21" fillId="7" borderId="11" applyAlignment="1" applyProtection="1" pivotButton="0" quotePrefix="0" xfId="0">
      <alignment horizontal="center" vertical="center" wrapText="1"/>
      <protection locked="0" hidden="0"/>
    </xf>
    <xf numFmtId="0" fontId="23" fillId="8" borderId="1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center" vertical="center" wrapText="1"/>
    </xf>
    <xf numFmtId="0" fontId="28" fillId="2" borderId="1" applyAlignment="1" applyProtection="1" pivotButton="0" quotePrefix="0" xfId="0">
      <alignment horizontal="left" vertical="center" wrapText="1"/>
      <protection locked="0" hidden="0"/>
    </xf>
    <xf numFmtId="0" fontId="29" fillId="2" borderId="1" applyAlignment="1" applyProtection="1" pivotButton="0" quotePrefix="0" xfId="0">
      <alignment horizontal="left" vertical="center" wrapText="1"/>
      <protection locked="0" hidden="0"/>
    </xf>
    <xf numFmtId="0" fontId="28" fillId="13" borderId="1" applyAlignment="1" applyProtection="1" pivotButton="0" quotePrefix="0" xfId="0">
      <alignment horizontal="left" vertical="center" wrapText="1"/>
      <protection locked="0" hidden="0"/>
    </xf>
    <xf numFmtId="0" fontId="27" fillId="11" borderId="23" applyAlignment="1" pivotButton="0" quotePrefix="0" xfId="0">
      <alignment horizontal="center"/>
    </xf>
    <xf numFmtId="0" fontId="18" fillId="0" borderId="1" applyAlignment="1" applyProtection="1" pivotButton="0" quotePrefix="0" xfId="0">
      <alignment horizontal="left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4" fontId="20" fillId="0" borderId="1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3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32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19" pivotButton="0" quotePrefix="0" xfId="0"/>
    <xf numFmtId="0" fontId="0" fillId="0" borderId="11" pivotButton="0" quotePrefix="0" xfId="0"/>
    <xf numFmtId="0" fontId="22" fillId="7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Documentación Innevo</author>
    <author>Pedro Alatorre</author>
  </authors>
  <commentList>
    <comment ref="J3" authorId="0" shapeId="0">
      <text>
        <t>Puesto que desempeña en la organización</t>
      </text>
    </comment>
    <comment ref="L3" authorId="0" shapeId="0">
      <text>
        <t>Rol que desempeña en el análisis de decisiones</t>
      </text>
    </comment>
    <comment ref="A7" authorId="1" shapeId="0">
      <text>
        <t>1-Requisitos
2.-Análisis 
3.-Diseño
4.-Codificación
5.-Prueba</t>
      </text>
    </comment>
    <comment ref="D7" authorId="1" shapeId="0">
      <text>
        <t>El orden y codificación de la fecha queda a política de la empresa</t>
      </text>
    </comment>
    <comment ref="A8" authorId="1" shapeId="0">
      <text>
        <t>Organizacional = Interno
Proyecto = Externo</t>
      </text>
    </comment>
    <comment ref="A12" authorId="1" shapeId="0">
      <text>
        <t xml:space="preserve">Ordenar de mayor a menor importancia </t>
      </text>
    </comment>
    <comment ref="D12" authorId="0" shapeId="0">
      <text>
        <t>Modificar la escala o rangos que mejor se adecue al análisis</t>
      </text>
    </comment>
    <comment ref="E12" authorId="0" shapeId="0">
      <text>
        <t>Descripción de los valores en el rango o escala</t>
      </text>
    </comment>
    <comment ref="A20" authorId="0" shapeId="0">
      <text>
        <t>Criterios de decisión que se utilizarán para calificar las alternativas.</t>
      </text>
    </comment>
    <comment ref="D20" authorId="0" shapeId="0">
      <text>
        <t>Registrar las alternativas a analizar, agregar alternativas de ser necesario, mínimo se requieren dos alternativas.</t>
      </text>
    </comment>
    <comment ref="A34" authorId="0" shapeId="0">
      <text>
        <t>Criterios para seleccionar alternativas</t>
      </text>
    </comment>
    <comment ref="C34" authorId="0" shapeId="0">
      <text>
        <t>Qué método se utilizó para comparar opciones y elegir alternativas</t>
      </text>
    </comment>
    <comment ref="E34" authorId="0" shapeId="0">
      <text>
        <t>Descripción detallada de las opciones, su método de comparación y cual fue seleccionada como Alternativa.</t>
      </text>
    </comment>
  </commentList>
</comments>
</file>

<file path=xl/comments/comment2.xml><?xml version="1.0" encoding="utf-8"?>
<comments xmlns="http://schemas.openxmlformats.org/spreadsheetml/2006/main">
  <authors>
    <author>Tania Lopez</author>
  </authors>
  <commentList>
    <comment ref="C5" authorId="0" shapeId="0">
      <text>
        <t xml:space="preserve">Nombre del proyecto
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9" sqref="A9"/>
    </sheetView>
  </sheetViews>
  <sheetFormatPr baseColWidth="10" defaultColWidth="11.44140625" defaultRowHeight="14.4"/>
  <cols>
    <col width="20.33203125" customWidth="1" min="1" max="1"/>
    <col width="23.5546875" customWidth="1" min="2" max="2"/>
    <col width="53.109375" customWidth="1" min="3" max="3"/>
    <col width="20" customWidth="1" min="4" max="4"/>
  </cols>
  <sheetData>
    <row r="1">
      <c r="A1" s="86" t="inlineStr">
        <is>
          <t>Logo de la empresa</t>
        </is>
      </c>
      <c r="B1" s="92" t="n"/>
    </row>
    <row r="2" ht="38.1" customHeight="1">
      <c r="A2" s="93" t="n"/>
      <c r="B2" s="94" t="n"/>
    </row>
    <row r="3" ht="30" customHeight="1">
      <c r="A3" s="88" t="inlineStr">
        <is>
          <t>Alcance a nivel proyecto.</t>
        </is>
      </c>
    </row>
    <row r="4"/>
    <row r="6" ht="18" customHeight="1">
      <c r="A6" s="87" t="inlineStr">
        <is>
          <t>Historial de versiones</t>
        </is>
      </c>
    </row>
    <row r="8" ht="18" customHeight="1">
      <c r="A8" s="37" t="inlineStr">
        <is>
          <t>Fecha</t>
        </is>
      </c>
      <c r="B8" s="37" t="inlineStr">
        <is>
          <t>Versión</t>
        </is>
      </c>
      <c r="C8" s="37" t="inlineStr">
        <is>
          <t>Descripción</t>
        </is>
      </c>
      <c r="D8" s="37" t="inlineStr">
        <is>
          <t>Autor</t>
        </is>
      </c>
    </row>
    <row r="9" ht="33" customHeight="1">
      <c r="A9" s="91" t="n">
        <v>46023</v>
      </c>
      <c r="B9" s="39" t="inlineStr">
        <is>
          <t>Versión 1.0</t>
        </is>
      </c>
      <c r="C9" s="38" t="inlineStr">
        <is>
          <t>Creación del documento</t>
        </is>
      </c>
      <c r="D9" s="38" t="inlineStr">
        <is>
          <t>Carlos Quintero N.</t>
        </is>
      </c>
    </row>
    <row r="10" ht="45" customHeight="1">
      <c r="A10" s="40" t="inlineStr">
        <is>
          <t>27/07/2026</t>
        </is>
      </c>
      <c r="B10" s="41" t="inlineStr">
        <is>
          <t>Versión 2.0</t>
        </is>
      </c>
      <c r="C10" s="42" t="inlineStr">
        <is>
          <t>Se completa el registro real del análisis de decisión SW_DIS_1 (habilitación de la re-portabilidad) para el proyecto Portabilidad de Derechos Pensionarios ISSSTE-IMSS.</t>
        </is>
      </c>
      <c r="D10" s="40" t="inlineStr">
        <is>
          <t>Carlos Quintero N.</t>
        </is>
      </c>
    </row>
    <row r="11" ht="30" customHeight="1">
      <c r="A11" s="40" t="inlineStr">
        <is>
          <t>27/07/2026</t>
        </is>
      </c>
      <c r="B11" s="41" t="inlineStr">
        <is>
          <t>Versión 2.1</t>
        </is>
      </c>
      <c r="C11" s="42" t="inlineStr">
        <is>
          <t>Revisión general de consistencia de la sesión: se corrige el error de celda "#VALUE!".</t>
        </is>
      </c>
      <c r="D11" s="40" t="inlineStr">
        <is>
          <t>Carlos Quintero N.</t>
        </is>
      </c>
    </row>
    <row r="12" ht="33" customHeight="1">
      <c r="A12" s="40" t="n"/>
      <c r="B12" s="41" t="n"/>
      <c r="C12" s="42" t="n"/>
      <c r="D12" s="40" t="n"/>
    </row>
    <row r="14">
      <c r="A14" t="inlineStr">
        <is>
          <t>Si se cuenta un sistema de versionado eliminar esta página</t>
        </is>
      </c>
    </row>
  </sheetData>
  <mergeCells count="3">
    <mergeCell ref="A1:B2"/>
    <mergeCell ref="A3:B4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5"/>
  <sheetViews>
    <sheetView workbookViewId="0">
      <selection activeCell="A1" sqref="A1"/>
    </sheetView>
  </sheetViews>
  <sheetFormatPr baseColWidth="10" defaultColWidth="11.44140625" defaultRowHeight="14.4"/>
  <cols>
    <col width="19.6640625" customWidth="1" min="2" max="2"/>
    <col width="15.44140625" customWidth="1" min="4" max="4"/>
  </cols>
  <sheetData>
    <row r="2">
      <c r="B2" s="22" t="inlineStr">
        <is>
          <t>Nivel</t>
        </is>
      </c>
      <c r="D2" s="26" t="inlineStr">
        <is>
          <t>Rol</t>
        </is>
      </c>
    </row>
    <row r="3">
      <c r="B3" s="21" t="inlineStr">
        <is>
          <t>Organizacional</t>
        </is>
      </c>
      <c r="D3" s="25" t="inlineStr">
        <is>
          <t>Líder de decisión</t>
        </is>
      </c>
    </row>
    <row r="4">
      <c r="B4" s="21" t="inlineStr">
        <is>
          <t>Proyecto</t>
        </is>
      </c>
      <c r="D4" s="25" t="inlineStr">
        <is>
          <t>Aprobador</t>
        </is>
      </c>
    </row>
    <row r="5">
      <c r="D5" s="25" t="inlineStr">
        <is>
          <t>Facilitador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L39"/>
  <sheetViews>
    <sheetView showGridLines="0" tabSelected="1" topLeftCell="A28" zoomScale="130" zoomScaleNormal="130" workbookViewId="0">
      <selection activeCell="E36" sqref="E36:J36"/>
    </sheetView>
  </sheetViews>
  <sheetFormatPr baseColWidth="10" defaultColWidth="11.44140625" defaultRowHeight="14.4"/>
  <cols>
    <col width="13.109375" customWidth="1" min="1" max="1"/>
    <col width="3.5546875" customWidth="1" min="2" max="2"/>
    <col width="16.44140625" customWidth="1" min="3" max="3"/>
    <col width="13.109375" customWidth="1" min="5" max="5"/>
    <col width="16.44140625" customWidth="1" min="12" max="12"/>
    <col width="14.88671875" customWidth="1" min="20" max="20"/>
    <col width="25.33203125" customWidth="1" min="21" max="21"/>
  </cols>
  <sheetData>
    <row r="1" ht="9.6" customHeight="1"/>
    <row r="2" ht="16.95" customHeight="1">
      <c r="G2" s="84" t="inlineStr">
        <is>
          <t>Participantes</t>
        </is>
      </c>
      <c r="H2" s="95" t="n"/>
      <c r="I2" s="95" t="n"/>
      <c r="J2" s="95" t="n"/>
      <c r="K2" s="95" t="n"/>
      <c r="L2" s="95" t="n"/>
    </row>
    <row r="3" ht="15.6" customHeight="1">
      <c r="A3" s="80" t="inlineStr">
        <is>
          <t>Registro de Decisión</t>
        </is>
      </c>
      <c r="B3" s="96" t="n"/>
      <c r="C3" s="96" t="n"/>
      <c r="D3" s="96" t="n"/>
      <c r="E3" s="97" t="n"/>
      <c r="G3" s="54" t="inlineStr">
        <is>
          <t>Participantes de la Decisión</t>
        </is>
      </c>
      <c r="H3" s="96" t="n"/>
      <c r="I3" s="97" t="n"/>
      <c r="J3" s="54" t="inlineStr">
        <is>
          <t>Puesto</t>
        </is>
      </c>
      <c r="K3" s="97" t="n"/>
      <c r="L3" s="36" t="inlineStr">
        <is>
          <t>Rol</t>
        </is>
      </c>
    </row>
    <row r="4" ht="31.2" customHeight="1">
      <c r="A4" s="79" t="inlineStr">
        <is>
          <t>ID:</t>
        </is>
      </c>
      <c r="B4" s="97" t="n"/>
      <c r="C4" s="81" t="inlineStr">
        <is>
          <t>SW_DIS_1</t>
        </is>
      </c>
      <c r="D4" s="98" t="n"/>
      <c r="E4" s="99" t="n"/>
      <c r="G4" s="59" t="inlineStr">
        <is>
          <t>Miriam Ivonne Nuñez Zavala</t>
        </is>
      </c>
      <c r="H4" s="98" t="n"/>
      <c r="I4" s="99" t="n"/>
      <c r="J4" s="53" t="inlineStr">
        <is>
          <t>Responsable funcional y técnico ISSSTE</t>
        </is>
      </c>
      <c r="K4" s="99" t="n"/>
      <c r="L4" s="45" t="inlineStr">
        <is>
          <t>Líder de decisión</t>
        </is>
      </c>
    </row>
    <row r="5" ht="45" customHeight="1">
      <c r="A5" s="79" t="inlineStr">
        <is>
          <t>Objetivo:</t>
        </is>
      </c>
      <c r="B5" s="92" t="n"/>
      <c r="C5" s="83" t="inlineStr">
        <is>
          <t>Definir el enfoque técnico para habilitar la re-portabilidad sin que los periodos ya marcados (clave 410 en uso_pen) constituyan un impedimento</t>
        </is>
      </c>
      <c r="D5" s="100" t="n"/>
      <c r="E5" s="101" t="n"/>
      <c r="G5" s="59" t="inlineStr">
        <is>
          <t>Carlos Quintero Nava</t>
        </is>
      </c>
      <c r="H5" s="98" t="n"/>
      <c r="I5" s="99" t="n"/>
      <c r="J5" s="53" t="inlineStr">
        <is>
          <t>Systems Engineer</t>
        </is>
      </c>
      <c r="K5" s="99" t="n"/>
      <c r="L5" s="45" t="inlineStr">
        <is>
          <t>Facilitador</t>
        </is>
      </c>
    </row>
    <row r="6" ht="14.4" customHeight="1">
      <c r="A6" s="93" t="n"/>
      <c r="B6" s="94" t="n"/>
      <c r="C6" s="102" t="n"/>
      <c r="D6" s="103" t="n"/>
      <c r="E6" s="104" t="n"/>
      <c r="G6" s="59" t="inlineStr">
        <is>
          <t>Carlos Quintero Nava</t>
        </is>
      </c>
      <c r="H6" s="98" t="n"/>
      <c r="I6" s="99" t="n"/>
      <c r="J6" s="53" t="inlineStr">
        <is>
          <t>Systems Engineer</t>
        </is>
      </c>
      <c r="K6" s="99" t="n"/>
      <c r="L6" s="45" t="inlineStr">
        <is>
          <t>Analista</t>
        </is>
      </c>
    </row>
    <row r="7" ht="41.4" customHeight="1">
      <c r="A7" s="79" t="inlineStr">
        <is>
          <t>Fase:</t>
        </is>
      </c>
      <c r="B7" s="97" t="n"/>
      <c r="C7" s="43" t="inlineStr">
        <is>
          <t>Diseño</t>
        </is>
      </c>
      <c r="D7" s="79" t="inlineStr">
        <is>
          <t>Fecha inicio:</t>
        </is>
      </c>
      <c r="E7" s="44" t="inlineStr">
        <is>
          <t>20/07/2026</t>
        </is>
      </c>
      <c r="G7" s="59" t="inlineStr">
        <is>
          <t>Carlos Quintero Nava</t>
        </is>
      </c>
      <c r="H7" s="98" t="n"/>
      <c r="I7" s="99" t="n"/>
      <c r="J7" s="53" t="inlineStr">
        <is>
          <t>Systems Engineer</t>
        </is>
      </c>
      <c r="K7" s="99" t="n"/>
      <c r="L7" s="45" t="inlineStr">
        <is>
          <t>Desarrollador</t>
        </is>
      </c>
    </row>
    <row r="8" ht="27.6" customHeight="1">
      <c r="A8" s="58" t="inlineStr">
        <is>
          <t>Nivel:</t>
        </is>
      </c>
      <c r="B8" s="97" t="n"/>
      <c r="C8" s="30" t="inlineStr">
        <is>
          <t>Proyecto</t>
        </is>
      </c>
      <c r="D8" s="79" t="inlineStr">
        <is>
          <t>Fecha fin:</t>
        </is>
      </c>
      <c r="E8" s="44" t="inlineStr">
        <is>
          <t>27/07/2026</t>
        </is>
      </c>
      <c r="G8" s="59" t="inlineStr">
        <is>
          <t>Miriam Ivonne Nuñez Zavala</t>
        </is>
      </c>
      <c r="H8" s="98" t="n"/>
      <c r="I8" s="99" t="n"/>
      <c r="J8" s="53" t="inlineStr">
        <is>
          <t>Responsable funcional y técnico ISSSTE</t>
        </is>
      </c>
      <c r="K8" s="99" t="n"/>
      <c r="L8" s="45" t="inlineStr">
        <is>
          <t>Aprobador</t>
        </is>
      </c>
    </row>
    <row r="11" ht="15.6" customHeight="1">
      <c r="A11" s="57" t="inlineStr">
        <is>
          <t>Criterios de Decisión</t>
        </is>
      </c>
      <c r="B11" s="96" t="n"/>
      <c r="C11" s="96" t="n"/>
      <c r="D11" s="96" t="n"/>
      <c r="E11" s="96" t="n"/>
      <c r="F11" s="97" t="n"/>
    </row>
    <row r="12" ht="27.6" customHeight="1">
      <c r="A12" s="54" t="inlineStr">
        <is>
          <t>Importancia (factor)</t>
        </is>
      </c>
      <c r="B12" s="54" t="inlineStr">
        <is>
          <t>Criterio (Ordenados en nivel de importancia)</t>
        </is>
      </c>
      <c r="C12" s="97" t="n"/>
      <c r="D12" s="54" t="inlineStr">
        <is>
          <t>Escala / Rango</t>
        </is>
      </c>
      <c r="E12" s="54" t="inlineStr">
        <is>
          <t>Valoración</t>
        </is>
      </c>
      <c r="F12" s="97" t="n"/>
    </row>
    <row r="13" ht="14.4" customHeight="1">
      <c r="A13" s="31" t="n">
        <v>3</v>
      </c>
      <c r="B13" s="55" t="inlineStr">
        <is>
          <t>Cumplimiento normativo y trazabilidad</t>
        </is>
      </c>
      <c r="C13" s="99" t="n"/>
      <c r="D13" s="46" t="inlineStr">
        <is>
          <t>1 a 5</t>
        </is>
      </c>
      <c r="E13" s="56" t="inlineStr">
        <is>
          <t>1 no cumple, 5 cumple totalmente</t>
        </is>
      </c>
      <c r="F13" s="99" t="n"/>
    </row>
    <row r="14">
      <c r="A14" s="31" t="n">
        <v>2</v>
      </c>
      <c r="B14" s="55" t="inlineStr">
        <is>
          <t>Complejidad de implementación</t>
        </is>
      </c>
      <c r="C14" s="99" t="n"/>
      <c r="D14" s="46" t="inlineStr">
        <is>
          <t>1 a 5</t>
        </is>
      </c>
      <c r="E14" s="56" t="inlineStr">
        <is>
          <t>1 muy compleja, 5 muy simple</t>
        </is>
      </c>
      <c r="F14" s="99" t="n"/>
      <c r="J14" s="29" t="n"/>
    </row>
    <row r="15">
      <c r="A15" s="31" t="n">
        <v>1</v>
      </c>
      <c r="B15" s="55" t="inlineStr">
        <is>
          <t>Riesgo de efectos colaterales en otros procesos</t>
        </is>
      </c>
      <c r="C15" s="99" t="n"/>
      <c r="D15" s="32" t="inlineStr">
        <is>
          <t>1 a 5</t>
        </is>
      </c>
      <c r="E15" s="85" t="inlineStr">
        <is>
          <t>1 alto riesgo, 5 bajo riesgo</t>
        </is>
      </c>
      <c r="F15" s="99" t="n"/>
    </row>
    <row r="16" ht="30" customHeight="1">
      <c r="A16" s="49" t="inlineStr">
        <is>
          <t>Resultado de análisis</t>
        </is>
      </c>
      <c r="B16" s="105" t="n"/>
      <c r="C16" s="51" t="inlineStr">
        <is>
          <t>La alternativa elegida fue: tomar en cuenta los periodos con marca 410 y marcar los nuevos periodos válidos (comportamiento vigente).</t>
        </is>
      </c>
      <c r="D16" s="106" t="n"/>
      <c r="E16" s="106" t="n"/>
      <c r="F16" s="107" t="n"/>
      <c r="H16" s="23" t="n"/>
    </row>
    <row r="19" ht="15.6" customHeight="1">
      <c r="A19" s="69" t="inlineStr">
        <is>
          <t>Evaluación de alternativas</t>
        </is>
      </c>
      <c r="B19" s="96" t="n"/>
      <c r="C19" s="96" t="n"/>
      <c r="D19" s="96" t="n"/>
      <c r="E19" s="96" t="n"/>
      <c r="F19" s="96" t="n"/>
      <c r="G19" s="96" t="n"/>
      <c r="H19" s="96" t="n"/>
      <c r="I19" s="97" t="n"/>
    </row>
    <row r="20" ht="45" customHeight="1">
      <c r="A20" s="75" t="inlineStr">
        <is>
          <t xml:space="preserve">Criterios </t>
        </is>
      </c>
      <c r="B20" s="108" t="n"/>
      <c r="C20" s="76" t="inlineStr">
        <is>
          <t>Importancia (factor)</t>
        </is>
      </c>
      <c r="D20" s="78" t="inlineStr">
        <is>
          <t>Cancelar la solicitud anterior y limpiar la marca 410</t>
        </is>
      </c>
      <c r="E20" s="104" t="n"/>
      <c r="F20" s="78" t="inlineStr">
        <is>
          <t>Tomar en cuenta los periodos con marca 410 y marcar los nuevos periodos válidos</t>
        </is>
      </c>
      <c r="G20" s="104" t="n"/>
      <c r="H20" s="78" t="n"/>
      <c r="I20" s="104" t="n"/>
    </row>
    <row r="21" ht="28.8" customHeight="1">
      <c r="B21" s="108" t="n"/>
      <c r="C21" s="109" t="n"/>
      <c r="D21" s="18" t="inlineStr">
        <is>
          <t>Escala/ Rango</t>
        </is>
      </c>
      <c r="E21" s="28" t="inlineStr">
        <is>
          <t>Total</t>
        </is>
      </c>
      <c r="F21" s="24" t="inlineStr">
        <is>
          <t>Escala/ Rango</t>
        </is>
      </c>
      <c r="G21" s="28" t="inlineStr">
        <is>
          <t>Total</t>
        </is>
      </c>
      <c r="H21" s="24" t="n"/>
      <c r="I21" s="28" t="n"/>
    </row>
    <row r="22">
      <c r="A22" s="60" t="inlineStr">
        <is>
          <t>Cumplimiento normativo y trazabilidad</t>
        </is>
      </c>
      <c r="B22" s="99" t="n"/>
      <c r="C22" s="47" t="n">
        <v>3</v>
      </c>
      <c r="D22" s="48" t="n">
        <v>2</v>
      </c>
      <c r="E22" s="27">
        <f>C22*D22</f>
        <v/>
      </c>
      <c r="F22" s="48" t="n">
        <v>5</v>
      </c>
      <c r="G22" s="27">
        <f>C22*F22</f>
        <v/>
      </c>
      <c r="H22" s="48" t="n"/>
      <c r="I22" s="27" t="n"/>
    </row>
    <row r="23" ht="22.2" customHeight="1">
      <c r="A23" s="60" t="inlineStr">
        <is>
          <t>Complejidad de implementación</t>
        </is>
      </c>
      <c r="B23" s="99" t="n"/>
      <c r="C23" s="47" t="n">
        <v>2</v>
      </c>
      <c r="D23" s="48" t="n">
        <v>4</v>
      </c>
      <c r="E23" s="27">
        <f>C23*D23</f>
        <v/>
      </c>
      <c r="F23" s="48" t="n">
        <v>3</v>
      </c>
      <c r="G23" s="27">
        <f>C23*F23</f>
        <v/>
      </c>
      <c r="H23" s="48" t="n"/>
      <c r="I23" s="27" t="n"/>
    </row>
    <row r="24" ht="27" customHeight="1">
      <c r="A24" s="60" t="inlineStr">
        <is>
          <t>Riesgo de efectos colaterales en otros procesos</t>
        </is>
      </c>
      <c r="B24" s="99" t="n"/>
      <c r="C24" s="47" t="n">
        <v>1</v>
      </c>
      <c r="D24" s="19" t="n">
        <v>2</v>
      </c>
      <c r="E24" s="27">
        <f>C24*D24</f>
        <v/>
      </c>
      <c r="F24" s="19" t="n">
        <v>4</v>
      </c>
      <c r="G24" s="27">
        <f>C24*F24</f>
        <v/>
      </c>
      <c r="H24" s="19" t="n"/>
      <c r="I24" s="27" t="n"/>
    </row>
    <row r="25" ht="31.95" customHeight="1">
      <c r="A25" s="60" t="n"/>
      <c r="B25" s="99" t="n"/>
      <c r="C25" s="20" t="n"/>
      <c r="D25" s="19" t="n"/>
      <c r="E25" s="27" t="n"/>
      <c r="F25" s="19" t="n"/>
      <c r="G25" s="27" t="n"/>
      <c r="H25" s="19" t="n"/>
      <c r="I25" s="27" t="n"/>
    </row>
    <row r="26" ht="29.1" customHeight="1">
      <c r="A26" s="60" t="n"/>
      <c r="B26" s="99" t="n"/>
      <c r="C26" s="20" t="n"/>
      <c r="D26" s="19" t="n"/>
      <c r="E26" s="27" t="n"/>
      <c r="F26" s="19" t="n"/>
      <c r="G26" s="27" t="n"/>
      <c r="H26" s="19" t="n"/>
      <c r="I26" s="27" t="n"/>
    </row>
    <row r="27" ht="21" customHeight="1">
      <c r="A27" s="110" t="inlineStr">
        <is>
          <t>Total</t>
        </is>
      </c>
      <c r="B27" s="96" t="n"/>
      <c r="C27" s="97" t="n"/>
      <c r="D27" s="70">
        <f>SUM(E22:E26)</f>
        <v/>
      </c>
      <c r="E27" s="97" t="n"/>
      <c r="F27" s="70">
        <f>SUM(G22:G26)</f>
        <v/>
      </c>
      <c r="G27" s="97" t="n"/>
      <c r="H27" s="70">
        <f>SUM(I22:I26)</f>
        <v/>
      </c>
      <c r="I27" s="97" t="n"/>
    </row>
    <row r="29" ht="29.4" customHeight="1">
      <c r="A29" s="35" t="inlineStr">
        <is>
          <t>Solución elegida</t>
        </is>
      </c>
      <c r="B29" s="64" t="inlineStr">
        <is>
          <t>Tomar en cuenta los periodos con marca 410 (uso_pen) y marcar los nuevos periodos válidos, en lugar de cancelar la solicitud anterior y limpiar la marca.</t>
        </is>
      </c>
      <c r="C29" s="98" t="n"/>
      <c r="D29" s="98" t="n"/>
      <c r="E29" s="98" t="n"/>
      <c r="F29" s="98" t="n"/>
      <c r="G29" s="98" t="n"/>
      <c r="H29" s="98" t="n"/>
      <c r="I29" s="99" t="n"/>
    </row>
    <row r="30" ht="45" customHeight="1">
      <c r="A30" s="35" t="inlineStr">
        <is>
          <t>Justificación</t>
        </is>
      </c>
      <c r="B30" s="64" t="inlineStr">
        <is>
          <t>Obtuvo el mayor puntaje (25 vs. 16) y, además, preserva la trazabilidad completa del historial de portabilidad de cada derechohabiente, reduciendo el riesgo de trámites duplicados o inconsistentes frente a la alternativa de limpiar la marca 410.</t>
        </is>
      </c>
      <c r="C30" s="98" t="n"/>
      <c r="D30" s="98" t="n"/>
      <c r="E30" s="98" t="n"/>
      <c r="F30" s="98" t="n"/>
      <c r="G30" s="98" t="n"/>
      <c r="H30" s="98" t="n"/>
      <c r="I30" s="99" t="n"/>
    </row>
    <row r="32" ht="14.4" customHeight="1"/>
    <row r="33" ht="15.6" customHeight="1">
      <c r="A33" s="69" t="inlineStr">
        <is>
          <t>Método de evaluación</t>
        </is>
      </c>
      <c r="B33" s="96" t="n"/>
      <c r="C33" s="96" t="n"/>
      <c r="D33" s="96" t="n"/>
      <c r="E33" s="96" t="n"/>
      <c r="F33" s="96" t="n"/>
      <c r="G33" s="96" t="n"/>
      <c r="H33" s="96" t="n"/>
      <c r="I33" s="96" t="n"/>
      <c r="J33" s="97" t="n"/>
    </row>
    <row r="34">
      <c r="A34" s="70" t="inlineStr">
        <is>
          <t>Criterio</t>
        </is>
      </c>
      <c r="B34" s="97" t="n"/>
      <c r="C34" s="70" t="inlineStr">
        <is>
          <t>Método</t>
        </is>
      </c>
      <c r="D34" s="97" t="n"/>
      <c r="E34" s="70" t="inlineStr">
        <is>
          <t>Resultados de evaluación</t>
        </is>
      </c>
      <c r="F34" s="96" t="n"/>
      <c r="G34" s="96" t="n"/>
      <c r="H34" s="96" t="n"/>
      <c r="I34" s="96" t="n"/>
      <c r="J34" s="97" t="n"/>
    </row>
    <row r="35" ht="30" customHeight="1">
      <c r="A35" s="60" t="inlineStr">
        <is>
          <t>Cumplimiento normativo y trazabilidad</t>
        </is>
      </c>
      <c r="B35" s="99" t="n"/>
      <c r="C35" s="66" t="inlineStr">
        <is>
          <t>Revisión con el área de Pensiones y de Afiliación y Vigencia ISSSTE</t>
        </is>
      </c>
      <c r="D35" s="99" t="n"/>
      <c r="E35" s="66" t="inlineStr">
        <is>
          <t>La alternativa de limpiar la marca 410 no cumple con el requerimiento de trazabilidad completa del historial de portabilidad; la alternativa de conservar y volver a marcar los periodos sí cumple.</t>
        </is>
      </c>
      <c r="F35" s="98" t="n"/>
      <c r="G35" s="98" t="n"/>
      <c r="H35" s="98" t="n"/>
      <c r="I35" s="98" t="n"/>
      <c r="J35" s="99" t="n"/>
    </row>
    <row r="36" ht="30" customHeight="1">
      <c r="A36" s="60" t="inlineStr">
        <is>
          <t>Complejidad de implementación</t>
        </is>
      </c>
      <c r="B36" s="99" t="n"/>
      <c r="C36" s="65" t="inlineStr">
        <is>
          <t>Estimación técnica del líder técnico</t>
        </is>
      </c>
      <c r="D36" s="99" t="n"/>
      <c r="E36" s="65" t="inlineStr">
        <is>
          <t>Conservar y volver a marcar los periodos requiere una consulta adicional de periodos ya marcados, manejable dentro del alcance ya definido en FJL-F07, sección 6.</t>
        </is>
      </c>
      <c r="F36" s="98" t="n"/>
      <c r="G36" s="98" t="n"/>
      <c r="H36" s="98" t="n"/>
      <c r="I36" s="98" t="n"/>
      <c r="J36" s="99" t="n"/>
    </row>
    <row r="37" ht="30.6" customHeight="1">
      <c r="A37" s="60" t="inlineStr">
        <is>
          <t>Riesgo de efectos colaterales en otros procesos</t>
        </is>
      </c>
      <c r="B37" s="99" t="n"/>
      <c r="C37" s="63" t="inlineStr">
        <is>
          <t>Análisis de riesgos del equipo técnico</t>
        </is>
      </c>
      <c r="D37" s="99" t="n"/>
      <c r="E37" s="65" t="inlineStr">
        <is>
          <t>Limpiar la marca 410 presenta mayor riesgo de solicitudes duplicadas o inconsistentes; conservar los periodos marcados mitiga este riesgo al preservar el estado real de cada periodo.</t>
        </is>
      </c>
      <c r="F37" s="98" t="n"/>
      <c r="G37" s="98" t="n"/>
      <c r="H37" s="98" t="n"/>
      <c r="I37" s="98" t="n"/>
      <c r="J37" s="99" t="n"/>
    </row>
    <row r="38" ht="31.2" customHeight="1">
      <c r="A38" s="60" t="n"/>
      <c r="B38" s="99" t="n"/>
      <c r="C38" s="63" t="n"/>
      <c r="D38" s="99" t="n"/>
      <c r="E38" s="63" t="n"/>
      <c r="F38" s="98" t="n"/>
      <c r="G38" s="98" t="n"/>
      <c r="H38" s="98" t="n"/>
      <c r="I38" s="98" t="n"/>
      <c r="J38" s="99" t="n"/>
    </row>
    <row r="39" ht="30" customHeight="1">
      <c r="A39" s="60" t="n"/>
      <c r="B39" s="99" t="n"/>
      <c r="C39" s="63" t="n"/>
      <c r="D39" s="99" t="n"/>
      <c r="E39" s="63" t="n"/>
      <c r="F39" s="98" t="n"/>
      <c r="G39" s="98" t="n"/>
      <c r="H39" s="98" t="n"/>
      <c r="I39" s="98" t="n"/>
      <c r="J39" s="99" t="n"/>
    </row>
  </sheetData>
  <mergeCells count="67">
    <mergeCell ref="D20:E20"/>
    <mergeCell ref="E12:F12"/>
    <mergeCell ref="A24:B24"/>
    <mergeCell ref="C34:D34"/>
    <mergeCell ref="H20:I20"/>
    <mergeCell ref="G6:I6"/>
    <mergeCell ref="J5:K5"/>
    <mergeCell ref="C20:C21"/>
    <mergeCell ref="A5:B6"/>
    <mergeCell ref="A27:C27"/>
    <mergeCell ref="A36:B36"/>
    <mergeCell ref="G3:I3"/>
    <mergeCell ref="E34:J34"/>
    <mergeCell ref="E14:F14"/>
    <mergeCell ref="A33:J33"/>
    <mergeCell ref="C35:D35"/>
    <mergeCell ref="B12:C12"/>
    <mergeCell ref="A16:B16"/>
    <mergeCell ref="A20:B21"/>
    <mergeCell ref="A7:B7"/>
    <mergeCell ref="A25:B25"/>
    <mergeCell ref="J6:K6"/>
    <mergeCell ref="C5:E6"/>
    <mergeCell ref="G5:I5"/>
    <mergeCell ref="E36:J36"/>
    <mergeCell ref="D27:E27"/>
    <mergeCell ref="F20:G20"/>
    <mergeCell ref="A37:B37"/>
    <mergeCell ref="G4:I4"/>
    <mergeCell ref="E13:F13"/>
    <mergeCell ref="B14:C14"/>
    <mergeCell ref="A3:E3"/>
    <mergeCell ref="B13:C13"/>
    <mergeCell ref="A26:B26"/>
    <mergeCell ref="J4:K4"/>
    <mergeCell ref="A19:I19"/>
    <mergeCell ref="B29:I29"/>
    <mergeCell ref="E15:F15"/>
    <mergeCell ref="J7:K7"/>
    <mergeCell ref="E37:J37"/>
    <mergeCell ref="C36:D36"/>
    <mergeCell ref="C16:F16"/>
    <mergeCell ref="A23:B23"/>
    <mergeCell ref="F27:G27"/>
    <mergeCell ref="A8:B8"/>
    <mergeCell ref="C39:D39"/>
    <mergeCell ref="H27:I27"/>
    <mergeCell ref="A22:B22"/>
    <mergeCell ref="A35:B35"/>
    <mergeCell ref="A4:B4"/>
    <mergeCell ref="J3:K3"/>
    <mergeCell ref="A38:B38"/>
    <mergeCell ref="B30:I30"/>
    <mergeCell ref="A11:F11"/>
    <mergeCell ref="G2:L2"/>
    <mergeCell ref="C38:D38"/>
    <mergeCell ref="B15:C15"/>
    <mergeCell ref="G7:I7"/>
    <mergeCell ref="C37:D37"/>
    <mergeCell ref="C4:E4"/>
    <mergeCell ref="E39:J39"/>
    <mergeCell ref="G8:I8"/>
    <mergeCell ref="E35:J35"/>
    <mergeCell ref="J8:K8"/>
    <mergeCell ref="E38:J38"/>
    <mergeCell ref="A39:B39"/>
    <mergeCell ref="A34:B34"/>
  </mergeCells>
  <pageMargins left="0.7" right="0.7" top="0.75" bottom="0.75" header="0.3" footer="0.3"/>
  <pageSetup orientation="portrait" paperSize="9" scale="6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G11" sqref="A1:G11"/>
    </sheetView>
  </sheetViews>
  <sheetFormatPr baseColWidth="10" defaultColWidth="11.44140625" defaultRowHeight="14.4"/>
  <cols>
    <col width="8.109375" customWidth="1" min="1" max="1"/>
    <col width="32.109375" customWidth="1" min="2" max="2"/>
    <col width="23" customWidth="1" min="3" max="3"/>
    <col width="22" customWidth="1" min="4" max="4"/>
    <col width="25.6640625" customWidth="1" min="5" max="5"/>
    <col width="23.109375" customWidth="1" min="6" max="6"/>
    <col width="26.5546875" customWidth="1" min="7" max="7"/>
  </cols>
  <sheetData>
    <row r="1">
      <c r="A1" s="90" t="inlineStr">
        <is>
          <t>Logo de la empresa</t>
        </is>
      </c>
      <c r="B1" s="92" t="n"/>
    </row>
    <row r="2">
      <c r="A2" s="93" t="n"/>
      <c r="B2" s="94" t="n"/>
    </row>
    <row r="4" ht="18" customHeight="1">
      <c r="A4" s="89" t="inlineStr">
        <is>
          <t>Registro de decisiones</t>
        </is>
      </c>
      <c r="B4" s="96" t="n"/>
      <c r="C4" s="96" t="n"/>
      <c r="D4" s="96" t="n"/>
      <c r="E4" s="96" t="n"/>
      <c r="F4" s="96" t="n"/>
      <c r="G4" s="97" t="n"/>
    </row>
    <row r="5" ht="18" customHeight="1" thickBot="1">
      <c r="A5" s="1" t="inlineStr">
        <is>
          <t>Nro.</t>
        </is>
      </c>
      <c r="B5" s="2" t="inlineStr">
        <is>
          <t>Nivel</t>
        </is>
      </c>
      <c r="C5" s="2" t="inlineStr">
        <is>
          <t>Proyecto</t>
        </is>
      </c>
      <c r="D5" s="15" t="inlineStr">
        <is>
          <t>Área</t>
        </is>
      </c>
      <c r="E5" s="3" t="inlineStr">
        <is>
          <t>Aprobador</t>
        </is>
      </c>
      <c r="F5" s="16" t="inlineStr">
        <is>
          <t>Nombre de decisión</t>
        </is>
      </c>
      <c r="G5" s="4" t="inlineStr">
        <is>
          <t>Descripción</t>
        </is>
      </c>
    </row>
    <row r="6" ht="40.2" customHeight="1" thickBot="1">
      <c r="A6" s="5" t="n">
        <v>1</v>
      </c>
      <c r="B6" s="6" t="inlineStr">
        <is>
          <t>Proyecto / Organizacional / Servicio</t>
        </is>
      </c>
      <c r="C6" s="7" t="inlineStr">
        <is>
          <t>&lt;Nombre del proyecto, en caso de que el nivel sea organizacional&gt;</t>
        </is>
      </c>
      <c r="D6" s="7" t="inlineStr">
        <is>
          <t>&lt;Área o departamento involucrada&gt;</t>
        </is>
      </c>
      <c r="E6" s="8" t="inlineStr">
        <is>
          <t>&lt;Nombre y apellido&gt;</t>
        </is>
      </c>
      <c r="F6" s="8" t="inlineStr">
        <is>
          <t>&lt;Leyenda identificatoria del asunto sobre el que se decide&gt;</t>
        </is>
      </c>
      <c r="G6" s="9" t="inlineStr">
        <is>
          <t>&lt;Descripción del asunto sobre el que se va a decidir&gt;</t>
        </is>
      </c>
    </row>
    <row r="7" ht="15" customHeight="1" thickBot="1">
      <c r="A7" s="10" t="n">
        <v>2</v>
      </c>
      <c r="B7" s="11" t="n"/>
      <c r="C7" s="7" t="n"/>
      <c r="D7" s="7" t="n"/>
      <c r="E7" s="8" t="n"/>
      <c r="F7" s="8" t="n"/>
      <c r="G7" s="9" t="n"/>
    </row>
    <row r="8" ht="15" customHeight="1" thickBot="1">
      <c r="A8" s="10" t="n">
        <v>3</v>
      </c>
      <c r="B8" s="11" t="n"/>
      <c r="C8" s="7" t="n"/>
      <c r="D8" s="7" t="n"/>
      <c r="E8" s="8" t="n"/>
      <c r="F8" s="8" t="n"/>
      <c r="G8" s="9" t="n"/>
    </row>
    <row r="9" ht="15" customHeight="1" thickBot="1">
      <c r="A9" s="12" t="n">
        <v>4</v>
      </c>
      <c r="B9" s="11" t="n"/>
      <c r="C9" s="7" t="n"/>
      <c r="D9" s="7" t="n"/>
      <c r="E9" s="8" t="n"/>
      <c r="F9" s="8" t="n"/>
      <c r="G9" s="9" t="n"/>
    </row>
    <row r="10" ht="15" customHeight="1" thickBot="1">
      <c r="A10" s="13" t="n">
        <v>5</v>
      </c>
      <c r="B10" s="11" t="n"/>
      <c r="C10" s="7" t="n"/>
      <c r="D10" s="7" t="n"/>
      <c r="E10" s="8" t="n"/>
      <c r="F10" s="8" t="n"/>
      <c r="G10" s="9" t="n"/>
    </row>
    <row r="11" ht="15" customHeight="1" thickBot="1">
      <c r="A11" s="14" t="inlineStr">
        <is>
          <t>n</t>
        </is>
      </c>
      <c r="B11" s="11" t="n"/>
      <c r="C11" s="7" t="n"/>
      <c r="D11" s="7" t="n"/>
      <c r="E11" s="8" t="n"/>
      <c r="F11" s="8" t="n"/>
      <c r="G11" s="9" t="n"/>
    </row>
    <row r="16">
      <c r="D16" s="17" t="inlineStr">
        <is>
          <t>Separar en otro Doc.</t>
        </is>
      </c>
    </row>
  </sheetData>
  <mergeCells count="2">
    <mergeCell ref="A1:B2"/>
    <mergeCell ref="A4:G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2023-01-17T15:27:47Z</dcterms:created>
  <dcterms:modified xmlns:dcterms="http://purl.org/dc/terms/" xmlns:xsi="http://www.w3.org/2001/XMLSchema-instance" xsi:type="dcterms:W3CDTF">2026-09-27T21:24:49Z</dcterms:modified>
  <cp:lastModifiedBy>Carlos Quintero N.</cp:lastModifiedBy>
  <cp:lastPrinted>2024-07-12T17:07:11Z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