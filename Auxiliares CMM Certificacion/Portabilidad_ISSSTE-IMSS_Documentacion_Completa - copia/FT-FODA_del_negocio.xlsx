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FODA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</font>
    <font>
      <name val="Tahoma"/>
      <family val="2"/>
      <color indexed="81"/>
      <sz val="9"/>
    </font>
    <font>
      <name val="Calibri"/>
      <family val="2"/>
      <b val="1"/>
      <sz val="14"/>
      <scheme val="minor"/>
    </font>
    <font>
      <name val="Calibri"/>
      <family val="2"/>
      <b val="1"/>
      <sz val="12"/>
      <scheme val="minor"/>
    </font>
    <font>
      <name val="Tahoma"/>
      <family val="2"/>
      <b val="1"/>
      <color indexed="81"/>
      <sz val="9"/>
    </font>
    <font>
      <name val="Calibri"/>
      <family val="2"/>
      <sz val="12"/>
    </font>
    <font>
      <name val="Calibri"/>
      <family val="2"/>
      <sz val="10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theme="0" tint="-0.0499893185216834"/>
      <sz val="14"/>
    </font>
    <font>
      <name val="Calibri"/>
      <family val="2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color theme="1" tint="0.3499862666707358"/>
      <sz val="11"/>
    </font>
    <font>
      <name val="Calibri"/>
      <family val="2"/>
      <i val="1"/>
      <color theme="1" tint="0.3499862666707358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2"/>
      <scheme val="minor"/>
    </font>
  </fonts>
  <fills count="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rgb="FF000000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4" fillId="0" borderId="0"/>
    <xf numFmtId="9" fontId="14" fillId="0" borderId="0"/>
  </cellStyleXfs>
  <cellXfs count="83">
    <xf numFmtId="0" fontId="0" fillId="0" borderId="0" pivotButton="0" quotePrefix="0" xfId="0"/>
    <xf numFmtId="0" fontId="2" fillId="2" borderId="0" pivotButton="0" quotePrefix="0" xfId="0"/>
    <xf numFmtId="0" fontId="10" fillId="0" borderId="9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justify" vertical="center" wrapText="1"/>
    </xf>
    <xf numFmtId="0" fontId="4" fillId="0" borderId="3" pivotButton="0" quotePrefix="0" xfId="0"/>
    <xf numFmtId="0" fontId="4" fillId="0" borderId="0" pivotButton="0" quotePrefix="0" xfId="0"/>
    <xf numFmtId="0" fontId="7" fillId="2" borderId="11" pivotButton="0" quotePrefix="0" xfId="0"/>
    <xf numFmtId="0" fontId="2" fillId="2" borderId="11" pivotButton="0" quotePrefix="0" xfId="0"/>
    <xf numFmtId="0" fontId="2" fillId="0" borderId="0" pivotButton="0" quotePrefix="0" xfId="0"/>
    <xf numFmtId="0" fontId="13" fillId="5" borderId="6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/>
    </xf>
    <xf numFmtId="0" fontId="0" fillId="7" borderId="11" applyAlignment="1" pivotButton="0" quotePrefix="0" xfId="0">
      <alignment horizontal="center"/>
    </xf>
    <xf numFmtId="9" fontId="14" fillId="7" borderId="11" pivotButton="0" quotePrefix="0" xfId="1"/>
    <xf numFmtId="9" fontId="2" fillId="6" borderId="11" pivotButton="0" quotePrefix="0" xfId="0"/>
    <xf numFmtId="0" fontId="16" fillId="0" borderId="4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/>
    </xf>
    <xf numFmtId="0" fontId="3" fillId="6" borderId="11" applyAlignment="1" pivotButton="0" quotePrefix="0" xfId="0">
      <alignment horizontal="center"/>
    </xf>
    <xf numFmtId="9" fontId="1" fillId="6" borderId="20" pivotButton="0" quotePrefix="0" xfId="1"/>
    <xf numFmtId="0" fontId="19" fillId="6" borderId="11" applyAlignment="1" pivotButton="0" quotePrefix="0" xfId="0">
      <alignment vertical="center"/>
    </xf>
    <xf numFmtId="0" fontId="19" fillId="6" borderId="18" applyAlignment="1" pivotButton="0" quotePrefix="0" xfId="0">
      <alignment vertical="center"/>
    </xf>
    <xf numFmtId="0" fontId="7" fillId="6" borderId="11" applyAlignment="1" pivotButton="0" quotePrefix="0" xfId="0">
      <alignment vertical="center"/>
    </xf>
    <xf numFmtId="0" fontId="1" fillId="6" borderId="11" pivotButton="0" quotePrefix="0" xfId="0"/>
    <xf numFmtId="0" fontId="1" fillId="6" borderId="20" applyAlignment="1" pivotButton="0" quotePrefix="0" xfId="0">
      <alignment vertical="center"/>
    </xf>
    <xf numFmtId="0" fontId="1" fillId="6" borderId="11" applyAlignment="1" pivotButton="0" quotePrefix="0" xfId="0">
      <alignment vertical="center"/>
    </xf>
    <xf numFmtId="0" fontId="19" fillId="8" borderId="14" applyAlignment="1" pivotButton="0" quotePrefix="0" xfId="0">
      <alignment vertical="center"/>
    </xf>
    <xf numFmtId="0" fontId="19" fillId="6" borderId="14" applyAlignment="1" pivotButton="0" quotePrefix="0" xfId="0">
      <alignment vertical="center"/>
    </xf>
    <xf numFmtId="0" fontId="19" fillId="6" borderId="19" applyAlignment="1" pivotButton="0" quotePrefix="0" xfId="0">
      <alignment vertical="center"/>
    </xf>
    <xf numFmtId="0" fontId="0" fillId="6" borderId="11" applyAlignment="1" pivotButton="0" quotePrefix="0" xfId="0">
      <alignment vertical="center"/>
    </xf>
    <xf numFmtId="0" fontId="0" fillId="6" borderId="13" applyAlignment="1" pivotButton="0" quotePrefix="0" xfId="0">
      <alignment vertical="center"/>
    </xf>
    <xf numFmtId="0" fontId="19" fillId="8" borderId="11" applyAlignment="1" pivotButton="0" quotePrefix="0" xfId="0">
      <alignment vertical="center"/>
    </xf>
    <xf numFmtId="0" fontId="3" fillId="6" borderId="18" pivotButton="0" quotePrefix="0" xfId="0"/>
    <xf numFmtId="0" fontId="1" fillId="6" borderId="13" pivotButton="0" quotePrefix="0" xfId="0"/>
    <xf numFmtId="9" fontId="14" fillId="6" borderId="18" pivotButton="0" quotePrefix="0" xfId="1"/>
    <xf numFmtId="0" fontId="1" fillId="6" borderId="13" applyAlignment="1" pivotButton="0" quotePrefix="0" xfId="0">
      <alignment vertical="center"/>
    </xf>
    <xf numFmtId="0" fontId="18" fillId="4" borderId="11" pivotButton="0" quotePrefix="0" xfId="0"/>
    <xf numFmtId="0" fontId="17" fillId="3" borderId="12" pivotButton="0" quotePrefix="0" xfId="0"/>
    <xf numFmtId="0" fontId="17" fillId="2" borderId="12" pivotButton="0" quotePrefix="0" xfId="0"/>
    <xf numFmtId="0" fontId="0" fillId="6" borderId="17" applyAlignment="1" pivotButton="0" quotePrefix="0" xfId="0">
      <alignment vertical="center"/>
    </xf>
    <xf numFmtId="0" fontId="0" fillId="6" borderId="16" applyAlignment="1" pivotButton="0" quotePrefix="0" xfId="0">
      <alignment vertical="center"/>
    </xf>
    <xf numFmtId="9" fontId="1" fillId="6" borderId="22" pivotButton="0" quotePrefix="0" xfId="1"/>
    <xf numFmtId="0" fontId="1" fillId="6" borderId="21" applyAlignment="1" pivotButton="0" quotePrefix="0" xfId="0">
      <alignment vertical="center"/>
    </xf>
    <xf numFmtId="0" fontId="0" fillId="6" borderId="14" applyAlignment="1" pivotButton="0" quotePrefix="0" xfId="0">
      <alignment vertical="center"/>
    </xf>
    <xf numFmtId="0" fontId="0" fillId="3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17" fillId="2" borderId="12" applyAlignment="1" pivotButton="0" quotePrefix="0" xfId="0">
      <alignment wrapText="1"/>
    </xf>
    <xf numFmtId="0" fontId="17" fillId="3" borderId="12" applyAlignment="1" pivotButton="0" quotePrefix="0" xfId="0">
      <alignment wrapText="1"/>
    </xf>
    <xf numFmtId="0" fontId="0" fillId="3" borderId="18" applyAlignment="1" pivotButton="0" quotePrefix="0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1" fillId="6" borderId="18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1" fillId="6" borderId="11" applyAlignment="1" pivotButton="0" quotePrefix="0" xfId="0">
      <alignment horizontal="center" vertical="center"/>
    </xf>
    <xf numFmtId="0" fontId="17" fillId="3" borderId="12" applyAlignment="1" pivotButton="0" quotePrefix="0" xfId="0">
      <alignment vertical="center"/>
    </xf>
    <xf numFmtId="0" fontId="17" fillId="2" borderId="12" applyAlignment="1" pivotButton="0" quotePrefix="0" xfId="0">
      <alignment vertical="center"/>
    </xf>
    <xf numFmtId="0" fontId="2" fillId="2" borderId="18" applyAlignment="1" pivotButton="0" quotePrefix="0" xfId="0">
      <alignment horizontal="center" vertical="center"/>
    </xf>
    <xf numFmtId="0" fontId="0" fillId="6" borderId="18" applyAlignment="1" pivotButton="0" quotePrefix="0" xfId="0">
      <alignment horizontal="center" vertical="center"/>
    </xf>
    <xf numFmtId="0" fontId="17" fillId="2" borderId="12" applyAlignment="1" pivotButton="0" quotePrefix="0" xfId="0">
      <alignment vertical="center" wrapText="1"/>
    </xf>
    <xf numFmtId="14" fontId="16" fillId="0" borderId="4" applyAlignment="1" pivotButton="0" quotePrefix="0" xfId="0">
      <alignment horizontal="center" vertical="center" wrapText="1"/>
    </xf>
    <xf numFmtId="14" fontId="2" fillId="2" borderId="11" pivotButton="0" quotePrefix="0" xfId="0"/>
    <xf numFmtId="0" fontId="9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9" fontId="2" fillId="6" borderId="11" applyAlignment="1" pivotButton="0" quotePrefix="0" xfId="0">
      <alignment horizontal="center"/>
    </xf>
    <xf numFmtId="0" fontId="15" fillId="6" borderId="11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6" fillId="2" borderId="15" applyAlignment="1" pivotButton="0" quotePrefix="0" xfId="0">
      <alignment horizontal="center"/>
    </xf>
    <xf numFmtId="0" fontId="9" fillId="0" borderId="2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15" pivotButton="0" quotePrefix="0" xfId="0"/>
    <xf numFmtId="0" fontId="0" fillId="0" borderId="13" pivotButton="0" quotePrefix="0" xfId="0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Documentación Innevo</author>
    <author>Tania López</author>
    <author>Pedro Alatorre</author>
  </authors>
  <commentList>
    <comment ref="B3" authorId="0" shapeId="0">
      <text>
        <t xml:space="preserve"> Factores internos: son internas ya que es posible actuar sobre ellas.
Análisis de la situación interna: identificación de las fortalezas y debilidades con base en:
a. Análisis financieros.
b. Identificación de recursos.</t>
      </text>
    </comment>
    <comment ref="C3" authorId="0" shapeId="0">
      <text>
        <t>Sugerencia para realizar análisis
1.- Ser realista, no engañarse.
2.- Definir con claridad el objetivo en relación con el cual se realiza el análisis FODA. Eso ayudará tanto al análisis como a la definición de las estrategias.
3.- Hacer un listado con las características fundamentales de la organización para encontrar fortalezas y debilidades.
4.- Para localizar oportunidades piense en cuáles son las fortalezas de la organización y si éstas conducen a alguna oportunidad, o bien si eliminando o reduciendo alguna debilidad se abren nuevas oportunidades en el futuro.
5.- Comience por una lluvia de ideas, pero acabe realizando un análisis priorizando cada factor.
6.- Debatir sobre las amenazas y debilidades de la organización puede conducir a que se traten aspectos delicados; es necesario un buen ambiente previo, mucha confianza, tolerancia y respeto para que el diálogo se desarrolle libre y satisfactoriamente.
9.- Los factores de análisis son:
a. Gente.
b. Procedimientos.
c. Tecnología.</t>
      </text>
    </comment>
    <comment ref="J3" authorId="1" shapeId="0">
      <text>
        <t xml:space="preserve">Fecha en que se realizó el análisis.
</t>
      </text>
    </comment>
    <comment ref="D4" authorId="1" shapeId="0">
      <text>
        <t xml:space="preserve">Son las capacidades especiales con que cuenta la empresa, y que le permiten una posición privilegiada frente a la competencia; recursos que se controlan, capacidades y habilidades que se poseen, actividades positivamente, etc.
</t>
      </text>
    </comment>
    <comment ref="G4" authorId="1" shapeId="0">
      <text>
        <t xml:space="preserve">Son aquellos factores que provocan una posición desfavorable frente a la competencia, recursos de los que carece, habilidades que no poseen, actividades que no se desarrollan positivamente, etc.
</t>
      </text>
    </comment>
    <comment ref="J4" authorId="2" shapeId="0">
      <text>
        <t xml:space="preserve">Pedro Alatorre:
Puesto de la persona que realiza en análisis </t>
      </text>
    </comment>
    <comment ref="D5" authorId="0" shapeId="0">
      <text>
        <t>Descripción del factor Interno</t>
      </text>
    </comment>
    <comment ref="E5" authorId="0" shapeId="0">
      <text>
        <t>Factor de ponderación:
Se debera de ponderar cada uno de los elementos identificados, en este campo se deberá indicar el numero según la ponderación.
Alto=3
Media=2
Baja=1</t>
      </text>
    </comment>
    <comment ref="G5" authorId="0" shapeId="0">
      <text>
        <t>Descripción del factor interno</t>
      </text>
    </comment>
    <comment ref="H5" authorId="0" shapeId="0">
      <text>
        <t>Factor de ponderación:
Se debera de ponderar cada uno de los elementos identificados, en este campo se deberá indicar el numero según la ponderación.
Alto=3
Media=2
Baja=1</t>
      </text>
    </comment>
    <comment ref="B23" authorId="0" shapeId="0">
      <text>
        <t>Factores de externos 
identificación de oportunidades y amenazas con base en:
a. Necesidades de los clientes.
b. Información sobre competidores.
c. Tendencias tecnológicas.</t>
      </text>
    </comment>
    <comment ref="D23" authorId="1" shapeId="0">
      <text>
        <t>Son aquellos factores que resultan positivos, favorables, explotables, que se deben descubrir en el entorno en el que actúa la empresa, y que podrían favorecer el logro de los objetivos.</t>
      </text>
    </comment>
    <comment ref="G23" authorId="1" shapeId="0">
      <text>
        <t>Son aquellas situaciones que provienen del entorno y que pueden llegar a atentar incluso contra la permanencia de la organización.</t>
      </text>
    </comment>
    <comment ref="D24" authorId="0" shapeId="0">
      <text>
        <t>Descripción del factor externo</t>
      </text>
    </comment>
    <comment ref="E24" authorId="0" shapeId="0">
      <text>
        <t>Factor de ponderación:
Se debera de ponderar cada uno de los elementos identificados, en este campo se deberá indicar el numero según la ponderación.
Alto=3
Media=2
Baja=1</t>
      </text>
    </comment>
    <comment ref="G24" authorId="0" shapeId="0">
      <text>
        <t>Descripción del factor externo</t>
      </text>
    </comment>
    <comment ref="H24" authorId="0" shapeId="0">
      <text>
        <t>Factor de ponderación:
Se debera de ponderar cada uno de los elementos identificados, en este campo se deberá indicar el numero según la ponderación.
Alto=3
Media=2
Baja=1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:B2"/>
    </sheetView>
  </sheetViews>
  <sheetFormatPr baseColWidth="10" defaultColWidth="11.44140625" defaultRowHeight="30.75" customHeight="1"/>
  <cols>
    <col width="20.33203125" bestFit="1" customWidth="1" style="6" min="1" max="1"/>
    <col width="23.5546875" customWidth="1" style="6" min="2" max="2"/>
    <col width="47.44140625" customWidth="1" style="6" min="3" max="3"/>
    <col width="26.5546875" customWidth="1" style="6" min="4" max="4"/>
    <col width="11.44140625" customWidth="1" style="6" min="5" max="5"/>
    <col width="11.44140625" customWidth="1" style="6" min="6" max="16384"/>
  </cols>
  <sheetData>
    <row r="1" ht="14.4" customHeight="1">
      <c r="A1" s="76" t="inlineStr">
        <is>
          <t>Logo de la empresa</t>
        </is>
      </c>
      <c r="B1" s="77" t="n"/>
      <c r="C1" s="5" t="n"/>
    </row>
    <row r="2" ht="54.75" customHeight="1" thickBot="1">
      <c r="A2" s="78" t="n"/>
      <c r="B2" s="79" t="n"/>
      <c r="C2" s="5" t="n"/>
    </row>
    <row r="3" ht="30.75" customHeight="1">
      <c r="A3" s="68" t="inlineStr">
        <is>
          <t>El alcance es a nivel organizacional</t>
        </is>
      </c>
      <c r="B3" s="80" t="n"/>
    </row>
    <row r="4" ht="14.4" customHeight="1"/>
    <row r="5" ht="14.4" customHeight="1"/>
    <row r="6" ht="18" customHeight="1">
      <c r="A6" s="66" t="inlineStr">
        <is>
          <t>Historial de versiones</t>
        </is>
      </c>
    </row>
    <row r="7" ht="15" customHeight="1" thickBot="1"/>
    <row r="8" ht="18.6" customHeight="1" thickBot="1">
      <c r="A8" s="10" t="inlineStr">
        <is>
          <t>Fecha</t>
        </is>
      </c>
      <c r="B8" s="11" t="inlineStr">
        <is>
          <t>Versión</t>
        </is>
      </c>
      <c r="C8" s="11" t="inlineStr">
        <is>
          <t>Descripción</t>
        </is>
      </c>
      <c r="D8" s="11" t="inlineStr">
        <is>
          <t>Autor</t>
        </is>
      </c>
    </row>
    <row r="9" ht="32.25" customHeight="1" thickBot="1">
      <c r="A9" s="60" t="n">
        <v>45950</v>
      </c>
      <c r="B9" s="16" t="inlineStr">
        <is>
          <t>Version 1.0</t>
        </is>
      </c>
      <c r="C9" s="16" t="inlineStr">
        <is>
          <t>Generación del documento</t>
        </is>
      </c>
      <c r="D9" s="16" t="inlineStr">
        <is>
          <t>Miguel A. López Hernández / Carlos Quintero / Oscar Vera</t>
        </is>
      </c>
    </row>
    <row r="10" ht="30" customHeight="1" thickBot="1">
      <c r="A10" s="2" t="inlineStr">
        <is>
          <t>27/07/2026</t>
        </is>
      </c>
      <c r="B10" s="3" t="inlineStr">
        <is>
          <t>Versión 1.1</t>
        </is>
      </c>
      <c r="C10" s="4" t="inlineStr">
        <is>
          <t>Revisión general de consistencia de la sesión: se corrige el error de celda "#VALUE!", "Generacíon" y "está hoja".</t>
        </is>
      </c>
      <c r="D10" s="3" t="inlineStr">
        <is>
          <t>Carlos Quintero N.</t>
        </is>
      </c>
    </row>
    <row r="11" ht="32.25" customHeight="1" thickBot="1">
      <c r="A11" s="2" t="n"/>
      <c r="B11" s="3" t="n"/>
      <c r="C11" s="4" t="n"/>
      <c r="D11" s="3" t="n"/>
    </row>
    <row r="12" ht="32.25" customHeight="1" thickBot="1">
      <c r="A12" s="2" t="n"/>
      <c r="B12" s="3" t="n"/>
      <c r="C12" s="4" t="n"/>
      <c r="D12" s="3" t="n"/>
    </row>
    <row r="14" ht="15.6" customHeight="1">
      <c r="A14" s="67" t="inlineStr">
        <is>
          <t>Si se tiene un sistema de gestión de versiones eliminar esta hoja.</t>
        </is>
      </c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abSelected="1" zoomScale="115" zoomScaleNormal="115" workbookViewId="0">
      <selection activeCell="H32" sqref="H32"/>
    </sheetView>
  </sheetViews>
  <sheetFormatPr baseColWidth="10" defaultColWidth="0" defaultRowHeight="0" customHeight="1" zeroHeight="1"/>
  <cols>
    <col width="11.44140625" customWidth="1" style="1" min="1" max="1"/>
    <col width="8" customWidth="1" style="1" min="2" max="2"/>
    <col width="3.44140625" customWidth="1" style="1" min="3" max="3"/>
    <col width="79.33203125" customWidth="1" style="1" min="4" max="4"/>
    <col width="8" customWidth="1" style="1" min="5" max="5"/>
    <col width="3.44140625" customWidth="1" style="1" min="6" max="6"/>
    <col width="79.33203125" customWidth="1" style="1" min="7" max="7"/>
    <col width="8" customWidth="1" style="1" min="8" max="8"/>
    <col width="11.44140625" customWidth="1" style="1" min="9" max="10"/>
    <col width="14.88671875" bestFit="1" customWidth="1" style="1" min="11" max="11"/>
    <col width="11.44140625" customWidth="1" style="1" min="12" max="12"/>
    <col width="14.88671875" customWidth="1" style="1" min="13" max="13"/>
    <col width="10.5546875" customWidth="1" style="1" min="14" max="14"/>
    <col width="11.44140625" customWidth="1" style="1" min="15" max="239"/>
    <col width="59.6640625" customWidth="1" style="1" min="240" max="240"/>
    <col width="27.5546875" customWidth="1" style="1" min="241" max="241"/>
    <col width="23.5546875" customWidth="1" style="1" min="242" max="242"/>
    <col width="18.6640625" customWidth="1" style="1" min="243" max="243"/>
    <col width="15.109375" customWidth="1" style="1" min="244" max="244"/>
    <col width="11.44140625" customWidth="1" style="1" min="245" max="262"/>
    <col hidden="1" width="13" customWidth="1" style="1" min="263" max="500"/>
    <col width="11.44140625" customWidth="1" style="1" min="501" max="518"/>
    <col hidden="1" width="13" customWidth="1" style="1" min="519" max="756"/>
    <col width="11.44140625" customWidth="1" style="1" min="757" max="774"/>
    <col hidden="1" width="13" customWidth="1" style="1" min="775" max="1012"/>
    <col width="11.44140625" customWidth="1" style="1" min="1013" max="1030"/>
    <col hidden="1" width="13" customWidth="1" style="1" min="1031" max="1268"/>
    <col width="11.44140625" customWidth="1" style="1" min="1269" max="1286"/>
    <col hidden="1" width="13" customWidth="1" style="1" min="1287" max="1524"/>
    <col width="11.44140625" customWidth="1" style="1" min="1525" max="1542"/>
    <col hidden="1" width="13" customWidth="1" style="1" min="1543" max="1780"/>
    <col width="11.44140625" customWidth="1" style="1" min="1781" max="1798"/>
    <col hidden="1" width="13" customWidth="1" style="1" min="1799" max="2036"/>
    <col width="11.44140625" customWidth="1" style="1" min="2037" max="2054"/>
    <col hidden="1" width="13" customWidth="1" style="1" min="2055" max="2292"/>
    <col width="11.44140625" customWidth="1" style="1" min="2293" max="2310"/>
    <col hidden="1" width="13" customWidth="1" style="1" min="2311" max="2548"/>
    <col width="11.44140625" customWidth="1" style="1" min="2549" max="2566"/>
    <col hidden="1" width="13" customWidth="1" style="1" min="2567" max="2804"/>
    <col width="11.44140625" customWidth="1" style="1" min="2805" max="2822"/>
    <col hidden="1" width="13" customWidth="1" style="1" min="2823" max="3060"/>
    <col width="11.44140625" customWidth="1" style="1" min="3061" max="3078"/>
    <col hidden="1" width="13" customWidth="1" style="1" min="3079" max="3316"/>
    <col width="11.44140625" customWidth="1" style="1" min="3317" max="3334"/>
    <col hidden="1" width="13" customWidth="1" style="1" min="3335" max="3572"/>
    <col width="11.44140625" customWidth="1" style="1" min="3573" max="3590"/>
    <col hidden="1" width="13" customWidth="1" style="1" min="3591" max="3828"/>
    <col width="11.44140625" customWidth="1" style="1" min="3829" max="3846"/>
    <col hidden="1" width="13" customWidth="1" style="1" min="3847" max="4084"/>
    <col width="11.44140625" customWidth="1" style="1" min="4085" max="4102"/>
    <col hidden="1" width="13" customWidth="1" style="1" min="4103" max="4340"/>
    <col width="11.44140625" customWidth="1" style="1" min="4341" max="4358"/>
    <col hidden="1" width="13" customWidth="1" style="1" min="4359" max="4596"/>
    <col width="11.44140625" customWidth="1" style="1" min="4597" max="4614"/>
    <col hidden="1" width="13" customWidth="1" style="1" min="4615" max="4852"/>
    <col width="11.44140625" customWidth="1" style="1" min="4853" max="4870"/>
    <col hidden="1" width="13" customWidth="1" style="1" min="4871" max="5108"/>
    <col width="11.44140625" customWidth="1" style="1" min="5109" max="5126"/>
    <col hidden="1" width="13" customWidth="1" style="1" min="5127" max="5364"/>
    <col width="11.44140625" customWidth="1" style="1" min="5365" max="5382"/>
    <col hidden="1" width="13" customWidth="1" style="1" min="5383" max="5620"/>
    <col width="11.44140625" customWidth="1" style="1" min="5621" max="5638"/>
    <col hidden="1" width="13" customWidth="1" style="1" min="5639" max="5876"/>
    <col width="11.44140625" customWidth="1" style="1" min="5877" max="5894"/>
    <col hidden="1" width="13" customWidth="1" style="1" min="5895" max="6132"/>
    <col width="11.44140625" customWidth="1" style="1" min="6133" max="6150"/>
    <col hidden="1" width="13" customWidth="1" style="1" min="6151" max="6388"/>
    <col width="11.44140625" customWidth="1" style="1" min="6389" max="6406"/>
    <col hidden="1" width="13" customWidth="1" style="1" min="6407" max="6644"/>
    <col width="11.44140625" customWidth="1" style="1" min="6645" max="6662"/>
    <col hidden="1" width="13" customWidth="1" style="1" min="6663" max="6900"/>
    <col width="11.44140625" customWidth="1" style="1" min="6901" max="6918"/>
    <col hidden="1" width="13" customWidth="1" style="1" min="6919" max="7156"/>
    <col width="11.44140625" customWidth="1" style="1" min="7157" max="7174"/>
    <col hidden="1" width="13" customWidth="1" style="1" min="7175" max="7412"/>
    <col width="11.44140625" customWidth="1" style="1" min="7413" max="7430"/>
    <col hidden="1" width="13" customWidth="1" style="1" min="7431" max="7668"/>
    <col width="11.44140625" customWidth="1" style="1" min="7669" max="7686"/>
    <col hidden="1" width="13" customWidth="1" style="1" min="7687" max="7924"/>
    <col width="11.44140625" customWidth="1" style="1" min="7925" max="7942"/>
    <col hidden="1" width="13" customWidth="1" style="1" min="7943" max="8180"/>
    <col width="11.44140625" customWidth="1" style="1" min="8181" max="8198"/>
    <col hidden="1" width="13" customWidth="1" style="1" min="8199" max="8436"/>
    <col width="11.44140625" customWidth="1" style="1" min="8437" max="8454"/>
    <col hidden="1" width="13" customWidth="1" style="1" min="8455" max="8692"/>
    <col width="11.44140625" customWidth="1" style="1" min="8693" max="8710"/>
    <col hidden="1" width="13" customWidth="1" style="1" min="8711" max="8948"/>
    <col width="11.44140625" customWidth="1" style="1" min="8949" max="8966"/>
    <col hidden="1" width="13" customWidth="1" style="1" min="8967" max="9204"/>
    <col width="11.44140625" customWidth="1" style="1" min="9205" max="9222"/>
    <col hidden="1" width="13" customWidth="1" style="1" min="9223" max="9460"/>
    <col width="11.44140625" customWidth="1" style="1" min="9461" max="9478"/>
    <col hidden="1" width="13" customWidth="1" style="1" min="9479" max="9716"/>
    <col width="11.44140625" customWidth="1" style="1" min="9717" max="9734"/>
    <col hidden="1" width="13" customWidth="1" style="1" min="9735" max="9972"/>
    <col width="11.44140625" customWidth="1" style="1" min="9973" max="9990"/>
    <col hidden="1" width="13" customWidth="1" style="1" min="9991" max="10228"/>
    <col width="11.44140625" customWidth="1" style="1" min="10229" max="10246"/>
    <col hidden="1" width="13" customWidth="1" style="1" min="10247" max="10484"/>
    <col width="11.44140625" customWidth="1" style="1" min="10485" max="10502"/>
    <col hidden="1" width="13" customWidth="1" style="1" min="10503" max="10740"/>
    <col width="11.44140625" customWidth="1" style="1" min="10741" max="10758"/>
    <col hidden="1" width="13" customWidth="1" style="1" min="10759" max="10996"/>
    <col width="11.44140625" customWidth="1" style="1" min="10997" max="11014"/>
    <col hidden="1" width="13" customWidth="1" style="1" min="11015" max="11252"/>
    <col width="11.44140625" customWidth="1" style="1" min="11253" max="11270"/>
    <col hidden="1" width="13" customWidth="1" style="1" min="11271" max="11508"/>
    <col width="11.44140625" customWidth="1" style="1" min="11509" max="11526"/>
    <col hidden="1" width="13" customWidth="1" style="1" min="11527" max="11764"/>
    <col width="11.44140625" customWidth="1" style="1" min="11765" max="11782"/>
    <col hidden="1" width="13" customWidth="1" style="1" min="11783" max="12020"/>
    <col width="11.44140625" customWidth="1" style="1" min="12021" max="12038"/>
    <col hidden="1" width="13" customWidth="1" style="1" min="12039" max="12276"/>
    <col width="11.44140625" customWidth="1" style="1" min="12277" max="12294"/>
    <col hidden="1" width="13" customWidth="1" style="1" min="12295" max="12532"/>
    <col width="11.44140625" customWidth="1" style="1" min="12533" max="12550"/>
    <col hidden="1" width="13" customWidth="1" style="1" min="12551" max="12788"/>
    <col width="11.44140625" customWidth="1" style="1" min="12789" max="12806"/>
    <col hidden="1" width="13" customWidth="1" style="1" min="12807" max="13044"/>
    <col width="11.44140625" customWidth="1" style="1" min="13045" max="13062"/>
    <col hidden="1" width="13" customWidth="1" style="1" min="13063" max="13300"/>
    <col width="11.44140625" customWidth="1" style="1" min="13301" max="13318"/>
    <col hidden="1" width="13" customWidth="1" style="1" min="13319" max="13556"/>
    <col width="11.44140625" customWidth="1" style="1" min="13557" max="13574"/>
    <col hidden="1" width="13" customWidth="1" style="1" min="13575" max="13812"/>
    <col width="11.44140625" customWidth="1" style="1" min="13813" max="13830"/>
    <col hidden="1" width="13" customWidth="1" style="1" min="13831" max="14068"/>
    <col width="11.44140625" customWidth="1" style="1" min="14069" max="14086"/>
    <col hidden="1" width="13" customWidth="1" style="1" min="14087" max="14324"/>
    <col width="11.44140625" customWidth="1" style="1" min="14325" max="14342"/>
    <col hidden="1" width="13" customWidth="1" style="1" min="14343" max="14580"/>
    <col width="11.44140625" customWidth="1" style="1" min="14581" max="14598"/>
    <col hidden="1" width="13" customWidth="1" style="1" min="14599" max="14836"/>
    <col width="11.44140625" customWidth="1" style="1" min="14837" max="14854"/>
    <col hidden="1" width="13" customWidth="1" style="1" min="14855" max="15092"/>
    <col width="11.44140625" customWidth="1" style="1" min="15093" max="15110"/>
    <col hidden="1" width="13" customWidth="1" style="1" min="15111" max="15348"/>
    <col width="11.44140625" customWidth="1" style="1" min="15349" max="15366"/>
    <col hidden="1" width="13" customWidth="1" style="1" min="15367" max="15604"/>
    <col width="11.44140625" customWidth="1" style="1" min="15605" max="15622"/>
    <col hidden="1" width="13" customWidth="1" style="1" min="15623" max="15860"/>
    <col width="11.44140625" customWidth="1" style="1" min="15861" max="15878"/>
    <col hidden="1" width="13" customWidth="1" style="1" min="15879" max="16116"/>
    <col width="11.44140625" customWidth="1" style="1" min="16117" max="16134"/>
    <col hidden="1" width="13" customWidth="1" style="1" min="16135" max="16384"/>
  </cols>
  <sheetData>
    <row r="1" ht="13.8" customHeight="1"/>
    <row r="2" ht="18" customHeight="1">
      <c r="M2" s="75" t="inlineStr">
        <is>
          <t>Balance estratégico</t>
        </is>
      </c>
      <c r="N2" s="81" t="n"/>
      <c r="O2" s="81" t="n"/>
    </row>
    <row r="3" ht="21" customHeight="1">
      <c r="B3" t="n"/>
      <c r="C3" s="36" t="inlineStr">
        <is>
          <t>Matriz FODA</t>
        </is>
      </c>
      <c r="D3" s="36" t="n"/>
      <c r="E3" s="36" t="n"/>
      <c r="F3" s="36" t="n"/>
      <c r="G3" s="36" t="n"/>
      <c r="H3" s="36" t="n"/>
      <c r="J3" s="7" t="inlineStr">
        <is>
          <t>Fecha:</t>
        </is>
      </c>
      <c r="K3" s="61" t="n">
        <v>45950</v>
      </c>
      <c r="M3" s="72" t="inlineStr">
        <is>
          <t>Oportunidad + Fortaleza</t>
        </is>
      </c>
      <c r="N3" s="82" t="n"/>
      <c r="O3" s="15">
        <f>E41+E22</f>
        <v/>
      </c>
    </row>
    <row r="4" ht="15.6" customHeight="1">
      <c r="C4" s="29" t="inlineStr">
        <is>
          <t>#</t>
        </is>
      </c>
      <c r="D4" s="20" t="inlineStr">
        <is>
          <t>Fortalezas</t>
        </is>
      </c>
      <c r="E4" s="21" t="n"/>
      <c r="F4" s="30" t="inlineStr">
        <is>
          <t>#</t>
        </is>
      </c>
      <c r="G4" s="31" t="inlineStr">
        <is>
          <t>Debilidades</t>
        </is>
      </c>
      <c r="H4" s="31" t="n"/>
      <c r="J4" s="8" t="inlineStr">
        <is>
          <t>Autor (rol):</t>
        </is>
      </c>
      <c r="K4" s="8" t="n"/>
      <c r="M4" s="72" t="inlineStr">
        <is>
          <t>Amenazas + Debilidades</t>
        </is>
      </c>
      <c r="N4" s="82" t="n"/>
      <c r="O4" s="15">
        <f>H41+H22</f>
        <v/>
      </c>
    </row>
    <row r="5" ht="15.6" customHeight="1">
      <c r="C5" s="29" t="n"/>
      <c r="D5" s="22" t="inlineStr">
        <is>
          <t>Descripción</t>
        </is>
      </c>
      <c r="E5" s="32" t="inlineStr">
        <is>
          <t>F.P.</t>
        </is>
      </c>
      <c r="F5" s="30" t="n"/>
      <c r="G5" s="22" t="inlineStr">
        <is>
          <t>Descripción</t>
        </is>
      </c>
      <c r="H5" s="18" t="inlineStr">
        <is>
          <t>F.P.</t>
        </is>
      </c>
    </row>
    <row r="6" ht="14.4" customHeight="1">
      <c r="C6" s="44" t="n">
        <v>1</v>
      </c>
      <c r="D6" s="55" t="inlineStr">
        <is>
          <t>Orientación a resultados y calidad.</t>
        </is>
      </c>
      <c r="E6" s="50" t="n">
        <v>3</v>
      </c>
      <c r="F6" s="46" t="n">
        <v>1</v>
      </c>
      <c r="G6" s="49" t="inlineStr">
        <is>
          <t>Deficiencia en el seguimiento de la planeación de trabajo y tiempos estimados.</t>
        </is>
      </c>
      <c r="H6" s="44" t="n">
        <v>2</v>
      </c>
    </row>
    <row r="7" ht="18.75" customHeight="1">
      <c r="C7" s="45" t="n">
        <v>2</v>
      </c>
      <c r="D7" s="56" t="inlineStr">
        <is>
          <t>Adaptabilidad tecnológica e integracion con otras herramientas.</t>
        </is>
      </c>
      <c r="E7" s="51" t="n">
        <v>2</v>
      </c>
      <c r="F7" s="47" t="n">
        <v>2</v>
      </c>
      <c r="G7" s="38" t="inlineStr">
        <is>
          <t>Gestión de procesos. (Estimaciones imprecisas de esfuerzo y tiempos).</t>
        </is>
      </c>
      <c r="H7" s="53" t="n">
        <v>2</v>
      </c>
      <c r="J7" s="72" t="inlineStr">
        <is>
          <t>Total F. P.</t>
        </is>
      </c>
      <c r="K7" s="82" t="n"/>
    </row>
    <row r="8" ht="14.4" customHeight="1">
      <c r="C8" s="44" t="n">
        <v>3</v>
      </c>
      <c r="D8" s="55" t="inlineStr">
        <is>
          <t>Trabajo en equipo.</t>
        </is>
      </c>
      <c r="E8" s="50" t="n">
        <v>3</v>
      </c>
      <c r="F8" s="46" t="n">
        <v>3</v>
      </c>
      <c r="G8" s="49" t="inlineStr">
        <is>
          <t>Falta de especialistas en áreas especificas (DBA, sysadmin, redes).</t>
        </is>
      </c>
      <c r="H8" s="44" t="n">
        <v>3</v>
      </c>
      <c r="J8" s="69">
        <f>E6+H6+E25+H25</f>
        <v/>
      </c>
      <c r="K8" s="82" t="n"/>
    </row>
    <row r="9" ht="14.4" customHeight="1">
      <c r="C9" s="45" t="n">
        <v>4</v>
      </c>
      <c r="D9" s="56" t="inlineStr">
        <is>
          <t>Compromiso y sentido de responsabilidad.</t>
        </is>
      </c>
      <c r="E9" s="51" t="n">
        <v>3</v>
      </c>
      <c r="F9" s="47" t="n">
        <v>4</v>
      </c>
      <c r="G9" s="48" t="inlineStr">
        <is>
          <t>Falta de documentación y estandarización de procesos.</t>
        </is>
      </c>
      <c r="H9" s="53" t="n">
        <v>3</v>
      </c>
      <c r="J9" s="69">
        <f>E7+H7+E26+H26</f>
        <v/>
      </c>
      <c r="K9" s="82" t="n"/>
      <c r="L9" s="73" t="n"/>
    </row>
    <row r="10" ht="14.4" customHeight="1">
      <c r="C10" s="44" t="n">
        <v>5</v>
      </c>
      <c r="D10" s="55" t="inlineStr">
        <is>
          <t>Implementacion de metodologías de desarrollo agil.</t>
        </is>
      </c>
      <c r="E10" s="50" t="n">
        <v>1</v>
      </c>
      <c r="F10" s="46" t="n">
        <v>5</v>
      </c>
      <c r="G10" s="49" t="inlineStr">
        <is>
          <t>Consolidacion en los procesos de control de calidad y pruebas (documento o manual).</t>
        </is>
      </c>
      <c r="H10" s="44" t="n">
        <v>3</v>
      </c>
      <c r="J10" s="69">
        <f>E8+H8+E27+H27</f>
        <v/>
      </c>
      <c r="K10" s="82" t="n"/>
      <c r="L10" s="73" t="n"/>
    </row>
    <row r="11" ht="18.75" customHeight="1">
      <c r="C11" s="45" t="n">
        <v>6</v>
      </c>
      <c r="D11" s="56" t="inlineStr">
        <is>
          <t>Proactividad.</t>
        </is>
      </c>
      <c r="E11" s="51" t="n">
        <v>2</v>
      </c>
      <c r="F11" s="47" t="n">
        <v>6</v>
      </c>
      <c r="G11" s="38" t="inlineStr">
        <is>
          <t>Ausencia de métricas reales de desempeño (KPI's), productividad o rentabilidad.</t>
        </is>
      </c>
      <c r="H11" s="53" t="n">
        <v>3</v>
      </c>
      <c r="J11" s="69">
        <f>E9+H9+E28+H28</f>
        <v/>
      </c>
      <c r="K11" s="82" t="n"/>
    </row>
    <row r="12" ht="18.75" customHeight="1">
      <c r="C12" s="44" t="n">
        <v>7</v>
      </c>
      <c r="D12" s="55" t="inlineStr">
        <is>
          <t>Buen manejo de las relaciones y comunicación con los usuarios.</t>
        </is>
      </c>
      <c r="E12" s="50" t="n">
        <v>2</v>
      </c>
      <c r="F12" s="46" t="n">
        <v>7</v>
      </c>
      <c r="G12" s="37" t="inlineStr">
        <is>
          <t>Gestion de riesgos y comunicación con el cliente durante el proyecto para evitar posibles retrazos y/o retrabajos.</t>
        </is>
      </c>
      <c r="H12" s="44" t="n">
        <v>2</v>
      </c>
      <c r="J12" s="69">
        <f>E10+H10+E29+H29</f>
        <v/>
      </c>
      <c r="K12" s="82" t="n"/>
    </row>
    <row r="13" ht="18.75" customHeight="1">
      <c r="C13" s="45" t="n">
        <v>8</v>
      </c>
      <c r="D13" s="56" t="inlineStr">
        <is>
          <t>Productos de software innovadores y de alta calidad.</t>
        </is>
      </c>
      <c r="E13" s="51" t="n">
        <v>3</v>
      </c>
      <c r="F13" s="47" t="n">
        <v>8</v>
      </c>
      <c r="G13" s="38" t="inlineStr">
        <is>
          <t>Transferencia de conocimiento al cliente.</t>
        </is>
      </c>
      <c r="H13" s="53" t="n">
        <v>3</v>
      </c>
      <c r="J13" s="69">
        <f>E11+H11+E30+H30</f>
        <v/>
      </c>
      <c r="K13" s="82" t="n"/>
    </row>
    <row r="14" ht="18.75" customHeight="1">
      <c r="C14" s="44" t="n">
        <v>9</v>
      </c>
      <c r="D14" s="55" t="inlineStr">
        <is>
          <t>Menor curva de aprendizaje.</t>
        </is>
      </c>
      <c r="E14" s="50" t="n">
        <v>3</v>
      </c>
      <c r="F14" s="46" t="n">
        <v>9</v>
      </c>
      <c r="G14" s="37" t="n"/>
      <c r="H14" s="44" t="n"/>
      <c r="J14" s="69">
        <f>E12+H12+E31+H31</f>
        <v/>
      </c>
      <c r="K14" s="82" t="n"/>
    </row>
    <row r="15" ht="14.4" customHeight="1">
      <c r="C15" s="45" t="n">
        <v>10</v>
      </c>
      <c r="D15" s="56" t="inlineStr">
        <is>
          <t>Capacidad de trabajar de forma remota o distribuida sin perder coordinación.</t>
        </is>
      </c>
      <c r="E15" s="51" t="n">
        <v>3</v>
      </c>
      <c r="F15" s="47" t="n">
        <v>10</v>
      </c>
      <c r="G15" s="48" t="n"/>
      <c r="H15" s="53" t="n"/>
      <c r="J15" s="69">
        <f>E13+H13+E32+H32</f>
        <v/>
      </c>
      <c r="K15" s="82" t="n"/>
    </row>
    <row r="16" ht="18.75" customHeight="1">
      <c r="C16" s="44" t="n">
        <v>11</v>
      </c>
      <c r="D16" s="55" t="n"/>
      <c r="E16" s="50" t="n"/>
      <c r="F16" s="46" t="n">
        <v>11</v>
      </c>
      <c r="G16" s="37" t="n"/>
      <c r="H16" s="44" t="n"/>
      <c r="J16" s="69">
        <f>E14+H14+E33+H33</f>
        <v/>
      </c>
      <c r="K16" s="82" t="n"/>
    </row>
    <row r="17" ht="18.75" customHeight="1">
      <c r="C17" s="45" t="n">
        <v>12</v>
      </c>
      <c r="D17" s="56" t="n"/>
      <c r="E17" s="51" t="n"/>
      <c r="F17" s="47" t="n">
        <v>12</v>
      </c>
      <c r="G17" s="38" t="n"/>
      <c r="H17" s="53" t="n"/>
      <c r="J17" s="69">
        <f>E15+H15+E34+H34</f>
        <v/>
      </c>
      <c r="K17" s="82" t="n"/>
    </row>
    <row r="18" ht="18.75" customHeight="1">
      <c r="C18" s="44" t="n">
        <v>13</v>
      </c>
      <c r="D18" s="55" t="n"/>
      <c r="E18" s="50" t="n"/>
      <c r="F18" s="46" t="n">
        <v>13</v>
      </c>
      <c r="G18" s="37" t="n"/>
      <c r="H18" s="44" t="n"/>
      <c r="J18" s="69">
        <f>E16+H16+E35+H35</f>
        <v/>
      </c>
      <c r="K18" s="82" t="n"/>
    </row>
    <row r="19" ht="18.75" customHeight="1">
      <c r="C19" s="45" t="n">
        <v>14</v>
      </c>
      <c r="D19" s="56" t="n"/>
      <c r="E19" s="51" t="n"/>
      <c r="F19" s="47" t="n">
        <v>14</v>
      </c>
      <c r="G19" s="38" t="n"/>
      <c r="H19" s="53" t="n"/>
      <c r="J19" s="69">
        <f>E17+H17+E36+H36</f>
        <v/>
      </c>
      <c r="K19" s="82" t="n"/>
    </row>
    <row r="20" ht="18.75" customHeight="1">
      <c r="C20" s="44" t="n">
        <v>15</v>
      </c>
      <c r="D20" s="55" t="n"/>
      <c r="E20" s="50" t="n"/>
      <c r="F20" s="46" t="n">
        <v>15</v>
      </c>
      <c r="G20" s="37" t="n"/>
      <c r="H20" s="44" t="n"/>
      <c r="J20" s="69">
        <f>E18+H18+E37+H37</f>
        <v/>
      </c>
      <c r="K20" s="82" t="n"/>
      <c r="M20" s="9" t="n"/>
    </row>
    <row r="21" ht="14.4" customHeight="1">
      <c r="C21" s="23" t="inlineStr">
        <is>
          <t>Total de F.P.</t>
        </is>
      </c>
      <c r="D21" s="23" t="n"/>
      <c r="E21" s="52">
        <f>SUM(E6:E20)</f>
        <v/>
      </c>
      <c r="F21" s="33" t="inlineStr">
        <is>
          <t>Total de F.P.</t>
        </is>
      </c>
      <c r="G21" s="23" t="n"/>
      <c r="H21" s="54">
        <f>SUM(H6:H20)</f>
        <v/>
      </c>
      <c r="J21" s="69">
        <f>E19+H19+E38+H38</f>
        <v/>
      </c>
      <c r="K21" s="82" t="n"/>
      <c r="M21" s="9" t="n"/>
    </row>
    <row r="22" ht="15" customHeight="1" thickBot="1">
      <c r="C22" s="24" t="inlineStr">
        <is>
          <t>Porcentaje de ponderación</t>
        </is>
      </c>
      <c r="D22" s="24" t="n"/>
      <c r="E22" s="41">
        <f>IF(J22=0, 0, E21/J22)</f>
        <v/>
      </c>
      <c r="F22" s="42" t="inlineStr">
        <is>
          <t>Porcentaje de ponderación</t>
        </is>
      </c>
      <c r="G22" s="24" t="n"/>
      <c r="H22" s="19">
        <f>IF(J22=0, 0, H21/J22)</f>
        <v/>
      </c>
      <c r="J22" s="70">
        <f>SUM(J8:K21)</f>
        <v/>
      </c>
      <c r="K22" s="82" t="n"/>
      <c r="M22" s="9" t="n"/>
    </row>
    <row r="23" ht="16.2" customHeight="1" thickTop="1">
      <c r="B23" t="n"/>
      <c r="C23" s="43" t="inlineStr">
        <is>
          <t>#</t>
        </is>
      </c>
      <c r="D23" s="27" t="inlineStr">
        <is>
          <t>Oportunidades</t>
        </is>
      </c>
      <c r="E23" s="28" t="n"/>
      <c r="F23" s="39" t="inlineStr">
        <is>
          <t>#</t>
        </is>
      </c>
      <c r="G23" s="26" t="inlineStr">
        <is>
          <t>Amenazas</t>
        </is>
      </c>
      <c r="H23" s="26" t="n"/>
      <c r="J23" s="71">
        <f>SUM(E22,H22,E41,H41)</f>
        <v/>
      </c>
      <c r="K23" s="82" t="n"/>
    </row>
    <row r="24" ht="15.6" customHeight="1">
      <c r="C24" s="29" t="n"/>
      <c r="D24" s="22" t="inlineStr">
        <is>
          <t>Descripción</t>
        </is>
      </c>
      <c r="E24" s="32" t="inlineStr">
        <is>
          <t>F.P.</t>
        </is>
      </c>
      <c r="F24" s="40" t="n"/>
      <c r="G24" s="22" t="inlineStr">
        <is>
          <t>Descripción</t>
        </is>
      </c>
      <c r="H24" s="18" t="inlineStr">
        <is>
          <t>F.P.</t>
        </is>
      </c>
    </row>
    <row r="25" ht="28.8" customHeight="1">
      <c r="C25" s="44" t="n">
        <v>1</v>
      </c>
      <c r="D25" s="49" t="inlineStr">
        <is>
          <t>Capacitación continua en diferentes tecnologías. (Transofmración digital y automatización, apps, nube, IA, etc).</t>
        </is>
      </c>
      <c r="E25" s="50" t="n">
        <v>3</v>
      </c>
      <c r="F25" s="44" t="n">
        <v>1</v>
      </c>
      <c r="G25" s="55" t="inlineStr">
        <is>
          <t>Competencia (costo).</t>
        </is>
      </c>
      <c r="H25" s="12" t="n">
        <v>2</v>
      </c>
    </row>
    <row r="26" ht="18.75" customHeight="1">
      <c r="C26" s="45" t="n">
        <v>2</v>
      </c>
      <c r="D26" s="38" t="inlineStr">
        <is>
          <t>Implementacion de nuevas soluciones tecnologicas</t>
        </is>
      </c>
      <c r="E26" s="57" t="n">
        <v>2</v>
      </c>
      <c r="F26" s="45" t="n">
        <v>2</v>
      </c>
      <c r="G26" s="56" t="inlineStr">
        <is>
          <t>Obsolescencia tecnológica e infraestructura obsoleta de los clientes.</t>
        </is>
      </c>
      <c r="H26" s="69" t="n">
        <v>3</v>
      </c>
    </row>
    <row r="27" ht="18.75" customHeight="1">
      <c r="C27" s="44" t="n">
        <v>3</v>
      </c>
      <c r="D27" s="37" t="inlineStr">
        <is>
          <t>Crecimiento del mercado (Marketing)</t>
        </is>
      </c>
      <c r="E27" s="50" t="n">
        <v>2</v>
      </c>
      <c r="F27" s="44" t="n">
        <v>3</v>
      </c>
      <c r="G27" s="55" t="inlineStr">
        <is>
          <t>Clientes con resistencia al cambio.</t>
        </is>
      </c>
      <c r="H27" s="12" t="n">
        <v>2</v>
      </c>
    </row>
    <row r="28" ht="28.8" customHeight="1">
      <c r="C28" s="45" t="n">
        <v>4</v>
      </c>
      <c r="D28" s="48" t="inlineStr">
        <is>
          <t>Colaboraciones externas (Partners, Nearshoring: empresas extranjeras buscan proveedores en Latinoamérica.)</t>
        </is>
      </c>
      <c r="E28" s="57" t="n">
        <v>2</v>
      </c>
      <c r="F28" s="45" t="n">
        <v>4</v>
      </c>
      <c r="G28" s="59" t="inlineStr">
        <is>
          <t>Falta de documentación y versionamiento del software del cliente en proyectos de mantenimiento/migración.</t>
        </is>
      </c>
      <c r="H28" s="69" t="n">
        <v>2</v>
      </c>
    </row>
    <row r="29" ht="28.8" customHeight="1">
      <c r="C29" s="44" t="n">
        <v>5</v>
      </c>
      <c r="D29" s="49" t="inlineStr">
        <is>
          <t>Experiencia consolidada en el sector: los clientes valoran mayormente los procesos y calidad, no solo precio.</t>
        </is>
      </c>
      <c r="E29" s="50" t="n">
        <v>2</v>
      </c>
      <c r="F29" s="44" t="n">
        <v>5</v>
      </c>
      <c r="G29" s="55" t="inlineStr">
        <is>
          <t>Cambios en las tendencias del mercado que afectan la preferencia del cliente.</t>
        </is>
      </c>
      <c r="H29" s="12" t="n">
        <v>2</v>
      </c>
    </row>
    <row r="30" ht="18.75" customHeight="1">
      <c r="C30" s="45" t="n">
        <v>6</v>
      </c>
      <c r="D30" s="38" t="inlineStr">
        <is>
          <t>Adopción de modelos de desarrollo de software.</t>
        </is>
      </c>
      <c r="E30" s="57" t="n">
        <v>1</v>
      </c>
      <c r="F30" s="45" t="n">
        <v>6</v>
      </c>
      <c r="G30" s="56" t="inlineStr">
        <is>
          <t>Software de código abierto.</t>
        </is>
      </c>
      <c r="H30" s="69" t="n">
        <v>3</v>
      </c>
    </row>
    <row r="31" ht="18.75" customHeight="1">
      <c r="C31" s="44" t="n">
        <v>7</v>
      </c>
      <c r="D31" s="37" t="inlineStr">
        <is>
          <t>Detección de problemas en procesos de negocio.</t>
        </is>
      </c>
      <c r="E31" s="50" t="n">
        <v>2</v>
      </c>
      <c r="F31" s="44" t="n">
        <v>7</v>
      </c>
      <c r="G31" s="55" t="inlineStr">
        <is>
          <t>Cumplimiento normativo (CMMI/ ISO).</t>
        </is>
      </c>
      <c r="H31" s="12" t="n">
        <v>3</v>
      </c>
    </row>
    <row r="32" ht="18.75" customHeight="1">
      <c r="C32" s="45" t="n">
        <v>8</v>
      </c>
      <c r="D32" s="38" t="n"/>
      <c r="E32" s="57" t="n"/>
      <c r="F32" s="45" t="n">
        <v>8</v>
      </c>
      <c r="G32" s="56" t="inlineStr">
        <is>
          <t>Desgaste operativo del equipo (burnout, multitarea, horas extra constantes).</t>
        </is>
      </c>
      <c r="H32" s="69" t="n">
        <v>3</v>
      </c>
    </row>
    <row r="33" ht="18.75" customHeight="1">
      <c r="C33" s="44" t="n">
        <v>9</v>
      </c>
      <c r="D33" s="37" t="n"/>
      <c r="E33" s="50" t="n"/>
      <c r="F33" s="44" t="n">
        <v>9</v>
      </c>
      <c r="G33" s="55" t="n"/>
      <c r="H33" s="12" t="n"/>
    </row>
    <row r="34" ht="18.75" customHeight="1">
      <c r="C34" s="45" t="n">
        <v>10</v>
      </c>
      <c r="D34" s="38" t="n"/>
      <c r="E34" s="57" t="n"/>
      <c r="F34" s="45" t="n">
        <v>10</v>
      </c>
      <c r="G34" s="56" t="n"/>
      <c r="H34" s="69" t="n"/>
    </row>
    <row r="35" ht="18.75" customHeight="1">
      <c r="C35" s="44" t="n">
        <v>11</v>
      </c>
      <c r="D35" s="37" t="n"/>
      <c r="E35" s="50" t="n"/>
      <c r="F35" s="44" t="n">
        <v>11</v>
      </c>
      <c r="G35" s="55" t="n"/>
      <c r="H35" s="12" t="n"/>
    </row>
    <row r="36" ht="18.75" customHeight="1">
      <c r="C36" s="45" t="n">
        <v>12</v>
      </c>
      <c r="D36" s="38" t="n"/>
      <c r="E36" s="57" t="n"/>
      <c r="F36" s="45" t="n">
        <v>12</v>
      </c>
      <c r="G36" s="56" t="n"/>
      <c r="H36" s="69" t="n"/>
    </row>
    <row r="37" ht="18.75" customHeight="1">
      <c r="C37" s="44" t="n">
        <v>13</v>
      </c>
      <c r="D37" s="37" t="n"/>
      <c r="E37" s="50" t="n"/>
      <c r="F37" s="44" t="n">
        <v>13</v>
      </c>
      <c r="G37" s="55" t="n"/>
      <c r="H37" s="12" t="n"/>
    </row>
    <row r="38" ht="18.75" customHeight="1">
      <c r="C38" s="45" t="n">
        <v>14</v>
      </c>
      <c r="D38" s="38" t="n"/>
      <c r="E38" s="57" t="n"/>
      <c r="F38" s="45" t="n">
        <v>14</v>
      </c>
      <c r="G38" s="56" t="n"/>
      <c r="H38" s="69" t="n"/>
    </row>
    <row r="39" ht="18.75" customHeight="1">
      <c r="C39" s="44" t="n">
        <v>15</v>
      </c>
      <c r="D39" s="37" t="n"/>
      <c r="E39" s="50" t="n"/>
      <c r="F39" s="44" t="n">
        <v>15</v>
      </c>
      <c r="G39" s="55" t="n"/>
      <c r="H39" s="12" t="n"/>
    </row>
    <row r="40" ht="14.4" customHeight="1">
      <c r="C40" s="23" t="inlineStr">
        <is>
          <t>Total de F.P.</t>
        </is>
      </c>
      <c r="D40" s="23" t="n"/>
      <c r="E40" s="58">
        <f>SUM(E25:E39)</f>
        <v/>
      </c>
      <c r="F40" s="33" t="inlineStr">
        <is>
          <t>Total de F.P.</t>
        </is>
      </c>
      <c r="G40" s="23" t="n"/>
      <c r="H40" s="13">
        <f>SUM(H25:H39)</f>
        <v/>
      </c>
    </row>
    <row r="41" ht="14.4" customHeight="1">
      <c r="C41" s="25" t="inlineStr">
        <is>
          <t>Porcentaje de ponderación</t>
        </is>
      </c>
      <c r="D41" s="25" t="n"/>
      <c r="E41" s="34">
        <f>IF(J22=0, 0, E40/J22)</f>
        <v/>
      </c>
      <c r="F41" s="35" t="inlineStr">
        <is>
          <t>Porcentaje de ponderación</t>
        </is>
      </c>
      <c r="G41" s="25" t="n"/>
      <c r="H41" s="14">
        <f>IF(J22=0, 0, H40/J22)</f>
        <v/>
      </c>
    </row>
    <row r="42" ht="14.4" customHeight="1"/>
    <row r="43" ht="16.65" customHeight="1"/>
    <row r="44" ht="16.65" customHeight="1"/>
    <row r="45" ht="16.65" customHeight="1"/>
    <row r="46" ht="16.65" customHeight="1"/>
    <row r="47" ht="16.65" customHeight="1"/>
    <row r="48" ht="16.65" customHeight="1"/>
    <row r="49" ht="16.65" customHeight="1"/>
    <row r="50" ht="16.65" customHeight="1"/>
    <row r="51" ht="16.65" customHeight="1"/>
    <row r="52" ht="16.65" customHeight="1"/>
    <row r="53" ht="16.65" customHeight="1"/>
    <row r="54" ht="16.65" customHeight="1"/>
    <row r="55" ht="16.65" customHeight="1"/>
    <row r="56" ht="16.65" customHeight="1"/>
    <row r="57" hidden="1" ht="15" customHeight="1"/>
    <row r="58" hidden="1" ht="12.75" customHeight="1"/>
    <row r="59" hidden="1" ht="12.75" customHeight="1"/>
    <row r="60" hidden="1" ht="12.75" customHeight="1"/>
    <row r="61" hidden="1" ht="12.75" customHeight="1"/>
    <row r="62" hidden="1" ht="12.75" customHeight="1"/>
    <row r="63" hidden="1" ht="12.75" customHeight="1"/>
    <row r="64" hidden="1" ht="12.75" customHeight="1"/>
    <row r="65" hidden="1" ht="12.75" customHeight="1"/>
    <row r="66" hidden="1" ht="12.75" customHeight="1"/>
    <row r="67" hidden="1" ht="12.75" customHeight="1"/>
    <row r="68" hidden="1" ht="12.75" customHeight="1"/>
    <row r="69" hidden="1" ht="12.75" customHeight="1"/>
    <row r="70" hidden="1" ht="12.75" customHeight="1"/>
    <row r="71" hidden="1" ht="12.75" customHeight="1"/>
    <row r="72" hidden="1" ht="12.75" customHeight="1"/>
    <row r="73" hidden="1" ht="12.75" customHeight="1"/>
    <row r="74" hidden="1" ht="12.75" customHeight="1"/>
    <row r="75" hidden="1" ht="12.75" customHeight="1"/>
    <row r="76" hidden="1" ht="12.75" customHeight="1"/>
    <row r="77" hidden="1" ht="12.75" customHeight="1"/>
    <row r="78" hidden="1" ht="12.75" customHeight="1"/>
    <row r="79" hidden="1" ht="12.75" customHeight="1"/>
    <row r="80" hidden="1" ht="12.75" customHeight="1"/>
    <row r="81" hidden="1" ht="12.75" customHeight="1"/>
    <row r="82" hidden="1" ht="12.75" customHeight="1"/>
    <row r="83" hidden="1" ht="12.75" customHeight="1"/>
    <row r="84" hidden="1" ht="12.75" customHeight="1"/>
    <row r="85" hidden="1" ht="12.75" customHeight="1"/>
    <row r="86" hidden="1" ht="12.75" customHeight="1"/>
    <row r="87" hidden="1" ht="12.75" customHeight="1"/>
    <row r="88" hidden="1" ht="12.75" customHeight="1"/>
    <row r="89" hidden="1" ht="12.75" customHeight="1"/>
    <row r="90" hidden="1" ht="12.75" customHeight="1"/>
    <row r="91" hidden="1" ht="12.75" customHeight="1"/>
    <row r="92" hidden="1" ht="12.75" customHeight="1"/>
    <row r="93" hidden="1" ht="12.75" customHeight="1"/>
    <row r="94" hidden="1" ht="12.75" customHeight="1"/>
    <row r="95" hidden="1" ht="12.75" customHeight="1"/>
    <row r="96" hidden="1" ht="12.75" customHeight="1"/>
  </sheetData>
  <mergeCells count="22">
    <mergeCell ref="J14:K14"/>
    <mergeCell ref="J10:K10"/>
    <mergeCell ref="J19:K19"/>
    <mergeCell ref="J13:K13"/>
    <mergeCell ref="J9:K9"/>
    <mergeCell ref="J15:K15"/>
    <mergeCell ref="J20:K20"/>
    <mergeCell ref="J11:K11"/>
    <mergeCell ref="J16:K16"/>
    <mergeCell ref="L10:M10"/>
    <mergeCell ref="J7:K7"/>
    <mergeCell ref="M3:N3"/>
    <mergeCell ref="J22:K22"/>
    <mergeCell ref="L9:M9"/>
    <mergeCell ref="J21:K21"/>
    <mergeCell ref="J12:K12"/>
    <mergeCell ref="J18:K18"/>
    <mergeCell ref="J23:K23"/>
    <mergeCell ref="J8:K8"/>
    <mergeCell ref="M4:N4"/>
    <mergeCell ref="M2:O2"/>
    <mergeCell ref="J17:K17"/>
  </mergeCells>
  <pageMargins left="0.7" right="0.7" top="0.75" bottom="0.75" header="0.3" footer="0.3"/>
  <pageSetup orientation="portrait" horizontalDpi="360" verticalDpi="36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2019-10-23T15:32:11Z</dcterms:created>
  <dcterms:modified xmlns:dcterms="http://purl.org/dc/terms/" xmlns:xsi="http://www.w3.org/2001/XMLSchema-instance" xsi:type="dcterms:W3CDTF">2026-09-28T02:53:05Z</dcterms:modified>
  <cp:lastModifiedBy>Carlos Quintero N.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</Properties>
</file>