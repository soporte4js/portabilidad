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alidad 2400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7" customWidth="1" min="3" max="3"/>
    <col width="11" customWidth="1" min="4" max="4"/>
    <col width="10" customWidth="1" min="5" max="5"/>
    <col width="38" customWidth="1" min="6" max="6"/>
  </cols>
  <sheetData>
    <row r="1">
      <c r="A1" t="inlineStr">
        <is>
          <t>Categoría</t>
        </is>
      </c>
      <c r="B1" t="inlineStr">
        <is>
          <t>Indicador</t>
        </is>
      </c>
      <c r="C1" t="inlineStr">
        <is>
          <t>Meta</t>
        </is>
      </c>
      <c r="D1" t="inlineStr">
        <is>
          <t>Resultado</t>
        </is>
      </c>
      <c r="E1" t="inlineStr">
        <is>
          <t>Semáforo</t>
        </is>
      </c>
      <c r="F1" t="inlineStr">
        <is>
          <t>Fórmula Semáforo</t>
        </is>
      </c>
    </row>
    <row r="2">
      <c r="A2" t="inlineStr">
        <is>
          <t>Calidad</t>
        </is>
      </c>
      <c r="B2" t="inlineStr">
        <is>
          <t>Defectos por entrega</t>
        </is>
      </c>
      <c r="C2" t="inlineStr">
        <is>
          <t>&lt;=3</t>
        </is>
      </c>
      <c r="D2" t="n">
        <v>1</v>
      </c>
      <c r="E2" t="inlineStr">
        <is>
          <t>🟢</t>
        </is>
      </c>
      <c r="F2">
        <f>IF(D2&lt;=3,"🟢",IF(D2&lt;=5,"🟡","🔴"))</f>
        <v/>
      </c>
    </row>
    <row r="3">
      <c r="A3" t="inlineStr">
        <is>
          <t>Productividad</t>
        </is>
      </c>
      <c r="B3" t="inlineStr">
        <is>
          <t>Horas devengadas (mensuales)</t>
        </is>
      </c>
      <c r="C3" t="inlineStr">
        <is>
          <t>200</t>
        </is>
      </c>
      <c r="D3" t="n">
        <v>200</v>
      </c>
      <c r="E3" t="inlineStr">
        <is>
          <t>🟢</t>
        </is>
      </c>
      <c r="F3">
        <f>IF(D3&gt;=200,"🟢",IF(D3&gt;=180,"🟡","🔴"))</f>
        <v/>
      </c>
    </row>
    <row r="4">
      <c r="A4" t="inlineStr">
        <is>
          <t>Cliente</t>
        </is>
      </c>
      <c r="B4" t="inlineStr">
        <is>
          <t>Aceptación sin ajustes (%)</t>
        </is>
      </c>
      <c r="C4" t="inlineStr">
        <is>
          <t>&gt;=85%</t>
        </is>
      </c>
      <c r="D4" t="n">
        <v>89</v>
      </c>
      <c r="E4" t="inlineStr">
        <is>
          <t>🟢</t>
        </is>
      </c>
      <c r="F4">
        <f>IF(D4&gt;=85,"🟢",IF(D4&gt;=70,"🟡","🔴"))</f>
        <v/>
      </c>
    </row>
    <row r="5">
      <c r="A5" t="inlineStr">
        <is>
          <t>Gestión</t>
        </is>
      </c>
      <c r="B5" t="inlineStr">
        <is>
          <t>Documentación entregada (%)</t>
        </is>
      </c>
      <c r="C5" t="inlineStr">
        <is>
          <t>100%</t>
        </is>
      </c>
      <c r="D5" t="n">
        <v>99</v>
      </c>
      <c r="E5" t="inlineStr">
        <is>
          <t>🟡</t>
        </is>
      </c>
      <c r="F5">
        <f>IF(D5=100,"🟢",IF(D5&gt;=80,"🟡","🔴"))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2025-12-05T20:27:51Z</dcterms:created>
  <dcterms:modified xmlns:dcterms="http://purl.org/dc/terms/" xmlns:xsi="http://www.w3.org/2001/XMLSchema-instance" xsi:type="dcterms:W3CDTF">2026-09-27T04:46:21Z</dcterms:modified>
  <cp:lastModifiedBy>Carlos Quintero N.</cp:lastModifiedBy>
</cp:coreProperties>
</file>