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Historial de versiones" sheetId="1" state="visible" r:id="rId1"/>
    <sheet xmlns:r="http://schemas.openxmlformats.org/officeDocument/2006/relationships" name="1.-Análisis de decisión" sheetId="2" state="visible" r:id="rId2"/>
    <sheet xmlns:r="http://schemas.openxmlformats.org/officeDocument/2006/relationships" name="Registro de decisiones" sheetId="3" state="hidden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sz val="12"/>
    </font>
    <font>
      <name val="Calibri"/>
      <family val="2"/>
      <b val="1"/>
      <color theme="1"/>
      <sz val="14"/>
      <scheme val="minor"/>
    </font>
    <font>
      <name val="Calibri"/>
      <family val="2"/>
      <sz val="10"/>
    </font>
    <font>
      <name val="Times New Roman"/>
      <family val="1"/>
      <b val="1"/>
      <color theme="0"/>
      <sz val="14"/>
    </font>
    <font>
      <name val="Times New Roman"/>
      <family val="1"/>
      <sz val="10"/>
    </font>
    <font>
      <name val="Calibri"/>
      <family val="2"/>
      <b val="1"/>
      <color theme="0"/>
      <sz val="14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i val="1"/>
      <color theme="1" tint="0.3499862666707358"/>
      <sz val="11"/>
    </font>
    <font>
      <name val="Calibri"/>
      <family val="2"/>
      <b val="1"/>
      <color theme="1"/>
      <sz val="16"/>
      <scheme val="minor"/>
    </font>
    <font>
      <name val="Calibri"/>
      <family val="2"/>
      <color rgb="FF000000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rgb="FF000000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74999237037263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"/>
        <bgColor rgb="FF00000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 tint="0.249977111117893"/>
        <bgColor rgb="FF000000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9">
    <xf numFmtId="0" fontId="0" fillId="0" borderId="0" pivotButton="0" quotePrefix="0" xfId="0"/>
    <xf numFmtId="0" fontId="0" fillId="0" borderId="23" pivotButton="0" quotePrefix="0" xfId="0"/>
    <xf numFmtId="0" fontId="6" fillId="0" borderId="25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justify" vertical="center" wrapText="1"/>
    </xf>
    <xf numFmtId="0" fontId="6" fillId="0" borderId="13" applyAlignment="1" pivotButton="0" quotePrefix="0" xfId="0">
      <alignment horizontal="center" vertical="center" wrapText="1"/>
    </xf>
    <xf numFmtId="0" fontId="7" fillId="3" borderId="9" applyAlignment="1" pivotButton="0" quotePrefix="0" xfId="0">
      <alignment horizontal="center" vertical="center" wrapText="1"/>
    </xf>
    <xf numFmtId="0" fontId="7" fillId="3" borderId="10" applyAlignment="1" pivotButton="0" quotePrefix="0" xfId="0">
      <alignment horizontal="center" vertical="center" wrapText="1"/>
    </xf>
    <xf numFmtId="0" fontId="7" fillId="3" borderId="12" applyAlignment="1" pivotButton="0" quotePrefix="0" xfId="0">
      <alignment horizontal="center" vertical="center" wrapText="1"/>
    </xf>
    <xf numFmtId="0" fontId="7" fillId="3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1" fontId="8" fillId="0" borderId="15" applyAlignment="1" pivotButton="0" quotePrefix="0" xfId="0">
      <alignment horizontal="center" vertical="center"/>
    </xf>
    <xf numFmtId="1" fontId="8" fillId="0" borderId="16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left" vertical="center" wrapText="1"/>
    </xf>
    <xf numFmtId="0" fontId="8" fillId="0" borderId="17" applyAlignment="1" pivotButton="0" quotePrefix="0" xfId="0">
      <alignment horizontal="left" vertical="center" wrapText="1"/>
    </xf>
    <xf numFmtId="0" fontId="8" fillId="0" borderId="18" applyAlignment="1" pivotButton="0" quotePrefix="0" xfId="0">
      <alignment horizontal="center" vertical="center"/>
    </xf>
    <xf numFmtId="1" fontId="8" fillId="0" borderId="16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20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7" fillId="3" borderId="16" applyAlignment="1" pivotButton="0" quotePrefix="0" xfId="0">
      <alignment horizontal="center" vertical="center" wrapText="1"/>
    </xf>
    <xf numFmtId="0" fontId="7" fillId="3" borderId="25" applyAlignment="1" pivotButton="0" quotePrefix="0" xfId="0">
      <alignment horizontal="center" vertical="center" wrapText="1"/>
    </xf>
    <xf numFmtId="0" fontId="0" fillId="5" borderId="0" pivotButton="0" quotePrefix="0" xfId="0"/>
    <xf numFmtId="0" fontId="14" fillId="0" borderId="1" applyAlignment="1" pivotButton="0" quotePrefix="0" xfId="0">
      <alignment horizontal="center" vertical="center"/>
    </xf>
    <xf numFmtId="0" fontId="16" fillId="0" borderId="13" applyAlignment="1" pivotButton="0" quotePrefix="0" xfId="0">
      <alignment horizontal="center" vertical="center" wrapText="1"/>
    </xf>
    <xf numFmtId="49" fontId="16" fillId="0" borderId="13" applyAlignment="1" pivotButton="0" quotePrefix="0" xfId="0">
      <alignment horizontal="center" vertical="center" wrapText="1"/>
    </xf>
    <xf numFmtId="0" fontId="9" fillId="8" borderId="11" applyAlignment="1" pivotButton="0" quotePrefix="0" xfId="0">
      <alignment horizontal="center" vertical="center" wrapText="1"/>
    </xf>
    <xf numFmtId="0" fontId="9" fillId="8" borderId="8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/>
    </xf>
    <xf numFmtId="0" fontId="11" fillId="11" borderId="26" pivotButton="0" quotePrefix="0" xfId="0"/>
    <xf numFmtId="0" fontId="11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14" fontId="18" fillId="2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0" pivotButton="0" quotePrefix="0" xfId="0"/>
    <xf numFmtId="0" fontId="18" fillId="2" borderId="1" applyAlignment="1" pivotButton="0" quotePrefix="0" xfId="0">
      <alignment horizontal="left" vertical="center" wrapText="1"/>
    </xf>
    <xf numFmtId="14" fontId="16" fillId="0" borderId="13" applyAlignment="1" pivotButton="0" quotePrefix="0" xfId="0">
      <alignment horizontal="center" vertical="center" wrapText="1"/>
    </xf>
    <xf numFmtId="0" fontId="0" fillId="0" borderId="0" pivotButton="0" quotePrefix="0" xfId="0"/>
    <xf numFmtId="0" fontId="14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11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/>
    </xf>
    <xf numFmtId="0" fontId="14" fillId="0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17" fillId="11" borderId="7" applyAlignment="1" pivotButton="0" quotePrefix="0" xfId="0">
      <alignment horizontal="center" vertical="top" wrapText="1"/>
    </xf>
    <xf numFmtId="0" fontId="17" fillId="11" borderId="6" applyAlignment="1" pivotButton="0" quotePrefix="0" xfId="0">
      <alignment horizontal="center" vertical="top" wrapText="1"/>
    </xf>
    <xf numFmtId="0" fontId="17" fillId="11" borderId="5" applyAlignment="1" pivotButton="0" quotePrefix="0" xfId="0">
      <alignment horizontal="center" vertical="top" wrapText="1"/>
    </xf>
    <xf numFmtId="0" fontId="11" fillId="6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6" applyAlignment="1" pivotButton="0" quotePrefix="0" xfId="0">
      <alignment horizontal="center" vertical="top" wrapText="1"/>
    </xf>
    <xf numFmtId="0" fontId="0" fillId="0" borderId="5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7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4" fillId="6" borderId="7" applyAlignment="1" pivotButton="0" quotePrefix="0" xfId="0">
      <alignment horizontal="center" vertical="center" wrapText="1"/>
    </xf>
    <xf numFmtId="0" fontId="0" fillId="6" borderId="6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/>
    </xf>
    <xf numFmtId="0" fontId="1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11" fillId="11" borderId="27" applyAlignment="1" pivotButton="0" quotePrefix="0" xfId="0">
      <alignment horizontal="center" vertical="center"/>
    </xf>
    <xf numFmtId="0" fontId="11" fillId="11" borderId="26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top"/>
    </xf>
    <xf numFmtId="0" fontId="11" fillId="11" borderId="1" applyAlignment="1" pivotButton="0" quotePrefix="0" xfId="0">
      <alignment horizontal="center" wrapText="1"/>
    </xf>
    <xf numFmtId="0" fontId="0" fillId="11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vertical="center"/>
    </xf>
    <xf numFmtId="0" fontId="24" fillId="0" borderId="1" applyAlignment="1" pivotButton="0" quotePrefix="0" xfId="0">
      <alignment horizontal="left" vertical="center"/>
    </xf>
    <xf numFmtId="0" fontId="19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/>
    </xf>
    <xf numFmtId="0" fontId="4" fillId="0" borderId="3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4" fillId="0" borderId="29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4" pivotButton="0" quotePrefix="0" xfId="0"/>
    <xf numFmtId="0" fontId="0" fillId="0" borderId="13" pivotButton="0" quotePrefix="0" xfId="0"/>
    <xf numFmtId="0" fontId="0" fillId="0" borderId="28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27" pivotButton="0" quotePrefix="0" xfId="0"/>
    <xf numFmtId="0" fontId="0" fillId="0" borderId="16" pivotButton="0" quotePrefix="0" xfId="0"/>
    <xf numFmtId="0" fontId="17" fillId="11" borderId="1" applyAlignment="1" pivotButton="0" quotePrefix="0" xfId="0">
      <alignment horizontal="center" vertical="top" wrapText="1"/>
    </xf>
    <xf numFmtId="0" fontId="0" fillId="0" borderId="26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Pedro Alatorre</author>
  </authors>
  <commentList>
    <comment ref="E42" authorId="0" shapeId="0">
      <text>
        <t>Estos son ejemplos con la intención de demostrar que no tiene que ser solo una opción, siempre y cuando se cumpla con el método</t>
      </text>
    </comment>
  </commentList>
</comments>
</file>

<file path=xl/comments/comment2.xml><?xml version="1.0" encoding="utf-8"?>
<comments xmlns="http://schemas.openxmlformats.org/spreadsheetml/2006/main">
  <authors>
    <author>Tania Lopez</author>
  </authors>
  <commentList>
    <comment ref="C5" authorId="0" shapeId="0">
      <text>
        <t xml:space="preserve">Nombre del proyecto
</t>
      </text>
    </comment>
  </commentList>
</comment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://www.gilhub.com/www.gilhub.com/Especificaciones_de_uso/exhibici&#243;n_de_pruebasVideoconferencia%20de%20presentaci&#243;n%20de%20softwareDemo%20gratuito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topLeftCell="A2" workbookViewId="0">
      <selection activeCell="A3" sqref="A3:B4"/>
    </sheetView>
  </sheetViews>
  <sheetFormatPr baseColWidth="10" defaultColWidth="11.44140625" defaultRowHeight="14.4"/>
  <cols>
    <col width="20.33203125" customWidth="1" style="44" min="1" max="1"/>
    <col width="25.33203125" customWidth="1" style="44" min="2" max="2"/>
    <col width="53.109375" customWidth="1" style="44" min="3" max="3"/>
    <col width="20" customWidth="1" style="44" min="4" max="4"/>
  </cols>
  <sheetData>
    <row r="1">
      <c r="A1" s="102" t="inlineStr">
        <is>
          <t>Logo de la empresa</t>
        </is>
      </c>
      <c r="B1" s="103" t="n"/>
      <c r="C1" s="1" t="n"/>
    </row>
    <row r="2" ht="38.1" customHeight="1" s="44" thickBot="1">
      <c r="A2" s="104" t="n"/>
      <c r="B2" s="105" t="n"/>
      <c r="C2" s="1" t="n"/>
    </row>
    <row r="3">
      <c r="A3" s="99" t="inlineStr">
        <is>
          <t>Este documento tiene un alcance a nivel Proyecto</t>
        </is>
      </c>
      <c r="B3" s="106" t="n"/>
    </row>
    <row r="4"/>
    <row r="6" ht="18" customHeight="1" s="44">
      <c r="A6" s="98" t="inlineStr">
        <is>
          <t>Historial de versiones</t>
        </is>
      </c>
    </row>
    <row r="7" ht="15" customHeight="1" s="44" thickBot="1"/>
    <row r="8" ht="18.6" customHeight="1" s="44" thickBot="1">
      <c r="A8" s="26" t="inlineStr">
        <is>
          <t>Fecha</t>
        </is>
      </c>
      <c r="B8" s="27" t="inlineStr">
        <is>
          <t>Versión</t>
        </is>
      </c>
      <c r="C8" s="27" t="inlineStr">
        <is>
          <t>Descripción</t>
        </is>
      </c>
      <c r="D8" s="27" t="inlineStr">
        <is>
          <t>Autor</t>
        </is>
      </c>
    </row>
    <row r="9" ht="33" customHeight="1" s="44" thickBot="1">
      <c r="A9" s="43" t="n">
        <v>46023</v>
      </c>
      <c r="B9" s="25" t="inlineStr">
        <is>
          <t>Versión 1.0</t>
        </is>
      </c>
      <c r="C9" s="24" t="inlineStr">
        <is>
          <t>Creación del documento</t>
        </is>
      </c>
      <c r="D9" s="24" t="inlineStr">
        <is>
          <t>Carlos Quintero N.</t>
        </is>
      </c>
    </row>
    <row r="10" ht="30" customHeight="1" s="44" thickBot="1">
      <c r="A10" s="2" t="inlineStr">
        <is>
          <t>27/07/2026</t>
        </is>
      </c>
      <c r="B10" s="3" t="inlineStr">
        <is>
          <t>Versión 1.1</t>
        </is>
      </c>
      <c r="C10" s="4" t="inlineStr">
        <is>
          <t>Revisión general de consistencia de la sesión: se corrige el error de celda "#VALUE!" (x2).</t>
        </is>
      </c>
      <c r="D10" s="5" t="inlineStr">
        <is>
          <t>Carlos Quintero N.</t>
        </is>
      </c>
    </row>
    <row r="11" ht="31.95" customHeight="1" s="44" thickBot="1">
      <c r="A11" s="2" t="n"/>
      <c r="B11" s="3" t="n"/>
      <c r="C11" s="4" t="n"/>
      <c r="D11" s="5" t="n"/>
    </row>
    <row r="12" ht="33" customHeight="1" s="44" thickBot="1">
      <c r="A12" s="2" t="n"/>
      <c r="B12" s="3" t="n"/>
      <c r="C12" s="4" t="n"/>
      <c r="D12" s="5" t="n"/>
    </row>
    <row r="25" ht="13.95" customHeight="1" s="44"/>
    <row r="26" ht="13.95" customHeight="1" s="44"/>
  </sheetData>
  <mergeCells count="3">
    <mergeCell ref="A1:B2"/>
    <mergeCell ref="A3:B4"/>
    <mergeCell ref="A6:D6"/>
  </mergeCells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6"/>
  <sheetViews>
    <sheetView tabSelected="1" zoomScale="90" zoomScaleNormal="90" workbookViewId="0">
      <selection activeCell="A1" sqref="A1:C4"/>
    </sheetView>
  </sheetViews>
  <sheetFormatPr baseColWidth="10" defaultColWidth="11.44140625" defaultRowHeight="14.4"/>
  <cols>
    <col width="13.6640625" customWidth="1" style="44" min="1" max="1"/>
    <col width="3.5546875" customWidth="1" style="44" min="2" max="2"/>
    <col width="16.44140625" customWidth="1" style="44" min="3" max="3"/>
    <col width="13.109375" customWidth="1" style="44" min="5" max="5"/>
    <col width="15" customWidth="1" style="44" min="10" max="10"/>
    <col width="15.6640625" customWidth="1" style="44" min="12" max="12"/>
    <col width="14.88671875" customWidth="1" style="44" min="20" max="20"/>
    <col width="25.33203125" customWidth="1" style="44" min="21" max="21"/>
  </cols>
  <sheetData>
    <row r="1">
      <c r="A1" s="91" t="inlineStr">
        <is>
          <t>Logo de la empresa</t>
        </is>
      </c>
    </row>
    <row r="2">
      <c r="S2" s="77" t="n"/>
    </row>
    <row r="3"/>
    <row r="4"/>
    <row r="5" ht="6" customHeight="1" s="44"/>
    <row r="6" ht="22.2" customHeight="1" s="44">
      <c r="G6" s="93" t="inlineStr">
        <is>
          <t>Participantes</t>
        </is>
      </c>
      <c r="H6" s="107" t="n"/>
      <c r="I6" s="107" t="n"/>
      <c r="J6" s="107" t="n"/>
      <c r="K6" s="107" t="n"/>
      <c r="L6" s="108" t="n"/>
    </row>
    <row r="7" ht="18" customHeight="1" s="44">
      <c r="A7" s="92" t="inlineStr">
        <is>
          <t>Registro de Decisión</t>
        </is>
      </c>
      <c r="B7" s="107" t="n"/>
      <c r="C7" s="107" t="n"/>
      <c r="D7" s="107" t="n"/>
      <c r="E7" s="108" t="n"/>
      <c r="G7" s="83" t="inlineStr">
        <is>
          <t>Participantes de la Decisión</t>
        </is>
      </c>
      <c r="H7" s="107" t="n"/>
      <c r="I7" s="108" t="n"/>
      <c r="J7" s="83" t="inlineStr">
        <is>
          <t>Puesto</t>
        </is>
      </c>
      <c r="K7" s="108" t="n"/>
      <c r="L7" s="30" t="inlineStr">
        <is>
          <t>Rol</t>
        </is>
      </c>
    </row>
    <row r="8" ht="31.2" customHeight="1" s="44">
      <c r="A8" s="86" t="inlineStr">
        <is>
          <t>ID:</t>
        </is>
      </c>
      <c r="B8" s="108" t="n"/>
      <c r="C8" s="90" t="inlineStr">
        <is>
          <t>SW_ARQ_2</t>
        </is>
      </c>
      <c r="D8" s="107" t="n"/>
      <c r="E8" s="108" t="n"/>
      <c r="G8" s="88" t="inlineStr">
        <is>
          <t>Carlos Quintero Nava</t>
        </is>
      </c>
      <c r="H8" s="107" t="n"/>
      <c r="I8" s="108" t="n"/>
      <c r="J8" s="89" t="inlineStr">
        <is>
          <t>Líder de proyecto</t>
        </is>
      </c>
      <c r="K8" s="108" t="n"/>
      <c r="L8" s="73" t="inlineStr">
        <is>
          <t>Líder de decisión</t>
        </is>
      </c>
    </row>
    <row r="9" ht="24" customHeight="1" s="44">
      <c r="A9" s="86" t="inlineStr">
        <is>
          <t>Objetivo:</t>
        </is>
      </c>
      <c r="B9" s="109" t="n"/>
      <c r="C9" s="90" t="inlineStr">
        <is>
          <t>Cambiar programa para desarrollo de software</t>
        </is>
      </c>
      <c r="D9" s="110" t="n"/>
      <c r="E9" s="109" t="n"/>
      <c r="G9" s="88" t="inlineStr">
        <is>
          <t>Oscar Vera G.</t>
        </is>
      </c>
      <c r="H9" s="107" t="n"/>
      <c r="I9" s="108" t="n"/>
      <c r="J9" s="89" t="inlineStr">
        <is>
          <t xml:space="preserve">Gerente de proyectos </t>
        </is>
      </c>
      <c r="K9" s="108" t="n"/>
      <c r="L9" s="73" t="inlineStr">
        <is>
          <t>Aprobador</t>
        </is>
      </c>
    </row>
    <row r="10" ht="14.4" customHeight="1" s="44">
      <c r="A10" s="111" t="n"/>
      <c r="B10" s="112" t="n"/>
      <c r="C10" s="111" t="n"/>
      <c r="D10" s="113" t="n"/>
      <c r="E10" s="112" t="n"/>
      <c r="G10" s="88" t="inlineStr">
        <is>
          <t>Carlos Quintero Nava</t>
        </is>
      </c>
      <c r="H10" s="107" t="n"/>
      <c r="I10" s="108" t="n"/>
      <c r="J10" s="89" t="inlineStr">
        <is>
          <t>Analista</t>
        </is>
      </c>
      <c r="K10" s="108" t="n"/>
      <c r="L10" s="73" t="inlineStr">
        <is>
          <t>Analista</t>
        </is>
      </c>
    </row>
    <row r="11">
      <c r="A11" s="86" t="inlineStr">
        <is>
          <t>Fase / Temática:</t>
        </is>
      </c>
      <c r="B11" s="108" t="n"/>
      <c r="C11" s="34" t="inlineStr">
        <is>
          <t xml:space="preserve"> Requisitos</t>
        </is>
      </c>
      <c r="D11" s="87" t="inlineStr">
        <is>
          <t>Fecha inicio:</t>
        </is>
      </c>
      <c r="E11" s="36" t="n"/>
      <c r="G11" s="88" t="inlineStr">
        <is>
          <t>Carlos Quintero Nava</t>
        </is>
      </c>
      <c r="H11" s="107" t="n"/>
      <c r="I11" s="108" t="n"/>
      <c r="J11" s="89" t="inlineStr">
        <is>
          <t>Codificador</t>
        </is>
      </c>
      <c r="K11" s="108" t="n"/>
      <c r="L11" s="73" t="inlineStr">
        <is>
          <t>Desarrollador</t>
        </is>
      </c>
    </row>
    <row r="12" ht="15" customHeight="1" s="44">
      <c r="A12" s="87" t="inlineStr">
        <is>
          <t>Nivel:</t>
        </is>
      </c>
      <c r="B12" s="108" t="n"/>
      <c r="C12" s="90" t="inlineStr">
        <is>
          <t>Proyecto</t>
        </is>
      </c>
      <c r="D12" s="87" t="inlineStr">
        <is>
          <t>Fecha fin:</t>
        </is>
      </c>
      <c r="E12" s="36" t="n"/>
      <c r="G12" s="88" t="inlineStr">
        <is>
          <t>A definir</t>
        </is>
      </c>
      <c r="H12" s="107" t="n"/>
      <c r="I12" s="108" t="n"/>
      <c r="J12" s="89" t="inlineStr">
        <is>
          <t>Tester</t>
        </is>
      </c>
      <c r="K12" s="108" t="n"/>
      <c r="L12" s="73" t="inlineStr">
        <is>
          <t>Tester</t>
        </is>
      </c>
    </row>
    <row r="14" ht="5.4" customHeight="1" s="44"/>
    <row r="15" ht="18.6" customHeight="1" s="44">
      <c r="A15" s="85" t="inlineStr">
        <is>
          <t>Criterios de Decisión</t>
        </is>
      </c>
      <c r="B15" s="107" t="n"/>
      <c r="C15" s="107" t="n"/>
      <c r="D15" s="107" t="n"/>
      <c r="E15" s="107" t="n"/>
      <c r="F15" s="108" t="n"/>
    </row>
    <row r="16" ht="33.6" customHeight="1" s="44">
      <c r="A16" s="83" t="inlineStr">
        <is>
          <t>Importancia (peso)</t>
        </is>
      </c>
      <c r="B16" s="82" t="inlineStr">
        <is>
          <t>Criterio (Ordenados en nivel de importancia)</t>
        </is>
      </c>
      <c r="C16" s="108" t="n"/>
      <c r="D16" s="83" t="inlineStr">
        <is>
          <t>Escala / Rango</t>
        </is>
      </c>
      <c r="E16" s="83" t="inlineStr">
        <is>
          <t>Valoración</t>
        </is>
      </c>
      <c r="F16" s="108" t="n"/>
    </row>
    <row r="17" ht="14.4" customHeight="1" s="44">
      <c r="A17" s="38" t="n">
        <v>5</v>
      </c>
      <c r="B17" s="84" t="inlineStr">
        <is>
          <t>Precio</t>
        </is>
      </c>
      <c r="C17" s="108" t="n"/>
      <c r="D17" s="39" t="inlineStr">
        <is>
          <t>1 a 10</t>
        </is>
      </c>
      <c r="E17" s="81" t="inlineStr">
        <is>
          <t>1 alto costo, 10 bajo costo</t>
        </is>
      </c>
      <c r="F17" s="108" t="n"/>
    </row>
    <row r="18">
      <c r="A18" s="38" t="n">
        <v>4</v>
      </c>
      <c r="B18" s="80" t="inlineStr">
        <is>
          <t>Nivel de riesgo</t>
        </is>
      </c>
      <c r="C18" s="108" t="n"/>
      <c r="D18" s="39" t="inlineStr">
        <is>
          <t xml:space="preserve">1 a 5 </t>
        </is>
      </c>
      <c r="E18" s="81" t="inlineStr">
        <is>
          <t>1 alto, 5 bajo</t>
        </is>
      </c>
      <c r="F18" s="108" t="n"/>
    </row>
    <row r="19">
      <c r="A19" s="38" t="n">
        <v>3</v>
      </c>
      <c r="B19" s="80" t="inlineStr">
        <is>
          <t>Facilidad de uso</t>
        </is>
      </c>
      <c r="C19" s="108" t="n"/>
      <c r="D19" s="39" t="inlineStr">
        <is>
          <t xml:space="preserve">1 a 5 </t>
        </is>
      </c>
      <c r="E19" s="81" t="inlineStr">
        <is>
          <t>1 compleja, 5 fácil</t>
        </is>
      </c>
      <c r="F19" s="108" t="n"/>
    </row>
    <row r="20">
      <c r="A20" s="38" t="n">
        <v>2</v>
      </c>
      <c r="B20" s="80" t="inlineStr">
        <is>
          <t>Velocidad de respuesta</t>
        </is>
      </c>
      <c r="C20" s="108" t="n"/>
      <c r="D20" s="39" t="inlineStr">
        <is>
          <t xml:space="preserve">1 a 5 </t>
        </is>
      </c>
      <c r="E20" s="81" t="inlineStr">
        <is>
          <t>1 lenta, 5 rápida</t>
        </is>
      </c>
      <c r="F20" s="108" t="n"/>
    </row>
    <row r="21">
      <c r="A21" s="38" t="n">
        <v>1</v>
      </c>
      <c r="B21" s="80" t="inlineStr">
        <is>
          <t>Cantidad de controles</t>
        </is>
      </c>
      <c r="C21" s="108" t="n"/>
      <c r="D21" s="39" t="inlineStr">
        <is>
          <t xml:space="preserve">1 a 5 </t>
        </is>
      </c>
      <c r="E21" s="81" t="inlineStr">
        <is>
          <t>1 escasa, 5 abundante</t>
        </is>
      </c>
      <c r="F21" s="108" t="n"/>
    </row>
    <row r="22" ht="30" customHeight="1" s="44">
      <c r="A22" s="78" t="inlineStr">
        <is>
          <t>Resultado de análisis</t>
        </is>
      </c>
      <c r="B22" s="108" t="n"/>
      <c r="C22" s="72" t="inlineStr">
        <is>
          <t>La alternativa elegida fue Jalato</t>
        </is>
      </c>
      <c r="D22" s="107" t="n"/>
      <c r="E22" s="107" t="n"/>
      <c r="F22" s="108" t="n"/>
    </row>
    <row r="23" ht="23.25" customHeight="1" s="44"/>
    <row r="24" ht="18.75" customHeight="1" s="44"/>
    <row r="25" ht="3.75" customHeight="1" s="44"/>
    <row r="26">
      <c r="A26" s="71" t="inlineStr">
        <is>
          <t>Evaluación de alternativas</t>
        </is>
      </c>
    </row>
    <row r="27">
      <c r="A27" s="75" t="inlineStr">
        <is>
          <t xml:space="preserve">Criterios </t>
        </is>
      </c>
      <c r="B27" s="114" t="n"/>
      <c r="C27" s="70" t="inlineStr">
        <is>
          <t>Importancia (factor)</t>
        </is>
      </c>
      <c r="D27" s="70" t="inlineStr">
        <is>
          <t>GilHub</t>
        </is>
      </c>
      <c r="E27" s="108" t="n"/>
      <c r="F27" s="70" t="inlineStr">
        <is>
          <t>Jalato</t>
        </is>
      </c>
      <c r="G27" s="108" t="n"/>
      <c r="H27" s="70" t="inlineStr">
        <is>
          <t>Goocode</t>
        </is>
      </c>
      <c r="I27" s="108" t="n"/>
    </row>
    <row r="28" ht="28.8" customHeight="1" s="44">
      <c r="B28" s="114" t="n"/>
      <c r="C28" s="115" t="n"/>
      <c r="D28" s="40" t="inlineStr">
        <is>
          <t>Escala/ Rango</t>
        </is>
      </c>
      <c r="E28" s="31" t="inlineStr">
        <is>
          <t>Total</t>
        </is>
      </c>
      <c r="F28" s="40" t="inlineStr">
        <is>
          <t>Escala/ Rango</t>
        </is>
      </c>
      <c r="G28" s="31" t="inlineStr">
        <is>
          <t>Total</t>
        </is>
      </c>
      <c r="H28" s="40" t="inlineStr">
        <is>
          <t>Escala/ Rango</t>
        </is>
      </c>
      <c r="I28" s="31" t="inlineStr">
        <is>
          <t>Total</t>
        </is>
      </c>
    </row>
    <row r="29" ht="20.1" customHeight="1" s="44">
      <c r="A29" s="49" t="inlineStr">
        <is>
          <t>Precio</t>
        </is>
      </c>
      <c r="B29" s="108" t="n"/>
      <c r="C29" s="73" t="n">
        <v>5</v>
      </c>
      <c r="D29" s="72" t="n">
        <v>3</v>
      </c>
      <c r="E29" s="55">
        <f>C29*D29</f>
        <v/>
      </c>
      <c r="F29" s="49" t="n">
        <v>5</v>
      </c>
      <c r="G29" s="55">
        <f>C29*F29</f>
        <v/>
      </c>
      <c r="H29" s="72" t="n">
        <v>4</v>
      </c>
      <c r="I29" s="55">
        <f>C29*H29</f>
        <v/>
      </c>
    </row>
    <row r="30" ht="25.2" customHeight="1" s="44">
      <c r="A30" s="49" t="inlineStr">
        <is>
          <t>Nivel de riesgo</t>
        </is>
      </c>
      <c r="B30" s="108" t="n"/>
      <c r="C30" s="73" t="n">
        <v>4</v>
      </c>
      <c r="D30" s="72" t="n">
        <v>5</v>
      </c>
      <c r="E30" s="55">
        <f>C30*D30</f>
        <v/>
      </c>
      <c r="F30" s="72" t="n">
        <v>3</v>
      </c>
      <c r="G30" s="55">
        <f>C30*F30</f>
        <v/>
      </c>
      <c r="H30" s="72" t="n">
        <v>4</v>
      </c>
      <c r="I30" s="55">
        <f>C30*H30</f>
        <v/>
      </c>
    </row>
    <row r="31" ht="28.2" customHeight="1" s="44">
      <c r="A31" s="49" t="inlineStr">
        <is>
          <t>Facilidad de uso</t>
        </is>
      </c>
      <c r="B31" s="108" t="n"/>
      <c r="C31" s="73" t="n">
        <v>3</v>
      </c>
      <c r="D31" s="72" t="n">
        <v>2</v>
      </c>
      <c r="E31" s="55">
        <f>C31*D31</f>
        <v/>
      </c>
      <c r="F31" s="72" t="n">
        <v>3</v>
      </c>
      <c r="G31" s="55">
        <f>C31*F31</f>
        <v/>
      </c>
      <c r="H31" s="72" t="n">
        <v>2</v>
      </c>
      <c r="I31" s="55">
        <f>C31*H31</f>
        <v/>
      </c>
    </row>
    <row r="32" ht="31.95" customHeight="1" s="44">
      <c r="A32" s="49" t="inlineStr">
        <is>
          <t>Velocidad de respuesta</t>
        </is>
      </c>
      <c r="B32" s="108" t="n"/>
      <c r="C32" s="73" t="n">
        <v>2</v>
      </c>
      <c r="D32" s="72" t="n">
        <v>2</v>
      </c>
      <c r="E32" s="55">
        <f>C32*D32</f>
        <v/>
      </c>
      <c r="F32" s="72" t="n">
        <v>4</v>
      </c>
      <c r="G32" s="55">
        <f>C32*F32</f>
        <v/>
      </c>
      <c r="H32" s="72" t="n">
        <v>5</v>
      </c>
      <c r="I32" s="55">
        <f>C32*H32</f>
        <v/>
      </c>
    </row>
    <row r="33" ht="29.1" customHeight="1" s="44">
      <c r="A33" s="49" t="inlineStr">
        <is>
          <t>Cantidad de controles</t>
        </is>
      </c>
      <c r="B33" s="108" t="n"/>
      <c r="C33" s="73" t="n">
        <v>1</v>
      </c>
      <c r="D33" s="72" t="n">
        <v>3</v>
      </c>
      <c r="E33" s="55">
        <f>C33*D33</f>
        <v/>
      </c>
      <c r="F33" s="72" t="n">
        <v>5</v>
      </c>
      <c r="G33" s="55">
        <f>C33*F33</f>
        <v/>
      </c>
      <c r="H33" s="72" t="n">
        <v>2</v>
      </c>
      <c r="I33" s="55">
        <f>C33*H33</f>
        <v/>
      </c>
    </row>
    <row r="34" ht="21" customHeight="1" s="44">
      <c r="A34" s="116" t="inlineStr">
        <is>
          <t>Total</t>
        </is>
      </c>
      <c r="B34" s="107" t="n"/>
      <c r="C34" s="108" t="n"/>
      <c r="D34" s="55">
        <f>SUM(E29:E33)</f>
        <v/>
      </c>
      <c r="E34" s="108" t="n"/>
      <c r="F34" s="55">
        <f>SUM(G29:G33)</f>
        <v/>
      </c>
      <c r="G34" s="108" t="n"/>
      <c r="H34" s="55">
        <f>SUM(I29:I33)</f>
        <v/>
      </c>
      <c r="I34" s="108" t="n"/>
    </row>
    <row r="36" ht="28.8" customHeight="1" s="44">
      <c r="A36" s="70" t="inlineStr">
        <is>
          <t>Solución elegida</t>
        </is>
      </c>
      <c r="B36" s="50" t="inlineStr">
        <is>
          <t>La elección fue por "Jalato" por tener el mayor puntaje (59 puntos).</t>
        </is>
      </c>
      <c r="C36" s="107" t="n"/>
      <c r="D36" s="107" t="n"/>
      <c r="E36" s="107" t="n"/>
      <c r="F36" s="107" t="n"/>
      <c r="G36" s="107" t="n"/>
      <c r="H36" s="108" t="n"/>
      <c r="L36" s="41" t="n"/>
    </row>
    <row r="37" ht="27.75" customHeight="1" s="44">
      <c r="A37" s="70" t="inlineStr">
        <is>
          <t>Justificación</t>
        </is>
      </c>
      <c r="B37" s="50" t="inlineStr">
        <is>
          <t>La mejor alternativa según el puntaje obtenido fue "Jalato" (59 puntos, frente a 54 de Goocode y 48 de GilHub), por lo que fue la opción elegida.</t>
        </is>
      </c>
      <c r="C37" s="107" t="n"/>
      <c r="D37" s="107" t="n"/>
      <c r="E37" s="107" t="n"/>
      <c r="F37" s="107" t="n"/>
      <c r="G37" s="107" t="n"/>
      <c r="H37" s="108" t="n"/>
    </row>
    <row r="38" ht="29.4" customHeight="1" s="44"/>
    <row r="39" ht="29.4" customHeight="1" s="44"/>
    <row r="40" ht="18" customHeight="1" s="44">
      <c r="A40" s="48" t="inlineStr">
        <is>
          <t>Método de evaluación</t>
        </is>
      </c>
      <c r="B40" s="107" t="n"/>
      <c r="C40" s="107" t="n"/>
      <c r="D40" s="107" t="n"/>
      <c r="E40" s="107" t="n"/>
      <c r="F40" s="107" t="n"/>
      <c r="G40" s="107" t="n"/>
      <c r="H40" s="107" t="n"/>
      <c r="I40" s="107" t="n"/>
      <c r="J40" s="108" t="n"/>
    </row>
    <row r="41">
      <c r="A41" s="47" t="inlineStr">
        <is>
          <t>Criterio</t>
        </is>
      </c>
      <c r="B41" s="108" t="n"/>
      <c r="C41" s="47" t="inlineStr">
        <is>
          <t>Método</t>
        </is>
      </c>
      <c r="D41" s="108" t="n"/>
      <c r="E41" s="47" t="inlineStr">
        <is>
          <t>Resultados de evaluación</t>
        </is>
      </c>
      <c r="F41" s="107" t="n"/>
      <c r="G41" s="107" t="n"/>
      <c r="H41" s="107" t="n"/>
      <c r="I41" s="107" t="n"/>
      <c r="J41" s="108" t="n"/>
    </row>
    <row r="42" ht="45" customHeight="1" s="44">
      <c r="A42" s="46" t="inlineStr">
        <is>
          <t>Precio</t>
        </is>
      </c>
      <c r="B42" s="108" t="n"/>
      <c r="C42" s="46" t="inlineStr">
        <is>
          <t xml:space="preserve">Comparación </t>
        </is>
      </c>
      <c r="D42" s="108" t="n"/>
      <c r="E42" s="57" t="inlineStr">
        <is>
          <t>www.gilhub.com/precios
Cotización por parte de Jalato ($xxxxx.xx)
www.goocode.com/precios</t>
        </is>
      </c>
      <c r="F42" s="107" t="n"/>
      <c r="G42" s="107" t="n"/>
      <c r="H42" s="107" t="n"/>
      <c r="I42" s="107" t="n"/>
      <c r="J42" s="108" t="n"/>
    </row>
    <row r="43" ht="63.75" customHeight="1" s="44">
      <c r="A43" s="45" t="inlineStr">
        <is>
          <t>Nivel de riesgo</t>
        </is>
      </c>
      <c r="B43" s="108" t="n"/>
      <c r="C43" s="46" t="inlineStr">
        <is>
          <t>Opinión de un experto</t>
        </is>
      </c>
      <c r="D43" s="108" t="n"/>
      <c r="E43" s="46" t="inlineStr">
        <is>
          <t>En una escala de 1 a 100 
Gilhub 35
Jalato 15
goocode 25</t>
        </is>
      </c>
      <c r="F43" s="107" t="n"/>
      <c r="G43" s="107" t="n"/>
      <c r="H43" s="107" t="n"/>
      <c r="I43" s="107" t="n"/>
      <c r="J43" s="108" t="n"/>
    </row>
    <row r="44" ht="48.75" customHeight="1" s="44">
      <c r="A44" s="45" t="inlineStr">
        <is>
          <t>Facilidad de uso</t>
        </is>
      </c>
      <c r="B44" s="108" t="n"/>
      <c r="C44" s="46" t="inlineStr">
        <is>
          <t xml:space="preserve">Comparación </t>
        </is>
      </c>
      <c r="D44" s="108" t="n"/>
      <c r="E44" s="46" t="inlineStr">
        <is>
          <t>www.gilhub.com/Especificaciones_de_uso
Videoconferencia de presentación de software
www.gilhub.com/Especificaciones_de_uso</t>
        </is>
      </c>
      <c r="F44" s="107" t="n"/>
      <c r="G44" s="107" t="n"/>
      <c r="H44" s="107" t="n"/>
      <c r="I44" s="107" t="n"/>
      <c r="J44" s="108" t="n"/>
    </row>
    <row r="45" ht="65.25" customHeight="1" s="44">
      <c r="A45" s="45" t="inlineStr">
        <is>
          <t>Velocidad de respuesta</t>
        </is>
      </c>
      <c r="B45" s="108" t="n"/>
      <c r="C45" s="46" t="inlineStr">
        <is>
          <t>Opinión de un experto</t>
        </is>
      </c>
      <c r="D45" s="108" t="n"/>
      <c r="E45" s="117" t="inlineStr">
        <is>
          <t>En una escala de 1 a 100 
Gilhub 35
Jalato 15
goocode 27</t>
        </is>
      </c>
      <c r="F45" s="110" t="n"/>
      <c r="G45" s="110" t="n"/>
      <c r="H45" s="110" t="n"/>
      <c r="I45" s="110" t="n"/>
      <c r="J45" s="109" t="n"/>
    </row>
    <row r="46" ht="61.5" customHeight="1" s="44">
      <c r="A46" s="45" t="inlineStr">
        <is>
          <t>Cantidad de controles</t>
        </is>
      </c>
      <c r="B46" s="108" t="n"/>
      <c r="C46" s="46" t="inlineStr">
        <is>
          <t>Pruebas</t>
        </is>
      </c>
      <c r="D46" s="108" t="n"/>
      <c r="E46" s="118" t="inlineStr">
        <is>
          <t>www.gilhub.com/www.gilhub.com/Especificaciones_de_uso/exhibición_de_pruebas
Videoconferencia de presentación de software
Demo gratuito</t>
        </is>
      </c>
      <c r="F46" s="107" t="n"/>
      <c r="G46" s="107" t="n"/>
      <c r="H46" s="107" t="n"/>
      <c r="I46" s="107" t="n"/>
      <c r="J46" s="108" t="n"/>
    </row>
  </sheetData>
  <mergeCells count="78">
    <mergeCell ref="G6:L6"/>
    <mergeCell ref="J10:K10"/>
    <mergeCell ref="J9:K9"/>
    <mergeCell ref="S6:U6"/>
    <mergeCell ref="B21:C21"/>
    <mergeCell ref="E46:J46"/>
    <mergeCell ref="A41:B41"/>
    <mergeCell ref="C41:D41"/>
    <mergeCell ref="A1:C4"/>
    <mergeCell ref="C43:D43"/>
    <mergeCell ref="A33:B33"/>
    <mergeCell ref="C27:C28"/>
    <mergeCell ref="A42:B42"/>
    <mergeCell ref="G9:I9"/>
    <mergeCell ref="C9:E10"/>
    <mergeCell ref="A34:C34"/>
    <mergeCell ref="A15:F15"/>
    <mergeCell ref="A22:B22"/>
    <mergeCell ref="S3:U3"/>
    <mergeCell ref="B37:H37"/>
    <mergeCell ref="A30:B30"/>
    <mergeCell ref="B16:C16"/>
    <mergeCell ref="D34:E34"/>
    <mergeCell ref="A11:B11"/>
    <mergeCell ref="F34:G34"/>
    <mergeCell ref="A45:B45"/>
    <mergeCell ref="C45:D45"/>
    <mergeCell ref="B18:C18"/>
    <mergeCell ref="A26:I26"/>
    <mergeCell ref="H34:I34"/>
    <mergeCell ref="A40:J40"/>
    <mergeCell ref="E45:J45"/>
    <mergeCell ref="A46:B46"/>
    <mergeCell ref="J11:K11"/>
    <mergeCell ref="A8:B8"/>
    <mergeCell ref="J12:K12"/>
    <mergeCell ref="E16:F16"/>
    <mergeCell ref="G8:I8"/>
    <mergeCell ref="E18:F18"/>
    <mergeCell ref="S2:U2"/>
    <mergeCell ref="G10:I10"/>
    <mergeCell ref="E20:F20"/>
    <mergeCell ref="D27:E27"/>
    <mergeCell ref="J8:K8"/>
    <mergeCell ref="C44:D44"/>
    <mergeCell ref="B17:C17"/>
    <mergeCell ref="A12:B12"/>
    <mergeCell ref="C46:D46"/>
    <mergeCell ref="B19:C19"/>
    <mergeCell ref="S4:U4"/>
    <mergeCell ref="A32:B32"/>
    <mergeCell ref="G12:I12"/>
    <mergeCell ref="C22:F22"/>
    <mergeCell ref="A43:B43"/>
    <mergeCell ref="B20:C20"/>
    <mergeCell ref="G7:I7"/>
    <mergeCell ref="A27:B28"/>
    <mergeCell ref="S7:U7"/>
    <mergeCell ref="C42:D42"/>
    <mergeCell ref="E17:F17"/>
    <mergeCell ref="B36:H36"/>
    <mergeCell ref="A7:E7"/>
    <mergeCell ref="E19:F19"/>
    <mergeCell ref="C8:E8"/>
    <mergeCell ref="A9:B10"/>
    <mergeCell ref="E41:J41"/>
    <mergeCell ref="S5:U5"/>
    <mergeCell ref="J7:K7"/>
    <mergeCell ref="E43:J43"/>
    <mergeCell ref="F27:G27"/>
    <mergeCell ref="H27:I27"/>
    <mergeCell ref="G11:I11"/>
    <mergeCell ref="A29:B29"/>
    <mergeCell ref="E42:J42"/>
    <mergeCell ref="A44:B44"/>
    <mergeCell ref="A31:B31"/>
    <mergeCell ref="E44:J44"/>
    <mergeCell ref="E21:F21"/>
  </mergeCells>
  <hyperlinks>
    <hyperlink xmlns:r="http://schemas.openxmlformats.org/officeDocument/2006/relationships" ref="E46" r:id="rId1"/>
  </hyperlink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G11" sqref="A1:G11"/>
    </sheetView>
  </sheetViews>
  <sheetFormatPr baseColWidth="10" defaultColWidth="11.44140625" defaultRowHeight="14.4"/>
  <cols>
    <col width="8.109375" customWidth="1" style="44" min="1" max="1"/>
    <col width="32.109375" customWidth="1" style="44" min="2" max="2"/>
    <col width="23" customWidth="1" style="44" min="3" max="3"/>
    <col width="22" customWidth="1" style="44" min="4" max="4"/>
    <col width="25.6640625" customWidth="1" style="44" min="5" max="5"/>
    <col width="23.109375" customWidth="1" style="44" min="6" max="6"/>
    <col width="26.5546875" customWidth="1" style="44" min="7" max="7"/>
  </cols>
  <sheetData>
    <row r="1">
      <c r="A1" s="73" t="inlineStr">
        <is>
          <t>Logo de la empresa</t>
        </is>
      </c>
      <c r="B1" s="109" t="n"/>
    </row>
    <row r="2">
      <c r="A2" s="111" t="n"/>
      <c r="B2" s="112" t="n"/>
    </row>
    <row r="4" ht="18" customHeight="1" s="44">
      <c r="A4" s="101" t="inlineStr">
        <is>
          <t>Registro de decisiones</t>
        </is>
      </c>
      <c r="B4" s="107" t="n"/>
      <c r="C4" s="107" t="n"/>
      <c r="D4" s="107" t="n"/>
      <c r="E4" s="107" t="n"/>
      <c r="F4" s="107" t="n"/>
      <c r="G4" s="108" t="n"/>
    </row>
    <row r="5" ht="18" customHeight="1" s="44" thickBot="1">
      <c r="A5" s="6" t="inlineStr">
        <is>
          <t>Nro.</t>
        </is>
      </c>
      <c r="B5" s="7" t="inlineStr">
        <is>
          <t>Nivel</t>
        </is>
      </c>
      <c r="C5" s="7" t="inlineStr">
        <is>
          <t>Proyecto</t>
        </is>
      </c>
      <c r="D5" s="20" t="inlineStr">
        <is>
          <t>Área</t>
        </is>
      </c>
      <c r="E5" s="8" t="inlineStr">
        <is>
          <t>Aprobador</t>
        </is>
      </c>
      <c r="F5" s="21" t="inlineStr">
        <is>
          <t>Nombre de decisión</t>
        </is>
      </c>
      <c r="G5" s="9" t="inlineStr">
        <is>
          <t>Descripción</t>
        </is>
      </c>
    </row>
    <row r="6" ht="40.2" customHeight="1" s="44" thickBot="1">
      <c r="A6" s="10" t="n">
        <v>1</v>
      </c>
      <c r="B6" s="11" t="inlineStr">
        <is>
          <t>Proyecto / Organizacional / Servicio</t>
        </is>
      </c>
      <c r="C6" s="12" t="inlineStr">
        <is>
          <t>&lt;Nombre del proyecto, en caso de que el nivel sea organizacional&gt;</t>
        </is>
      </c>
      <c r="D6" s="12" t="inlineStr">
        <is>
          <t>&lt;Área o departamento involucrada&gt;</t>
        </is>
      </c>
      <c r="E6" s="13" t="inlineStr">
        <is>
          <t>&lt;Nombre y apellido&gt;</t>
        </is>
      </c>
      <c r="F6" s="13" t="inlineStr">
        <is>
          <t>&lt;Leyenda identificatoria del asunto sobre el que se decide&gt;</t>
        </is>
      </c>
      <c r="G6" s="14" t="inlineStr">
        <is>
          <t>&lt;Descripción del asunto sobre el que se va a decidir&gt;</t>
        </is>
      </c>
    </row>
    <row r="7" ht="15" customHeight="1" s="44" thickBot="1">
      <c r="A7" s="15" t="n">
        <v>2</v>
      </c>
      <c r="B7" s="16" t="n"/>
      <c r="C7" s="12" t="n"/>
      <c r="D7" s="12" t="n"/>
      <c r="E7" s="13" t="n"/>
      <c r="F7" s="13" t="n"/>
      <c r="G7" s="14" t="n"/>
    </row>
    <row r="8" ht="15" customHeight="1" s="44" thickBot="1">
      <c r="A8" s="15" t="n">
        <v>3</v>
      </c>
      <c r="B8" s="16" t="n"/>
      <c r="C8" s="12" t="n"/>
      <c r="D8" s="12" t="n"/>
      <c r="E8" s="13" t="n"/>
      <c r="F8" s="13" t="n"/>
      <c r="G8" s="14" t="n"/>
    </row>
    <row r="9" ht="15" customHeight="1" s="44" thickBot="1">
      <c r="A9" s="17" t="n">
        <v>4</v>
      </c>
      <c r="B9" s="16" t="n"/>
      <c r="C9" s="12" t="n"/>
      <c r="D9" s="12" t="n"/>
      <c r="E9" s="13" t="n"/>
      <c r="F9" s="13" t="n"/>
      <c r="G9" s="14" t="n"/>
    </row>
    <row r="10" ht="15" customHeight="1" s="44" thickBot="1">
      <c r="A10" s="18" t="n">
        <v>5</v>
      </c>
      <c r="B10" s="16" t="n"/>
      <c r="C10" s="12" t="n"/>
      <c r="D10" s="12" t="n"/>
      <c r="E10" s="13" t="n"/>
      <c r="F10" s="13" t="n"/>
      <c r="G10" s="14" t="n"/>
    </row>
    <row r="11" ht="15" customHeight="1" s="44" thickBot="1">
      <c r="A11" s="19" t="inlineStr">
        <is>
          <t>n</t>
        </is>
      </c>
      <c r="B11" s="16" t="n"/>
      <c r="C11" s="12" t="n"/>
      <c r="D11" s="12" t="n"/>
      <c r="E11" s="13" t="n"/>
      <c r="F11" s="13" t="n"/>
      <c r="G11" s="14" t="n"/>
    </row>
    <row r="16">
      <c r="D16" s="22" t="inlineStr">
        <is>
          <t>Separar en otro Doc.</t>
        </is>
      </c>
    </row>
  </sheetData>
  <mergeCells count="2">
    <mergeCell ref="A1:B2"/>
    <mergeCell ref="A4:G4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Quintero N.</dc:creator>
  <dcterms:created xmlns:dcterms="http://purl.org/dc/terms/" xmlns:xsi="http://www.w3.org/2001/XMLSchema-instance" xsi:type="dcterms:W3CDTF">2023-01-17T15:27:47Z</dcterms:created>
  <dcterms:modified xmlns:dcterms="http://purl.org/dc/terms/" xmlns:xsi="http://www.w3.org/2001/XMLSchema-instance" xsi:type="dcterms:W3CDTF">2026-09-27T21:20:56Z</dcterms:modified>
  <cp:lastModifiedBy>Carlos Quintero N.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0x0101005F79CA91C779E94BAF39074ADA180F65</vt:lpwstr>
  </property>
  <property name="MediaServiceImageTags" fmtid="{D5CDD505-2E9C-101B-9397-08002B2CF9AE}" pid="3">
    <vt:lpwstr xmlns:vt="http://schemas.openxmlformats.org/officeDocument/2006/docPropsVTypes"/>
  </property>
</Properties>
</file>