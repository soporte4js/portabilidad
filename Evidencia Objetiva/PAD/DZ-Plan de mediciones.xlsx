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2FA9F7AD-20B0-4DB1-85CC-5E73DB290ADC}" xr6:coauthVersionLast="47" xr6:coauthVersionMax="47" xr10:uidLastSave="{00000000-0000-0000-0000-000000000000}"/>
  <bookViews>
    <workbookView xWindow="-108" yWindow="-108" windowWidth="23256" windowHeight="13896" activeTab="1" xr2:uid="{F7A60CB6-E380-4E11-8E77-A22BC5A13151}"/>
  </bookViews>
  <sheets>
    <sheet name="Información del documento" sheetId="1" r:id="rId1"/>
    <sheet name="1.-Plan de mediciones" sheetId="2" r:id="rId2"/>
  </sheets>
  <definedNames>
    <definedName name="_xlnm._FilterDatabase" localSheetId="1" hidden="1">'1.-Plan de mediciones'!$B$2:$T$5</definedName>
    <definedName name="_xlnm.Print_Area" localSheetId="1">'1.-Plan de mediciones'!$B$1:$T$5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B2" authorId="0" shapeId="0" xr:uid="{C374D9A3-328D-4472-9352-6C9B2815F89E}">
      <text>
        <r>
          <rPr>
            <sz val="9"/>
            <color indexed="81"/>
            <rFont val="Tahoma"/>
            <family val="2"/>
          </rPr>
          <t xml:space="preserve">Registro de objetivo de negocio establecido en la organización al que está relacionada la métrica
</t>
        </r>
      </text>
    </comment>
    <comment ref="C2" authorId="0" shapeId="0" xr:uid="{55C8BFF6-09AB-441A-85EA-68D3FCF2BCDC}">
      <text>
        <r>
          <rPr>
            <sz val="9"/>
            <color indexed="81"/>
            <rFont val="Tahoma"/>
            <family val="2"/>
          </rPr>
          <t xml:space="preserve">Establecer los objetivos de medición y rendimiento
</t>
        </r>
      </text>
    </comment>
    <comment ref="D2" authorId="0" shapeId="0" xr:uid="{81A1511D-B1EF-46A0-87CC-A3463E96DF82}">
      <text>
        <r>
          <rPr>
            <sz val="9"/>
            <color indexed="81"/>
            <rFont val="Tahoma"/>
            <family val="2"/>
          </rPr>
          <t>Porque mides lo qué mides?
Deber ser una acción</t>
        </r>
      </text>
    </comment>
    <comment ref="F2" authorId="0" shapeId="0" xr:uid="{952D490D-26D7-42DD-A9B2-4D9A78B50E2D}">
      <text>
        <r>
          <rPr>
            <sz val="9"/>
            <color indexed="81"/>
            <rFont val="Tahoma"/>
            <family val="2"/>
          </rPr>
          <t>Nombre de la métrica definida</t>
        </r>
      </text>
    </comment>
    <comment ref="H2" authorId="0" shapeId="0" xr:uid="{17697EFC-6F01-4C72-B13E-49FC3B0DA206}">
      <text>
        <r>
          <rPr>
            <sz val="9"/>
            <color indexed="81"/>
            <rFont val="Tahoma"/>
            <family val="2"/>
          </rPr>
          <t>Establecer la fórmula de cálculo de la métrica establecida</t>
        </r>
      </text>
    </comment>
    <comment ref="J2" authorId="0" shapeId="0" xr:uid="{D5B05A40-308D-4AC3-AEC0-02A69B655924}">
      <text>
        <r>
          <rPr>
            <sz val="9"/>
            <color indexed="81"/>
            <rFont val="Tahoma"/>
            <family val="2"/>
          </rPr>
          <t xml:space="preserve">Registrar la procedencia de los datos, ¿de dónde proviene la información?
</t>
        </r>
      </text>
    </comment>
    <comment ref="K2" authorId="0" shapeId="0" xr:uid="{F5D529BB-700E-4F5D-8607-566036F7A5CA}">
      <text>
        <r>
          <rPr>
            <sz val="9"/>
            <color indexed="81"/>
            <rFont val="Tahoma"/>
            <family val="2"/>
          </rPr>
          <t xml:space="preserve">Procedimiento de recolección de datos de la métrica de acuerdo a la fuente establecida
</t>
        </r>
      </text>
    </comment>
    <comment ref="L2" authorId="0" shapeId="0" xr:uid="{4E2EA5BB-C2B3-4BF2-B321-6223151C86AD}">
      <text>
        <r>
          <rPr>
            <sz val="9"/>
            <color indexed="81"/>
            <rFont val="Tahoma"/>
            <family val="2"/>
          </rPr>
          <t>Periodo en el que se recauda la información</t>
        </r>
      </text>
    </comment>
    <comment ref="N2" authorId="0" shapeId="0" xr:uid="{27FAA6A2-FD2D-4B1B-BC5B-206FAF2FB0BB}">
      <text>
        <r>
          <rPr>
            <sz val="9"/>
            <color indexed="81"/>
            <rFont val="Tahoma"/>
            <family val="2"/>
          </rPr>
          <t xml:space="preserve">Procedimiento de análisis, definiendo las herramientas de análisis y técnicas de análisis.
</t>
        </r>
      </text>
    </comment>
    <comment ref="O2" authorId="0" shapeId="0" xr:uid="{0BFA8429-636B-4AD8-ACE1-CC70BE245EA1}">
      <text>
        <r>
          <rPr>
            <sz val="9"/>
            <color indexed="81"/>
            <rFont val="Tahoma"/>
            <family val="2"/>
          </rPr>
          <t xml:space="preserve">máximos y mínimos aceptables
</t>
        </r>
      </text>
    </comment>
    <comment ref="P2" authorId="0" shapeId="0" xr:uid="{D48AB3E7-A6B9-4444-8496-59D027F86B87}">
      <text>
        <r>
          <rPr>
            <sz val="9"/>
            <color indexed="81"/>
            <rFont val="Tahoma"/>
            <family val="2"/>
          </rPr>
          <t xml:space="preserve">Acciones a realizar cuando se presentan desvíos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<sst xmlns="http://schemas.openxmlformats.org/spreadsheetml/2006/main" count="126" uniqueCount="123">
  <si>
    <t>Alcance a nivel Organizacional</t>
  </si>
  <si>
    <t>Historial de versiones</t>
  </si>
  <si>
    <t>Fecha</t>
  </si>
  <si>
    <t>Versión</t>
  </si>
  <si>
    <t>Descripción</t>
  </si>
  <si>
    <t>Autor</t>
  </si>
  <si>
    <t>Integracion de información</t>
  </si>
  <si>
    <t>Carlos Quintero N.</t>
  </si>
  <si>
    <t>Si se cuenta con un sistema de versionado eliminar esta hoja</t>
  </si>
  <si>
    <t xml:space="preserve">Plan de mediciones </t>
  </si>
  <si>
    <t>Objetivo de negocio</t>
  </si>
  <si>
    <t>Preguntas de necesidades de información</t>
  </si>
  <si>
    <t>Objetivos de medición</t>
  </si>
  <si>
    <t>Proceso</t>
  </si>
  <si>
    <t xml:space="preserve">Nombre de la métrica </t>
  </si>
  <si>
    <t>Fórmula de cálculo</t>
  </si>
  <si>
    <t>Unidad de medida</t>
  </si>
  <si>
    <t>Fuente de datos</t>
  </si>
  <si>
    <t>Mecanismo de recolección</t>
  </si>
  <si>
    <t>Frecuencia de recolección</t>
  </si>
  <si>
    <t>Responsable de recolección</t>
  </si>
  <si>
    <t>Análisis de datos</t>
  </si>
  <si>
    <t>Umbrales</t>
  </si>
  <si>
    <t>Acciones ante desvíos</t>
  </si>
  <si>
    <t>Modo de almacenamiento</t>
  </si>
  <si>
    <t>¿A quién se comunica resultado?</t>
  </si>
  <si>
    <t>Frecuencia de comunicación</t>
  </si>
  <si>
    <t>Responsable de comunicar</t>
  </si>
  <si>
    <t>Asegurar la satisfacción y fidelización de los clientes en 2026.</t>
  </si>
  <si>
    <t>¿El cliente esta satisfecho con el tiempo de entrega, el licenciamiento proporcionado y la calidad del proyecto?</t>
  </si>
  <si>
    <t>KR1: Mantener Satifacción del cliente (promedio)  &gt;= 90% durante 2026.</t>
  </si>
  <si>
    <t>REQM, VoC</t>
  </si>
  <si>
    <t>Indice de satisfaccion del cliente.</t>
  </si>
  <si>
    <t>Porcentaje de calificaciones otorgadas por clientes en encuestas formales.</t>
  </si>
  <si>
    <t>(Suma de calificaciones obtenidas / Total de encuestas respondidas) * 100</t>
  </si>
  <si>
    <t>KR2: Porcentaje cumplimiento en el alcance &gt;= 90%.</t>
  </si>
  <si>
    <t>PPQA</t>
  </si>
  <si>
    <t>Indice de calidad del proyecto. (defectos)</t>
  </si>
  <si>
    <t>Porcentaje de la calidad del proyecto para asegurar estandares de desarrollo.</t>
  </si>
  <si>
    <t>(Requisitos entregados / Requisitos acordados) * 100</t>
  </si>
  <si>
    <t>KR3: Porcentaje de éxito del cliente &gt;= 90% durante 2026.</t>
  </si>
  <si>
    <t>SVC</t>
  </si>
  <si>
    <t>Indice del uso de licencias.</t>
  </si>
  <si>
    <t>Porcentaje de uso de las licencias disponibles vs las usadas.</t>
  </si>
  <si>
    <t>(Numero de licencias emitidas por cliente / Numero de licencias instaladas) * 100</t>
  </si>
  <si>
    <t>Garantizar la rentabilidad y sostenibilidad del negocio en 2026.</t>
  </si>
  <si>
    <t>¿El cliente esta satisfecho con la programación y presupuestos del proyecto?</t>
  </si>
  <si>
    <t>KR1:Defectos detectados por el cliente (ddc) &lt;= 3 ddc /100 puntos.</t>
  </si>
  <si>
    <t>PP</t>
  </si>
  <si>
    <t>Indice de culminación de proyectos. (tiempos de entrega)
Defectos detectados por el cliente</t>
  </si>
  <si>
    <t>Porcentaje de proyectos finalizados por cliente durante 2026. (Planificado vs real)</t>
  </si>
  <si>
    <t>(Defectos detectados por el cliente / tamaño total del proyecto) * 100</t>
  </si>
  <si>
    <t>KR2: Porcentaje de riesgos mitigados &gt;=90%</t>
  </si>
  <si>
    <t>RSKM</t>
  </si>
  <si>
    <t>Indice de riesgos mitigados de un proyecto.</t>
  </si>
  <si>
    <t>Porcentaje de riesgos mitigados respecto al total identificado.</t>
  </si>
  <si>
    <t>(Riesgos cerrados / Riesgos identificados) × 100</t>
  </si>
  <si>
    <t>Fortalecer la madurez y calidad de los procesos organizacionales en 2026.</t>
  </si>
  <si>
    <t>¿Qué tan consistentemente se cumplen los procesos definidos en la organización?</t>
  </si>
  <si>
    <t>KR1: Indice de cumplimiento en auditorias &gt;= 90%</t>
  </si>
  <si>
    <t>OPD, PPQA</t>
  </si>
  <si>
    <t>Porcentaje de cumplimiento del proceso.</t>
  </si>
  <si>
    <t>Porcentaje de auditorías sin no conformidades mayores.</t>
  </si>
  <si>
    <t>(Auditorías conformes / Auditorías realizadas) * 100</t>
  </si>
  <si>
    <t>¿En qué medida los equipos reutilizan código existente del repositorio organizacional en los proyectos?</t>
  </si>
  <si>
    <t>KR2: Porcentaje de reutilización de recursos en los proyectos &gt;= 90%</t>
  </si>
  <si>
    <t>OPF</t>
  </si>
  <si>
    <t>Porcentaje de reutilización de recursos</t>
  </si>
  <si>
    <t>Porcentaje de reutilizacion de recursos y buenas prácticas.</t>
  </si>
  <si>
    <t>(Componentes reutilizados / Componentes totales utilizados) * 100</t>
  </si>
  <si>
    <t>Impulsar la innovación y la mejora tecnológica continua.</t>
  </si>
  <si>
    <t>¿En qué medida las causas raíz de los problemas recurrentes están siendo efectivamente eliminadas?</t>
  </si>
  <si>
    <t>KR1: Porcentaje de problemas eliminados &gt;=90%</t>
  </si>
  <si>
    <t>CAR</t>
  </si>
  <si>
    <t>Porcentaje de eliminacion de problemas</t>
  </si>
  <si>
    <t>Porcentaje de problemas recurrentes identificados cuya causa raíz ha sido eliminada exitosamente, evidenciado por la no recurrencia del problema durante un periodo de observación definido.</t>
  </si>
  <si>
    <t>(Problemas eliminados / Problemas identificados) * 100</t>
  </si>
  <si>
    <t>¿En qué medida las innovaciones aprobadas por la organización se implementan exitosamente?</t>
  </si>
  <si>
    <t>KR2: Porcentaje de despliegue efectivo &gt;= 90%</t>
  </si>
  <si>
    <t>OID</t>
  </si>
  <si>
    <t>Porcentaje de despliegues de nuevas caracteristicas.</t>
  </si>
  <si>
    <t>Porcentaje de caracteristicas de innovación aplicadas que, habiendo sido publicadas en el roadmap de GNR, fueron implementadas exitosamente dentro del periodo definido.</t>
  </si>
  <si>
    <t>(Innovaciones implementadas / Innovaciones implementadas) * 100</t>
  </si>
  <si>
    <t>Desarrollar y retener el talento humano clave.</t>
  </si>
  <si>
    <t>¿En qué medida el personal cumple con el plan de capacitación definido por la organización?</t>
  </si>
  <si>
    <t>KR1: Porcentaje de entrenamiento &gt;= 95%</t>
  </si>
  <si>
    <t>OT</t>
  </si>
  <si>
    <t>Porcentaje de personal capacitado.</t>
  </si>
  <si>
    <t>Porcentaje de empleados objetivo que han completado satisfactoriamente la capacitación planificada en un periodo determinado.</t>
  </si>
  <si>
    <t>(Empleados capacitados / Empleados seleccionados para capacitacion) * 100</t>
  </si>
  <si>
    <t>¿Qué porcentaje del talento clave identificado por la organización permanece activo durante el periodo de medición?</t>
  </si>
  <si>
    <t>KR2: Porcentaje de personal consistente &gt;= 90%</t>
  </si>
  <si>
    <t>OPD</t>
  </si>
  <si>
    <t>Permanencia anual del personal crítico.</t>
  </si>
  <si>
    <t>Medir el nivel de permanencia del talento clave, identificando riesgos de rotación que puedan afectar la ejecución de los procesos y proyectos organizacionales.</t>
  </si>
  <si>
    <t>(Talento clave al final del periodo / Talento clave inicial) * 100</t>
  </si>
  <si>
    <t>Fortalecer la seguridad de la información y la confianza del cliente.</t>
  </si>
  <si>
    <t>¿Cuántos incidentes de seguridad se presentan después de cada liberación de software?</t>
  </si>
  <si>
    <t>KR1: Porcentaje de incidentes de seguridad &lt;= 0.5</t>
  </si>
  <si>
    <t>Porcentaje de incidentes detectados.</t>
  </si>
  <si>
    <t>Número promedio de incidentes de seguridad detectados por cada release liberado en un periodo determinado.</t>
  </si>
  <si>
    <t>(Total de incidentes / Total de releases liberados) * 100</t>
  </si>
  <si>
    <t>Consolidar la presencia y reputación en el mercado</t>
  </si>
  <si>
    <t>¿Cómo es percibida la marca por clientes y el mercado en general?</t>
  </si>
  <si>
    <t>KR1: Indice de la reputacion de la marca &gt;=5</t>
  </si>
  <si>
    <t>Indice de reputacion de la marca.</t>
  </si>
  <si>
    <t>Valor promedio ponderado de las evaluaciones, reseñas y menciones de la marca en canales digitales y fuentes externas relevantes, durante un periodo definido.</t>
  </si>
  <si>
    <r>
      <t>(</t>
    </r>
    <r>
      <rPr>
        <sz val="11"/>
        <color theme="1"/>
        <rFont val="Aptos Narrow"/>
        <family val="2"/>
      </rPr>
      <t>∑</t>
    </r>
    <r>
      <rPr>
        <sz val="9.35"/>
        <color theme="1"/>
        <rFont val="Calibri"/>
        <family val="2"/>
      </rPr>
      <t>Puntuaciones ponderadas de todas las fuentes)/Total de fuentes consideradas)</t>
    </r>
  </si>
  <si>
    <t>Optimizar la eficiencia operativa y la entrega oportuna de proyectos.</t>
  </si>
  <si>
    <t>¿En qué medida los proyectos cumplen con las fechas y alcance establecidos en el plan?</t>
  </si>
  <si>
    <t>KR1: Porcentaje de entregas a tiempo &gt;=95%</t>
  </si>
  <si>
    <t>PP / PMC</t>
  </si>
  <si>
    <t>Porcentaje de puntualidad en la entrega de proyectos. (tiempo de entrega)</t>
  </si>
  <si>
    <t>Porcentaje de días requeridos para entrega del proyecto a partir de su inicio y la desviación con respecto a los días acordados.</t>
  </si>
  <si>
    <t>(dìas que llevó el proyecto/ días acordados para el proyecto) * 100</t>
  </si>
  <si>
    <t>Mantener la simplicidad en la creación y mantenimiento de aplicaciones alargando su ciclo de vida.</t>
  </si>
  <si>
    <t>¿Qué tan complejo es el código de las aplicaciones GNR?</t>
  </si>
  <si>
    <t>KR1: Indice de complejidad del código &lt;=10</t>
  </si>
  <si>
    <t>OPF, TS y PPQA</t>
  </si>
  <si>
    <t>Valor promedio de la complejidad</t>
  </si>
  <si>
    <t>Valor promedio de la complejidad ciclomática de los módulos analizados en un periodo determinado.</t>
  </si>
  <si>
    <t>(∑Complejidad ciclomaˊtica de los módulos) / Número de módulos analizados</t>
  </si>
  <si>
    <t>ENTREGAR PRODUCTOS QUE SATISFAGAN LAS NECESIDADES DE NUESTROS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</si>
</sst>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</font>
    <font>
      <sz val="9.35"/>
      <color theme="1"/>
      <name val="Calibri"/>
      <family val="2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vertical="center" wrapText="1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5" xfId="0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4" borderId="3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0" borderId="1" xfId="0" applyBorder="1" applyAlignment="1">
      <alignment horizontal="left" vertical="center"/>
    </xf>
    <xf numFmtId="0" fontId="11" fillId="0" borderId="0" xfId="0" applyFont="1"/>
    <xf numFmtId="0" fontId="0" fillId="0" borderId="6" xfId="0" applyBorder="1"/>
    <xf numFmtId="0" fontId="1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39CE-FC54-4068-942E-C4F89E85FB94}">
  <dimension ref="A1:D11"/>
  <sheetViews>
    <sheetView showGridLines="0" workbookViewId="0">
      <selection sqref="A1:B2"/>
    </sheetView>
  </sheetViews>
  <sheetFormatPr baseColWidth="10" defaultColWidth="11.33203125" defaultRowHeight="30.75" customHeight="1" x14ac:dyDescent="0.3"/>
  <cols>
    <col min="1" max="1" width="20.109375" bestFit="1" customWidth="1"/>
    <col min="2" max="2" width="23.6640625" customWidth="1"/>
    <col min="3" max="3" width="47.33203125" customWidth="1"/>
    <col min="4" max="4" width="26.6640625" customWidth="1"/>
  </cols>
  <sheetData>
    <row r="1" spans="1:4" ht="14.4" x14ac:dyDescent="0.3">
      <c r="A1" s="49" t="e" vm="1">
        <v>#VALUE!</v>
      </c>
      <c r="B1" s="49"/>
    </row>
    <row r="2" spans="1:4" ht="60" customHeight="1" x14ac:dyDescent="0.3">
      <c r="A2" s="49"/>
      <c r="B2" s="49"/>
    </row>
    <row r="3" spans="1:4" ht="30.75" customHeight="1" x14ac:dyDescent="0.3">
      <c r="A3" s="51" t="s">
        <v>0</v>
      </c>
      <c r="B3" s="51"/>
    </row>
    <row r="4" spans="1:4" ht="14.4" x14ac:dyDescent="0.3"/>
    <row r="5" spans="1:4" ht="14.4" x14ac:dyDescent="0.3"/>
    <row r="6" spans="1:4" ht="18" x14ac:dyDescent="0.35">
      <c r="A6" s="50" t="s">
        <v>1</v>
      </c>
      <c r="B6" s="50"/>
      <c r="C6" s="50"/>
      <c r="D6" s="50"/>
    </row>
    <row r="7" spans="1:4" ht="14.4" x14ac:dyDescent="0.3"/>
    <row r="8" spans="1:4" ht="18" x14ac:dyDescent="0.3">
      <c r="A8" s="6" t="s">
        <v>2</v>
      </c>
      <c r="B8" s="6" t="s">
        <v>3</v>
      </c>
      <c r="C8" s="6" t="s">
        <v>4</v>
      </c>
      <c r="D8" s="6" t="s">
        <v>5</v>
      </c>
    </row>
    <row r="9" spans="1:4" ht="32.25" customHeight="1" x14ac:dyDescent="0.3">
      <c r="A9" s="9">
        <v>45961</v>
      </c>
      <c r="B9" s="7">
        <v>1</v>
      </c>
      <c r="C9" s="7" t="s">
        <v>6</v>
      </c>
      <c r="D9" s="7" t="s">
        <v>7</v>
      </c>
    </row>
    <row r="11" spans="1:4" ht="30.75" customHeight="1" x14ac:dyDescent="0.3">
      <c r="A11" t="s">
        <v>8</v>
      </c>
    </row>
  </sheetData>
  <mergeCells count="3">
    <mergeCell ref="A1:B2"/>
    <mergeCell ref="A6:D6"/>
    <mergeCell ref="A3:B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AAD0-EBB6-42E0-8CB1-D954211FC61A}">
  <sheetPr>
    <pageSetUpPr fitToPage="1"/>
  </sheetPr>
  <dimension ref="A1:DV83"/>
  <sheetViews>
    <sheetView showGridLines="0" tabSelected="1" zoomScale="70" zoomScaleNormal="70" workbookViewId="0">
      <pane ySplit="2" topLeftCell="A3" activePane="bottomLeft" state="frozen"/>
      <selection pane="bottomLeft" activeCell="B2" sqref="B2"/>
    </sheetView>
  </sheetViews>
  <sheetFormatPr baseColWidth="10" defaultColWidth="11.33203125" defaultRowHeight="14.4" x14ac:dyDescent="0.3"/>
  <cols>
    <col min="1" max="1" width="2.44140625" bestFit="1" customWidth="1"/>
    <col min="2" max="2" width="36.33203125" customWidth="1"/>
    <col min="3" max="3" width="46.109375" customWidth="1"/>
    <col min="4" max="4" width="30.109375" customWidth="1"/>
    <col min="5" max="5" width="20.109375" customWidth="1"/>
    <col min="6" max="6" width="52.6640625" customWidth="1"/>
    <col min="7" max="7" width="31.6640625" customWidth="1"/>
    <col min="8" max="8" width="27.109375" customWidth="1"/>
    <col min="9" max="9" width="26.33203125" customWidth="1"/>
    <col min="10" max="10" width="22.109375" customWidth="1"/>
    <col min="11" max="11" width="39.88671875" customWidth="1"/>
    <col min="12" max="12" width="36.88671875" customWidth="1"/>
    <col min="13" max="13" width="33.33203125" customWidth="1"/>
    <col min="14" max="14" width="25.109375" customWidth="1"/>
    <col min="15" max="15" width="16.109375" customWidth="1"/>
    <col min="16" max="16" width="66.109375" customWidth="1"/>
    <col min="17" max="17" width="28.109375" bestFit="1" customWidth="1"/>
    <col min="18" max="18" width="30" bestFit="1" customWidth="1"/>
    <col min="19" max="19" width="38.109375" customWidth="1"/>
    <col min="20" max="20" width="28.88671875" bestFit="1" customWidth="1"/>
  </cols>
  <sheetData>
    <row r="1" spans="1:126" s="2" customFormat="1" ht="21" x14ac:dyDescent="0.4">
      <c r="A1" s="28"/>
      <c r="B1" s="8" t="s">
        <v>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36.75" customHeight="1" x14ac:dyDescent="0.3">
      <c r="A2" s="29"/>
      <c r="B2" s="4" t="s">
        <v>10</v>
      </c>
      <c r="C2" s="5" t="s">
        <v>11</v>
      </c>
      <c r="D2" s="4" t="s">
        <v>12</v>
      </c>
      <c r="E2" s="4" t="s">
        <v>13</v>
      </c>
      <c r="F2" s="5" t="s">
        <v>14</v>
      </c>
      <c r="G2" s="5" t="s">
        <v>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</row>
    <row r="3" spans="1:126" ht="43.2" x14ac:dyDescent="0.3">
      <c r="A3" s="47">
        <v>1</v>
      </c>
      <c r="B3" s="44" t="s">
        <v>28</v>
      </c>
      <c r="C3" s="39" t="s">
        <v>29</v>
      </c>
      <c r="D3" s="18" t="s">
        <v>30</v>
      </c>
      <c r="E3" s="19" t="s">
        <v>31</v>
      </c>
      <c r="F3" s="20" t="s">
        <v>32</v>
      </c>
      <c r="G3" s="21" t="s">
        <v>33</v>
      </c>
      <c r="H3" s="18" t="s">
        <v>34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126" ht="43.2" x14ac:dyDescent="0.3">
      <c r="A4" s="47"/>
      <c r="B4" s="46"/>
      <c r="C4" s="40"/>
      <c r="D4" s="32" t="s">
        <v>35</v>
      </c>
      <c r="E4" s="33" t="s">
        <v>36</v>
      </c>
      <c r="F4" s="34" t="s">
        <v>37</v>
      </c>
      <c r="G4" s="35" t="s">
        <v>38</v>
      </c>
      <c r="H4" s="36" t="s">
        <v>39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1:126" ht="43.2" x14ac:dyDescent="0.3">
      <c r="A5" s="47"/>
      <c r="B5" s="45"/>
      <c r="C5" s="41"/>
      <c r="D5" s="20" t="s">
        <v>40</v>
      </c>
      <c r="E5" s="23" t="s">
        <v>41</v>
      </c>
      <c r="F5" s="24" t="s">
        <v>42</v>
      </c>
      <c r="G5" s="21" t="s">
        <v>43</v>
      </c>
      <c r="H5" s="18" t="s">
        <v>44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</row>
    <row r="6" spans="1:126" ht="66.599999999999994" customHeight="1" x14ac:dyDescent="0.3">
      <c r="A6" s="48">
        <v>2</v>
      </c>
      <c r="B6" s="42" t="s">
        <v>45</v>
      </c>
      <c r="C6" s="42" t="s">
        <v>46</v>
      </c>
      <c r="D6" s="37" t="s">
        <v>47</v>
      </c>
      <c r="E6" s="33" t="s">
        <v>48</v>
      </c>
      <c r="F6" s="37" t="s">
        <v>49</v>
      </c>
      <c r="G6" s="38" t="s">
        <v>50</v>
      </c>
      <c r="H6" s="36" t="s">
        <v>51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126" ht="78" customHeight="1" x14ac:dyDescent="0.3">
      <c r="A7" s="48"/>
      <c r="B7" s="43"/>
      <c r="C7" s="43"/>
      <c r="D7" s="1" t="s">
        <v>52</v>
      </c>
      <c r="E7" s="15" t="s">
        <v>53</v>
      </c>
      <c r="F7" s="16" t="s">
        <v>54</v>
      </c>
      <c r="G7" s="13" t="s">
        <v>55</v>
      </c>
      <c r="H7" s="12" t="s">
        <v>56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126" ht="28.8" x14ac:dyDescent="0.3">
      <c r="A8" s="47">
        <v>3</v>
      </c>
      <c r="B8" s="44" t="s">
        <v>57</v>
      </c>
      <c r="C8" s="20" t="s">
        <v>58</v>
      </c>
      <c r="D8" s="25" t="s">
        <v>59</v>
      </c>
      <c r="E8" s="23" t="s">
        <v>60</v>
      </c>
      <c r="F8" s="24" t="s">
        <v>61</v>
      </c>
      <c r="G8" s="17" t="s">
        <v>62</v>
      </c>
      <c r="H8" s="18" t="s">
        <v>63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 spans="1:126" ht="43.2" x14ac:dyDescent="0.3">
      <c r="A9" s="47"/>
      <c r="B9" s="45"/>
      <c r="C9" s="20" t="s">
        <v>64</v>
      </c>
      <c r="D9" s="20" t="s">
        <v>65</v>
      </c>
      <c r="E9" s="23" t="s">
        <v>66</v>
      </c>
      <c r="F9" s="20" t="s">
        <v>67</v>
      </c>
      <c r="G9" s="18" t="s">
        <v>68</v>
      </c>
      <c r="H9" s="20" t="s">
        <v>69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126" ht="86.4" x14ac:dyDescent="0.3">
      <c r="A10" s="48">
        <v>4</v>
      </c>
      <c r="B10" s="42" t="s">
        <v>70</v>
      </c>
      <c r="C10" s="11" t="s">
        <v>71</v>
      </c>
      <c r="D10" s="11" t="s">
        <v>72</v>
      </c>
      <c r="E10" s="15" t="s">
        <v>73</v>
      </c>
      <c r="F10" s="16" t="s">
        <v>74</v>
      </c>
      <c r="G10" s="1" t="s">
        <v>75</v>
      </c>
      <c r="H10" s="1" t="s">
        <v>76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126" ht="86.4" x14ac:dyDescent="0.3">
      <c r="A11" s="48"/>
      <c r="B11" s="43"/>
      <c r="C11" s="11" t="s">
        <v>77</v>
      </c>
      <c r="D11" s="11" t="s">
        <v>78</v>
      </c>
      <c r="E11" s="15" t="s">
        <v>79</v>
      </c>
      <c r="F11" s="27" t="s">
        <v>80</v>
      </c>
      <c r="G11" s="14" t="s">
        <v>81</v>
      </c>
      <c r="H11" s="11" t="s">
        <v>82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126" ht="72" x14ac:dyDescent="0.3">
      <c r="A12" s="47">
        <v>5</v>
      </c>
      <c r="B12" s="44" t="s">
        <v>83</v>
      </c>
      <c r="C12" s="20" t="s">
        <v>84</v>
      </c>
      <c r="D12" s="20" t="s">
        <v>85</v>
      </c>
      <c r="E12" s="23" t="s">
        <v>86</v>
      </c>
      <c r="F12" s="24" t="s">
        <v>87</v>
      </c>
      <c r="G12" s="20" t="s">
        <v>88</v>
      </c>
      <c r="H12" s="20" t="s">
        <v>89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r="13" spans="1:126" ht="72" x14ac:dyDescent="0.3">
      <c r="A13" s="47"/>
      <c r="B13" s="45"/>
      <c r="C13" s="20" t="s">
        <v>90</v>
      </c>
      <c r="D13" s="20" t="s">
        <v>91</v>
      </c>
      <c r="E13" s="23" t="s">
        <v>92</v>
      </c>
      <c r="F13" s="24" t="s">
        <v>93</v>
      </c>
      <c r="G13" s="20" t="s">
        <v>94</v>
      </c>
      <c r="H13" s="20" t="s">
        <v>95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126" ht="57.6" x14ac:dyDescent="0.3">
      <c r="A14" s="30">
        <v>6</v>
      </c>
      <c r="B14" s="11" t="s">
        <v>96</v>
      </c>
      <c r="C14" s="11" t="s">
        <v>97</v>
      </c>
      <c r="D14" s="11" t="s">
        <v>98</v>
      </c>
      <c r="E14" s="15" t="s">
        <v>36</v>
      </c>
      <c r="F14" s="11" t="s">
        <v>99</v>
      </c>
      <c r="G14" s="11" t="s">
        <v>100</v>
      </c>
      <c r="H14" s="11" t="s">
        <v>101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126" ht="72" x14ac:dyDescent="0.3">
      <c r="A15" s="31">
        <v>7</v>
      </c>
      <c r="B15" s="20" t="s">
        <v>102</v>
      </c>
      <c r="C15" s="20" t="s">
        <v>103</v>
      </c>
      <c r="D15" s="20" t="s">
        <v>104</v>
      </c>
      <c r="E15" s="23" t="s">
        <v>79</v>
      </c>
      <c r="F15" s="20" t="s">
        <v>105</v>
      </c>
      <c r="G15" s="20" t="s">
        <v>106</v>
      </c>
      <c r="H15" s="20" t="s">
        <v>107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r="16" spans="1:126" ht="57.6" x14ac:dyDescent="0.3">
      <c r="A16" s="31">
        <v>8</v>
      </c>
      <c r="B16" s="32" t="s">
        <v>108</v>
      </c>
      <c r="C16" s="32" t="s">
        <v>109</v>
      </c>
      <c r="D16" s="32" t="s">
        <v>110</v>
      </c>
      <c r="E16" s="33" t="s">
        <v>111</v>
      </c>
      <c r="F16" s="32" t="s">
        <v>112</v>
      </c>
      <c r="G16" s="32" t="s">
        <v>113</v>
      </c>
      <c r="H16" s="32" t="s">
        <v>114</v>
      </c>
      <c r="I16" s="10">
        <f>100-((80/97)*100)</f>
        <v>17.525773195876297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57.6" x14ac:dyDescent="0.3">
      <c r="A17" s="31">
        <v>9</v>
      </c>
      <c r="B17" s="20" t="s">
        <v>115</v>
      </c>
      <c r="C17" s="20" t="s">
        <v>116</v>
      </c>
      <c r="D17" s="20" t="s">
        <v>117</v>
      </c>
      <c r="E17" s="23" t="s">
        <v>118</v>
      </c>
      <c r="F17" s="20" t="s">
        <v>119</v>
      </c>
      <c r="G17" s="20" t="s">
        <v>120</v>
      </c>
      <c r="H17" s="20" t="s">
        <v>121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20" spans="1:20" ht="17.25" customHeight="1" x14ac:dyDescent="0.3"/>
    <row r="24" spans="1:20" ht="53.7" customHeight="1" x14ac:dyDescent="0.3"/>
    <row r="83" spans="2:2" x14ac:dyDescent="0.3">
      <c r="B83" t="s">
        <v>122</v>
      </c>
    </row>
  </sheetData>
  <autoFilter ref="B2:T5" xr:uid="{6CBAAAD0-EBB6-42E0-8CB1-D954211FC61A}"/>
  <mergeCells count="12">
    <mergeCell ref="A3:A5"/>
    <mergeCell ref="A6:A7"/>
    <mergeCell ref="A8:A9"/>
    <mergeCell ref="A10:A11"/>
    <mergeCell ref="A12:A13"/>
    <mergeCell ref="C3:C5"/>
    <mergeCell ref="C6:C7"/>
    <mergeCell ref="B10:B11"/>
    <mergeCell ref="B12:B13"/>
    <mergeCell ref="B3:B5"/>
    <mergeCell ref="B8:B9"/>
    <mergeCell ref="B6:B7"/>
  </mergeCells>
  <pageMargins left="0.7" right="0.7" top="0.75" bottom="0.75" header="0.3" footer="0.3"/>
  <pageSetup paperSize="9" scale="2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5F950D60E1834B8D83E3E9E2A9DDAD" ma:contentTypeVersion="14" ma:contentTypeDescription="Create a new document." ma:contentTypeScope="" ma:versionID="eadd6150c659f640f037a105c690e30e">
  <xsd:schema xmlns:xsd="http://www.w3.org/2001/XMLSchema" xmlns:xs="http://www.w3.org/2001/XMLSchema" xmlns:p="http://schemas.microsoft.com/office/2006/metadata/properties" xmlns:ns2="8792097f-8f50-4f4e-82f0-23731625fea7" xmlns:ns3="1b81ff49-d556-4718-ba3a-b4ee88364cae" targetNamespace="http://schemas.microsoft.com/office/2006/metadata/properties" ma:root="true" ma:fieldsID="4fb54b3829e571c1b643cb8b6c4fd9d2" ns2:_="" ns3:_="">
    <xsd:import namespace="8792097f-8f50-4f4e-82f0-23731625fea7"/>
    <xsd:import namespace="1b81ff49-d556-4718-ba3a-b4ee88364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2097f-8f50-4f4e-82f0-23731625f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6e1eb9b-baf5-47d2-8ccf-d14f38d7d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1ff49-d556-4718-ba3a-b4ee88364c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b80d75-4d2d-443f-b2a5-82dd36ea7342}" ma:internalName="TaxCatchAll" ma:showField="CatchAllData" ma:web="1b81ff49-d556-4718-ba3a-b4ee88364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81ff49-d556-4718-ba3a-b4ee88364cae" xsi:nil="true"/>
    <lcf76f155ced4ddcb4097134ff3c332f xmlns="8792097f-8f50-4f4e-82f0-23731625fea7">
      <Terms xmlns="http://schemas.microsoft.com/office/infopath/2007/PartnerControls"/>
    </lcf76f155ced4ddcb4097134ff3c332f>
    <SharedWithUsers xmlns="1b81ff49-d556-4718-ba3a-b4ee88364cae">
      <UserInfo>
        <DisplayName>Enrique Román</DisplayName>
        <AccountId>18</AccountId>
        <AccountType/>
      </UserInfo>
      <UserInfo>
        <DisplayName>Pedro Alatorre</DisplayName>
        <AccountId>13</AccountId>
        <AccountType/>
      </UserInfo>
      <UserInfo>
        <DisplayName>Tania López</DisplayName>
        <AccountId>12</AccountId>
        <AccountType/>
      </UserInfo>
      <UserInfo>
        <DisplayName>Adolfo Mota</DisplayName>
        <AccountId>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BC25F5E-515F-4DE6-9C74-6BB3B3D3F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92097f-8f50-4f4e-82f0-23731625fea7"/>
    <ds:schemaRef ds:uri="1b81ff49-d556-4718-ba3a-b4ee88364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6829E1-40C4-4D7E-A3B7-2B725D7A2D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23CC16-2A49-42FF-B62A-6F8E5AE34F28}">
  <ds:schemaRefs>
    <ds:schemaRef ds:uri="http://schemas.microsoft.com/office/2006/metadata/properties"/>
    <ds:schemaRef ds:uri="http://schemas.microsoft.com/office/infopath/2007/PartnerControls"/>
    <ds:schemaRef ds:uri="1b81ff49-d556-4718-ba3a-b4ee88364cae"/>
    <ds:schemaRef ds:uri="8792097f-8f50-4f4e-82f0-23731625fe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Información del documento</vt:lpstr>
      <vt:lpstr>1.-Plan de mediciones</vt:lpstr>
      <vt:lpstr>'1.-Plan de mediciones'!Área_de_impresión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Carlos Quintero</cp:lastModifiedBy>
  <cp:revision/>
  <dcterms:created xsi:type="dcterms:W3CDTF">2019-08-14T22:45:52Z</dcterms:created>
  <dcterms:modified xsi:type="dcterms:W3CDTF">2026-09-29T19:53:34Z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0x010100265F950D60E1834B8D83E3E9E2A9DDAD</vt:lpwstr>
  </property>
  <property fmtid="{D5CDD505-2E9C-101B-9397-08002B2CF9AE}" pid="3" name="MediaServiceImageTags">
    <vt:lpwstr/>
  </property>
</Properties>
</file>