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55E1B737-8208-411D-92F5-C655478E3A0E}"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RXP" sheetId="2" r:id="rId2"/>
    <sheet name="2.-Descripción tipos defec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2" l="1"/>
  <c r="N9" i="2"/>
  <c r="M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s>
  <commentList>
    <comment ref="J8" authorId="0" shapeId="0" xr:uid="{00000000-0006-0000-0100-000001000000}">
      <text>
        <r>
          <rPr>
            <sz val="11"/>
            <color theme="1"/>
            <rFont val="Calibri"/>
            <family val="2"/>
            <scheme val="minor"/>
          </rPr>
          <t>Fecha en que se realizó la verificación</t>
        </r>
      </text>
    </comment>
    <comment ref="K8" authorId="0" shapeId="0" xr:uid="{00000000-0006-0000-0100-000002000000}">
      <text>
        <r>
          <rPr>
            <sz val="11"/>
            <color theme="1"/>
            <rFont val="Calibri"/>
            <family val="2"/>
            <scheme val="minor"/>
          </rPr>
          <t>Tiempo en horas que le llevo al revisor hacer la revisión por pares</t>
        </r>
      </text>
    </comment>
    <comment ref="L8" authorId="0" shapeId="0" xr:uid="{00000000-0006-0000-0100-000003000000}">
      <text>
        <r>
          <rPr>
            <sz val="11"/>
            <color theme="1"/>
            <rFont val="Calibri"/>
            <family val="2"/>
            <scheme val="minor"/>
          </rPr>
          <t>Número de veces que se realizó la revisión por pares.</t>
        </r>
      </text>
    </comment>
    <comment ref="K14" authorId="1" shapeId="0" xr:uid="{00000000-0006-0000-0100-000004000000}">
      <text>
        <r>
          <rPr>
            <sz val="11"/>
            <color theme="1"/>
            <rFont val="Calibri"/>
            <family val="2"/>
            <scheme val="minor"/>
          </rPr>
          <t xml:space="preserve">Ver la descripción de cada tipo de defecto en la hoja nombrada "descripción tipos de defectos"
</t>
        </r>
      </text>
    </comment>
    <comment ref="M14" authorId="1" shapeId="0" xr:uid="{00000000-0006-0000-0100-000005000000}">
      <text>
        <r>
          <rPr>
            <sz val="11"/>
            <color theme="1"/>
            <rFont val="Calibri"/>
            <family val="2"/>
            <scheme val="minor"/>
          </rPr>
          <t>Registrar la cantidad de defectos por tipo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<sst xmlns="http://schemas.openxmlformats.org/spreadsheetml/2006/main" count="96" uniqueCount="71">
  <si>
    <t xml:space="preserve">Proyecto: </t>
  </si>
  <si>
    <t>Portabilidad de Derechos Pensionarios entre ISSSTE e IMSS</t>
  </si>
  <si>
    <t>Revisor:</t>
  </si>
  <si>
    <t>Carlos Quintero Nava</t>
  </si>
  <si>
    <t>Función:</t>
  </si>
  <si>
    <t>Systems Engineer / Líder técnico</t>
  </si>
  <si>
    <t xml:space="preserve"> Coloque una "x" en la columna correspondiente a su respuesta. </t>
  </si>
  <si>
    <t>Checklist de diseño de software</t>
  </si>
  <si>
    <t>Verificación</t>
  </si>
  <si>
    <t>Condiciones</t>
  </si>
  <si>
    <t>Observaciones</t>
  </si>
  <si>
    <t xml:space="preserve">Resultados de verificación </t>
  </si>
  <si>
    <t>No.</t>
  </si>
  <si>
    <t>Criterio a verificar</t>
  </si>
  <si>
    <t>Sí</t>
  </si>
  <si>
    <t>No</t>
  </si>
  <si>
    <t>No aplica</t>
  </si>
  <si>
    <t>Fecha</t>
  </si>
  <si>
    <t>Duración</t>
  </si>
  <si>
    <t>Número de revisiones</t>
  </si>
  <si>
    <t>Preguntas aprobadas</t>
  </si>
  <si>
    <t>Preguntas no aprobadas</t>
  </si>
  <si>
    <t>¿Se han definido los requisitos que impactan la arquitectura?</t>
  </si>
  <si>
    <t>x</t>
  </si>
  <si>
    <t>25/07/2026</t>
  </si>
  <si>
    <t>¿Se han identificado todas las restricciones que deben considerarse en el diseño del software?</t>
  </si>
  <si>
    <t>¿Se han descrito los componentes arquitectónicos que serán generados, adquiridos o creados?</t>
  </si>
  <si>
    <t>¿Se han identificado las alternativas y elecciones de tecnologías a utilizar para realizar el diseño?</t>
  </si>
  <si>
    <t>¿Se ha especificado la funcionalidad representativa arquitectónicamente para el software?</t>
  </si>
  <si>
    <t>Categorías de defectos</t>
  </si>
  <si>
    <t>¿Se han justificado las principales decisiones de diseño?</t>
  </si>
  <si>
    <t>Categoría</t>
  </si>
  <si>
    <t>Cantidad</t>
  </si>
  <si>
    <t>¿Se han descrito los componentes de software principales del producto y sus interfaces?</t>
  </si>
  <si>
    <t>Completitud</t>
  </si>
  <si>
    <t>¿Se ha especificado cómo se manejarán las excepciones en el software?</t>
  </si>
  <si>
    <t>Estándares</t>
  </si>
  <si>
    <t>¿Se ha descrito el diseño de la arquitectura?</t>
  </si>
  <si>
    <t>Ambigüedad o imprecisión</t>
  </si>
  <si>
    <t xml:space="preserve">¿Se ha descrito o referenciado correctamente el diseño de las estructuras de datos y sus reglas de validación?  </t>
  </si>
  <si>
    <t>Consistencia</t>
  </si>
  <si>
    <t>¿Se han especificado los patrones o mecanismos que se utilizarán (si fueran necesarios) para manejar la persistencia?</t>
  </si>
  <si>
    <t>Mal uso de la técnica</t>
  </si>
  <si>
    <t>Diseño de interfaces</t>
  </si>
  <si>
    <t>Mejora</t>
  </si>
  <si>
    <t>¿Se cuenta con la definición documentada de las interfaces del software?</t>
  </si>
  <si>
    <t>Total</t>
  </si>
  <si>
    <t>¿Pueden considerarse estas interfaces como independientes y reutilizables?</t>
  </si>
  <si>
    <t>¿Es posible probar estas interfaces por separado?</t>
  </si>
  <si>
    <t>¿Las interfaces abarcan las especificaciones definidas en la especificación de requisitos?</t>
  </si>
  <si>
    <t>¿Existe algún mecanismo que permita planificar y llevar a cabo modificaciones de manera efectiva cuando hay cambios en las interfaces o en sistemas externos directamente relacionados con el software?</t>
  </si>
  <si>
    <t>Alcance a nivel proyecto</t>
  </si>
  <si>
    <t>Historial de versiones</t>
  </si>
  <si>
    <t>Versión</t>
  </si>
  <si>
    <t>Descripción</t>
  </si>
  <si>
    <t>Autor</t>
  </si>
  <si>
    <t>Carlos Quintero N.</t>
  </si>
  <si>
    <t>Si se tiene un sistema de gestión de versiones eliminar esta hoja.</t>
  </si>
  <si>
    <t>Tipos de defectos por categorías</t>
  </si>
  <si>
    <t>Ambiente</t>
  </si>
  <si>
    <t>Ambigüedad</t>
  </si>
  <si>
    <t>Manuales 2</t>
  </si>
  <si>
    <t>Omisión</t>
  </si>
  <si>
    <t>Ortografía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</si>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</sst>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b/>
      <sz val="14"/>
      <color theme="0"/>
      <name val="Calibri"/>
      <family val="2"/>
    </font>
    <font>
      <b/>
      <i/>
      <sz val="10"/>
      <name val="Calibri"/>
      <family val="2"/>
      <scheme val="minor"/>
    </font>
    <font>
      <b/>
      <sz val="12"/>
      <color theme="1"/>
      <name val="Calibri"/>
      <family val="2"/>
    </font>
    <font>
      <b/>
      <sz val="12"/>
      <color theme="1"/>
      <name val="Calibri"/>
      <family val="2"/>
      <scheme val="minor"/>
    </font>
    <font>
      <b/>
      <sz val="16"/>
      <color theme="0"/>
      <name val="Calibri"/>
      <family val="2"/>
      <scheme val="minor"/>
    </font>
    <font>
      <sz val="10"/>
      <color theme="1"/>
      <name val="Calibri"/>
      <family val="2"/>
      <scheme val="minor"/>
    </font>
    <font>
      <sz val="10"/>
      <color theme="1" tint="0.499984740745262"/>
      <name val="Calibri"/>
      <family val="2"/>
      <scheme val="minor"/>
    </font>
    <font>
      <sz val="10"/>
      <name val="Calibri"/>
      <family val="2"/>
    </font>
    <font>
      <i/>
      <sz val="10"/>
      <color theme="1" tint="0.499984740745262"/>
      <name val="Calibri"/>
      <family val="2"/>
      <scheme val="minor"/>
    </font>
    <font>
      <sz val="10"/>
      <color theme="1"/>
      <name val="Calibri"/>
      <family val="2"/>
    </font>
    <font>
      <b/>
      <sz val="12"/>
      <color rgb="FF000000"/>
      <name val="Calibri"/>
      <family val="2"/>
      <scheme val="minor"/>
    </font>
    <font>
      <b/>
      <sz val="16"/>
      <color rgb="FFFFFFFF"/>
      <name val="Calibri"/>
      <family val="2"/>
      <scheme val="minor"/>
    </font>
    <font>
      <i/>
      <sz val="12"/>
      <color theme="1" tint="0.34998626667073579"/>
      <name val="Calibri"/>
      <family val="2"/>
    </font>
    <font>
      <sz val="11"/>
      <color theme="1"/>
      <name val="Calibri"/>
      <family val="2"/>
      <scheme val="minor"/>
    </font>
    <font>
      <sz val="10"/>
      <name val="Arial"/>
      <family val="2"/>
    </font>
    <font>
      <b/>
      <sz val="12"/>
      <name val="Calibri"/>
      <family val="2"/>
      <scheme val="minor"/>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i/>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9" fillId="0" borderId="0"/>
    <xf numFmtId="0" fontId="20" fillId="0" borderId="0"/>
  </cellStyleXfs>
  <cellXfs count="66">
    <xf numFmtId="0" fontId="0" fillId="0" borderId="0" xfId="0"/>
    <xf numFmtId="0" fontId="1" fillId="0" borderId="0" xfId="0" applyFont="1"/>
    <xf numFmtId="0" fontId="0" fillId="0" borderId="0" xfId="0" applyAlignment="1">
      <alignment vertical="center"/>
    </xf>
    <xf numFmtId="0" fontId="0" fillId="0" borderId="0" xfId="0" applyAlignment="1">
      <alignment horizontal="left"/>
    </xf>
    <xf numFmtId="0" fontId="1" fillId="0" borderId="0" xfId="0" applyFont="1" applyAlignment="1">
      <alignment horizontal="center" vertical="center"/>
    </xf>
    <xf numFmtId="0" fontId="3" fillId="0" borderId="0" xfId="0" applyFont="1"/>
    <xf numFmtId="0" fontId="8" fillId="3" borderId="3"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vertical="center"/>
    </xf>
    <xf numFmtId="0" fontId="13" fillId="0" borderId="2" xfId="0" applyFont="1" applyBorder="1" applyAlignment="1">
      <alignment horizontal="center" vertical="center" wrapText="1"/>
    </xf>
    <xf numFmtId="0" fontId="14" fillId="0" borderId="0" xfId="0" applyFont="1" applyAlignment="1">
      <alignment horizontal="center" vertical="center" wrapText="1"/>
    </xf>
    <xf numFmtId="0" fontId="11" fillId="0" borderId="2" xfId="0" applyFont="1" applyBorder="1"/>
    <xf numFmtId="0" fontId="15"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21" fillId="3" borderId="8" xfId="0" applyFont="1" applyFill="1" applyBorder="1" applyAlignment="1">
      <alignment horizontal="center" vertical="center" wrapText="1"/>
    </xf>
    <xf numFmtId="1" fontId="22" fillId="5" borderId="2" xfId="1" applyNumberFormat="1" applyFont="1" applyFill="1" applyBorder="1" applyAlignment="1" applyProtection="1">
      <alignment horizontal="center" vertical="center" wrapText="1"/>
      <protection locked="0"/>
    </xf>
    <xf numFmtId="0" fontId="21" fillId="3" borderId="2" xfId="0" applyFont="1" applyFill="1" applyBorder="1" applyAlignment="1">
      <alignment horizontal="center" vertical="center" wrapText="1"/>
    </xf>
    <xf numFmtId="0" fontId="20" fillId="6" borderId="0" xfId="2" applyFill="1" applyAlignment="1">
      <alignment vertical="center"/>
    </xf>
    <xf numFmtId="0" fontId="20" fillId="6" borderId="0" xfId="2" applyFill="1" applyAlignment="1">
      <alignment vertical="center" wrapText="1"/>
    </xf>
    <xf numFmtId="0" fontId="23" fillId="6" borderId="0" xfId="2" applyFont="1" applyFill="1" applyAlignment="1">
      <alignment vertical="center" wrapText="1"/>
    </xf>
    <xf numFmtId="0" fontId="24" fillId="6" borderId="0" xfId="2" applyFont="1" applyFill="1" applyAlignment="1">
      <alignment vertical="center" wrapText="1"/>
    </xf>
    <xf numFmtId="0" fontId="25" fillId="6" borderId="0" xfId="2" applyFont="1" applyFill="1" applyAlignment="1">
      <alignment vertical="center" wrapText="1"/>
    </xf>
    <xf numFmtId="0" fontId="25" fillId="7" borderId="0" xfId="2" applyFont="1" applyFill="1" applyAlignment="1">
      <alignment vertical="center" wrapText="1"/>
    </xf>
    <xf numFmtId="0" fontId="26" fillId="6" borderId="0" xfId="2" applyFont="1" applyFill="1" applyAlignment="1">
      <alignment vertical="center"/>
    </xf>
    <xf numFmtId="0" fontId="27" fillId="4" borderId="2" xfId="2" applyFont="1" applyFill="1" applyBorder="1" applyAlignment="1">
      <alignment horizontal="center" vertical="center" wrapText="1"/>
    </xf>
    <xf numFmtId="0" fontId="28" fillId="4" borderId="2" xfId="2" applyFont="1" applyFill="1" applyBorder="1" applyAlignment="1">
      <alignment vertical="center" wrapText="1"/>
    </xf>
    <xf numFmtId="0" fontId="21" fillId="3" borderId="2" xfId="0" applyFont="1" applyFill="1" applyBorder="1" applyAlignment="1">
      <alignment horizontal="center" vertical="center"/>
    </xf>
    <xf numFmtId="0" fontId="21" fillId="3" borderId="2" xfId="2" applyFont="1" applyFill="1" applyBorder="1" applyAlignment="1">
      <alignment horizontal="center" vertical="center" wrapText="1"/>
    </xf>
    <xf numFmtId="0" fontId="6" fillId="2"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14" fontId="12" fillId="0" borderId="2" xfId="0" applyNumberFormat="1" applyFont="1" applyBorder="1" applyAlignment="1">
      <alignment vertical="center"/>
    </xf>
    <xf numFmtId="0" fontId="22" fillId="4" borderId="2" xfId="2" applyFont="1" applyFill="1" applyBorder="1" applyAlignment="1">
      <alignment horizontal="center" vertical="center" wrapText="1"/>
    </xf>
    <xf numFmtId="0" fontId="0" fillId="0" borderId="1" xfId="0" applyBorder="1"/>
    <xf numFmtId="0" fontId="11" fillId="0" borderId="2" xfId="0" applyFont="1" applyBorder="1" applyAlignment="1">
      <alignment horizontal="left" vertical="center" wrapText="1"/>
    </xf>
    <xf numFmtId="0" fontId="17" fillId="2" borderId="0" xfId="0" applyFont="1" applyFill="1" applyAlignment="1">
      <alignment horizontal="center" vertical="center"/>
    </xf>
    <xf numFmtId="0" fontId="0" fillId="0" borderId="0" xfId="0"/>
    <xf numFmtId="0" fontId="9" fillId="3" borderId="2" xfId="0" applyFont="1" applyFill="1" applyBorder="1" applyAlignment="1">
      <alignment horizontal="center" vertical="center"/>
    </xf>
    <xf numFmtId="0" fontId="0" fillId="0" borderId="4" xfId="0" applyBorder="1"/>
    <xf numFmtId="0" fontId="21" fillId="3" borderId="2"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16" fillId="3" borderId="3" xfId="0" applyFont="1" applyFill="1" applyBorder="1" applyAlignment="1">
      <alignment horizontal="center" vertical="center" wrapText="1"/>
    </xf>
    <xf numFmtId="0" fontId="0" fillId="0" borderId="7" xfId="0" applyBorder="1"/>
    <xf numFmtId="0" fontId="0" fillId="0" borderId="10" xfId="0" applyBorder="1"/>
    <xf numFmtId="0" fontId="10" fillId="2" borderId="12" xfId="0" applyFont="1" applyFill="1" applyBorder="1" applyAlignment="1">
      <alignment horizontal="center"/>
    </xf>
    <xf numFmtId="0" fontId="0" fillId="0" borderId="5" xfId="0" applyBorder="1"/>
    <xf numFmtId="0" fontId="0" fillId="0" borderId="6" xfId="0" applyBorder="1"/>
    <xf numFmtId="0" fontId="10" fillId="2" borderId="0" xfId="0" applyFont="1" applyFill="1" applyAlignment="1">
      <alignment horizontal="center" vertical="center"/>
    </xf>
    <xf numFmtId="0" fontId="21" fillId="3" borderId="3" xfId="0" applyFont="1" applyFill="1" applyBorder="1" applyAlignment="1">
      <alignment horizontal="center" vertical="center" wrapText="1"/>
    </xf>
    <xf numFmtId="0" fontId="7" fillId="0" borderId="0" xfId="0" applyFont="1" applyAlignment="1">
      <alignment horizontal="left" wrapText="1"/>
    </xf>
    <xf numFmtId="0" fontId="2" fillId="0" borderId="2" xfId="0" applyFont="1" applyBorder="1" applyAlignment="1">
      <alignment horizontal="center" vertical="center" wrapText="1"/>
    </xf>
    <xf numFmtId="0" fontId="0" fillId="0" borderId="11" xfId="0" applyBorder="1"/>
    <xf numFmtId="0" fontId="0" fillId="0" borderId="9" xfId="0" applyBorder="1"/>
    <xf numFmtId="0" fontId="3" fillId="0" borderId="0" xfId="0" applyFont="1" applyAlignment="1">
      <alignment horizontal="center"/>
    </xf>
    <xf numFmtId="0" fontId="3" fillId="0" borderId="0" xfId="0" applyFont="1"/>
    <xf numFmtId="0" fontId="5" fillId="0" borderId="0" xfId="0" applyFont="1" applyAlignment="1">
      <alignment horizontal="left" vertical="center"/>
    </xf>
    <xf numFmtId="0" fontId="4" fillId="0" borderId="0" xfId="0" applyFont="1" applyAlignment="1">
      <alignment horizontal="center"/>
    </xf>
    <xf numFmtId="0" fontId="10" fillId="2" borderId="7" xfId="0" applyFont="1" applyFill="1" applyBorder="1" applyAlignment="1">
      <alignment horizontal="center" vertical="center"/>
    </xf>
    <xf numFmtId="14" fontId="18" fillId="0" borderId="2" xfId="0" applyNumberFormat="1" applyFont="1" applyBorder="1" applyAlignment="1">
      <alignment horizontal="center" vertical="center" wrapText="1"/>
    </xf>
    <xf numFmtId="0" fontId="29" fillId="0" borderId="2" xfId="0" applyFont="1" applyBorder="1" applyAlignment="1">
      <alignment horizontal="left" vertical="center" wrapText="1"/>
    </xf>
    <xf numFmtId="0" fontId="22" fillId="0" borderId="1" xfId="0" applyFont="1" applyBorder="1"/>
    <xf numFmtId="0" fontId="29" fillId="0" borderId="2" xfId="0" applyFont="1" applyBorder="1" applyAlignment="1">
      <alignment horizontal="left" vertical="center" wrapText="1"/>
    </xf>
    <xf numFmtId="14" fontId="28" fillId="0" borderId="2" xfId="0" applyNumberFormat="1" applyFont="1" applyBorder="1" applyAlignment="1">
      <alignment vertical="center"/>
    </xf>
    <xf numFmtId="0" fontId="28" fillId="0" borderId="2" xfId="0" applyFont="1" applyBorder="1" applyAlignment="1">
      <alignment horizontal="center" vertical="center"/>
    </xf>
  </cellXfs>
  <cellStyles count="3">
    <cellStyle name="Normal" xfId="0" builtinId="0"/>
    <cellStyle name="Normal 2" xfId="2" xr:uid="{00000000-0005-0000-0000-00000200000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workbookViewId="0">
      <selection activeCell="A3" sqref="A3:B3"/>
    </sheetView>
  </sheetViews>
  <sheetFormatPr baseColWidth="10" defaultColWidth="11.44140625" defaultRowHeight="30.75" customHeight="1" x14ac:dyDescent="0.3"/>
  <cols>
    <col min="1" max="1" width="20.33203125" style="5" bestFit="1" customWidth="1"/>
    <col min="2" max="2" width="23.44140625" style="5" customWidth="1"/>
    <col min="3" max="3" width="47.44140625" style="5" customWidth="1"/>
    <col min="4" max="4" width="26.44140625" style="5" customWidth="1"/>
    <col min="5" max="5" width="11.44140625" style="5" customWidth="1"/>
    <col min="6" max="16384" width="11.44140625" style="5"/>
  </cols>
  <sheetData>
    <row r="1" spans="1:4" ht="15" customHeight="1" x14ac:dyDescent="0.3">
      <c r="A1" s="52" t="e" vm="1">
        <v>#VALUE!</v>
      </c>
      <c r="B1" s="53"/>
    </row>
    <row r="2" spans="1:4" ht="55.5" customHeight="1" x14ac:dyDescent="0.3">
      <c r="A2" s="54"/>
      <c r="B2" s="45"/>
    </row>
    <row r="3" spans="1:4" ht="30.75" customHeight="1" x14ac:dyDescent="0.3">
      <c r="A3" s="55" t="s">
        <v>51</v>
      </c>
      <c r="B3" s="56"/>
    </row>
    <row r="4" spans="1:4" ht="15.75" customHeight="1" x14ac:dyDescent="0.3"/>
    <row r="5" spans="1:4" ht="15" customHeight="1" x14ac:dyDescent="0.3"/>
    <row r="6" spans="1:4" ht="19.5" customHeight="1" thickBot="1" x14ac:dyDescent="0.4">
      <c r="A6" s="58" t="s">
        <v>52</v>
      </c>
      <c r="B6" s="56"/>
      <c r="C6" s="56"/>
      <c r="D6" s="56"/>
    </row>
    <row r="7" spans="1:4" ht="15" customHeight="1" x14ac:dyDescent="0.3"/>
    <row r="8" spans="1:4" ht="18.75" customHeight="1" x14ac:dyDescent="0.3">
      <c r="A8" s="28" t="s">
        <v>17</v>
      </c>
      <c r="B8" s="28" t="s">
        <v>53</v>
      </c>
      <c r="C8" s="28" t="s">
        <v>54</v>
      </c>
      <c r="D8" s="28" t="s">
        <v>55</v>
      </c>
    </row>
    <row r="9" spans="1:4" ht="32.25" customHeight="1" x14ac:dyDescent="0.3">
      <c r="A9" s="60">
        <v>46230</v>
      </c>
      <c r="B9" s="29">
        <v>1</v>
      </c>
      <c r="C9" s="29" t="s">
        <v>70</v>
      </c>
      <c r="D9" s="29" t="s">
        <v>56</v>
      </c>
    </row>
    <row r="10" spans="1:4" ht="32.25" customHeight="1" x14ac:dyDescent="0.3">
      <c r="A10" s="30"/>
      <c r="B10" s="30"/>
      <c r="C10" s="31"/>
      <c r="D10" s="30"/>
    </row>
    <row r="11" spans="1:4" ht="32.25" customHeight="1" x14ac:dyDescent="0.3">
      <c r="A11" s="30"/>
      <c r="B11" s="30"/>
      <c r="C11" s="31"/>
      <c r="D11" s="30"/>
    </row>
    <row r="12" spans="1:4" ht="32.25" customHeight="1" x14ac:dyDescent="0.3"/>
    <row r="13" spans="1:4" ht="15.75" customHeight="1" x14ac:dyDescent="0.3">
      <c r="A13" s="57" t="s">
        <v>57</v>
      </c>
      <c r="B13" s="56"/>
      <c r="C13" s="56"/>
      <c r="D13" s="56"/>
    </row>
  </sheetData>
  <mergeCells count="4">
    <mergeCell ref="A1:B2"/>
    <mergeCell ref="A3:B3"/>
    <mergeCell ref="A13:D1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N25"/>
  <sheetViews>
    <sheetView showGridLines="0" tabSelected="1" zoomScale="85" zoomScaleNormal="85" workbookViewId="0">
      <selection activeCell="C1" sqref="C1"/>
    </sheetView>
  </sheetViews>
  <sheetFormatPr baseColWidth="10" defaultColWidth="11.44140625" defaultRowHeight="14.4" x14ac:dyDescent="0.3"/>
  <cols>
    <col min="2" max="2" width="7.6640625" customWidth="1"/>
    <col min="3" max="3" width="19" customWidth="1"/>
    <col min="4" max="4" width="36.44140625" customWidth="1"/>
    <col min="5" max="5" width="15.44140625" customWidth="1"/>
    <col min="6" max="6" width="17.33203125" customWidth="1"/>
    <col min="7" max="7" width="18.44140625" customWidth="1"/>
    <col min="8" max="8" width="44.6640625" customWidth="1"/>
    <col min="10" max="10" width="15" bestFit="1" customWidth="1"/>
    <col min="11" max="11" width="15" customWidth="1"/>
    <col min="12" max="12" width="23.6640625" customWidth="1"/>
    <col min="13" max="13" width="21.88671875" customWidth="1"/>
    <col min="14" max="14" width="22.88671875" customWidth="1"/>
  </cols>
  <sheetData>
    <row r="2" spans="2:14" ht="30" customHeight="1" x14ac:dyDescent="0.3">
      <c r="C2" s="26" t="s">
        <v>0</v>
      </c>
      <c r="D2" s="61" t="s">
        <v>1</v>
      </c>
      <c r="E2" s="62"/>
      <c r="G2" s="16" t="s">
        <v>2</v>
      </c>
      <c r="H2" s="63" t="s">
        <v>3</v>
      </c>
      <c r="I2" s="10"/>
    </row>
    <row r="3" spans="2:14" ht="30.75" customHeight="1" x14ac:dyDescent="0.3">
      <c r="C3" s="4"/>
      <c r="D3" s="2"/>
      <c r="E3" s="2"/>
      <c r="G3" s="16" t="s">
        <v>4</v>
      </c>
      <c r="H3" s="63" t="s">
        <v>5</v>
      </c>
      <c r="I3" s="10"/>
    </row>
    <row r="4" spans="2:14" x14ac:dyDescent="0.3">
      <c r="C4" s="2"/>
      <c r="D4" s="2"/>
      <c r="E4" s="1"/>
      <c r="F4" s="3"/>
      <c r="G4" s="3"/>
      <c r="H4" s="3"/>
    </row>
    <row r="5" spans="2:14" ht="15.75" customHeight="1" x14ac:dyDescent="0.3">
      <c r="B5" t="s">
        <v>6</v>
      </c>
      <c r="C5" s="2"/>
      <c r="D5" s="2"/>
    </row>
    <row r="6" spans="2:14" ht="26.25" customHeight="1" thickBot="1" x14ac:dyDescent="0.35">
      <c r="B6" s="36" t="s">
        <v>7</v>
      </c>
      <c r="C6" s="37"/>
      <c r="D6" s="37"/>
      <c r="E6" s="37"/>
      <c r="F6" s="37"/>
      <c r="G6" s="37"/>
      <c r="H6" s="37"/>
    </row>
    <row r="7" spans="2:14" ht="21.75" customHeight="1" thickBot="1" x14ac:dyDescent="0.45">
      <c r="B7" s="41" t="s">
        <v>8</v>
      </c>
      <c r="C7" s="39"/>
      <c r="D7" s="34"/>
      <c r="E7" s="43" t="s">
        <v>9</v>
      </c>
      <c r="F7" s="44"/>
      <c r="G7" s="45"/>
      <c r="H7" s="41" t="s">
        <v>10</v>
      </c>
      <c r="J7" s="46" t="s">
        <v>11</v>
      </c>
      <c r="K7" s="47"/>
      <c r="L7" s="47"/>
      <c r="M7" s="47"/>
      <c r="N7" s="48"/>
    </row>
    <row r="8" spans="2:14" ht="30" customHeight="1" x14ac:dyDescent="0.3">
      <c r="B8" s="13" t="s">
        <v>12</v>
      </c>
      <c r="C8" s="41" t="s">
        <v>13</v>
      </c>
      <c r="D8" s="34"/>
      <c r="E8" s="13" t="s">
        <v>14</v>
      </c>
      <c r="F8" s="13" t="s">
        <v>15</v>
      </c>
      <c r="G8" s="13" t="s">
        <v>16</v>
      </c>
      <c r="H8" s="42"/>
      <c r="J8" s="6" t="s">
        <v>17</v>
      </c>
      <c r="K8" s="6" t="s">
        <v>18</v>
      </c>
      <c r="L8" s="6" t="s">
        <v>19</v>
      </c>
      <c r="M8" s="6" t="s">
        <v>20</v>
      </c>
      <c r="N8" s="6" t="s">
        <v>21</v>
      </c>
    </row>
    <row r="9" spans="2:14" ht="33" customHeight="1" x14ac:dyDescent="0.3">
      <c r="B9" s="7">
        <v>1</v>
      </c>
      <c r="C9" s="35" t="s">
        <v>22</v>
      </c>
      <c r="D9" s="34"/>
      <c r="E9" s="7" t="s">
        <v>23</v>
      </c>
      <c r="F9" s="7"/>
      <c r="G9" s="11"/>
      <c r="H9" s="11"/>
      <c r="J9" s="64" t="s">
        <v>24</v>
      </c>
      <c r="K9" s="65">
        <v>2</v>
      </c>
      <c r="L9" s="9">
        <v>1</v>
      </c>
      <c r="M9" s="9">
        <f>COUNTA(E9:E25)+COUNTA(G9:G25)</f>
        <v>16</v>
      </c>
      <c r="N9" s="9">
        <f>COUNTA(F9:F25)</f>
        <v>0</v>
      </c>
    </row>
    <row r="10" spans="2:14" ht="32.4" customHeight="1" x14ac:dyDescent="0.3">
      <c r="B10" s="7">
        <v>2</v>
      </c>
      <c r="C10" s="35" t="s">
        <v>25</v>
      </c>
      <c r="D10" s="34"/>
      <c r="E10" s="7" t="s">
        <v>23</v>
      </c>
      <c r="F10" s="7"/>
      <c r="G10" s="11"/>
      <c r="H10" s="11"/>
      <c r="J10" s="32"/>
      <c r="K10" s="8"/>
      <c r="L10" s="9"/>
      <c r="M10" s="12"/>
      <c r="N10" s="12"/>
    </row>
    <row r="11" spans="2:14" ht="30.75" customHeight="1" x14ac:dyDescent="0.3">
      <c r="B11" s="7">
        <v>3</v>
      </c>
      <c r="C11" s="35" t="s">
        <v>26</v>
      </c>
      <c r="D11" s="34"/>
      <c r="E11" s="7" t="s">
        <v>23</v>
      </c>
      <c r="F11" s="7"/>
      <c r="G11" s="11"/>
      <c r="H11" s="11"/>
      <c r="J11" s="32"/>
      <c r="K11" s="8"/>
      <c r="L11" s="9"/>
      <c r="M11" s="12"/>
      <c r="N11" s="12"/>
    </row>
    <row r="12" spans="2:14" ht="30.75" customHeight="1" x14ac:dyDescent="0.3">
      <c r="B12" s="7">
        <v>4</v>
      </c>
      <c r="C12" s="35" t="s">
        <v>27</v>
      </c>
      <c r="D12" s="34"/>
      <c r="E12" s="7" t="s">
        <v>23</v>
      </c>
      <c r="F12" s="7"/>
      <c r="G12" s="11"/>
      <c r="H12" s="11"/>
      <c r="J12" s="51"/>
      <c r="K12" s="37"/>
      <c r="L12" s="37"/>
      <c r="M12" s="37"/>
      <c r="N12" s="37"/>
    </row>
    <row r="13" spans="2:14" ht="30.75" customHeight="1" x14ac:dyDescent="0.3">
      <c r="B13" s="7">
        <v>5</v>
      </c>
      <c r="C13" s="35" t="s">
        <v>28</v>
      </c>
      <c r="D13" s="34"/>
      <c r="E13" s="7" t="s">
        <v>23</v>
      </c>
      <c r="F13" s="7"/>
      <c r="G13" s="11"/>
      <c r="H13" s="11"/>
      <c r="K13" s="49" t="s">
        <v>29</v>
      </c>
      <c r="L13" s="37"/>
      <c r="M13" s="37"/>
    </row>
    <row r="14" spans="2:14" ht="36" customHeight="1" x14ac:dyDescent="0.3">
      <c r="B14" s="7">
        <v>6</v>
      </c>
      <c r="C14" s="35" t="s">
        <v>30</v>
      </c>
      <c r="D14" s="34"/>
      <c r="E14" s="7" t="s">
        <v>23</v>
      </c>
      <c r="F14" s="7"/>
      <c r="G14" s="11"/>
      <c r="H14" s="11"/>
      <c r="K14" s="50" t="s">
        <v>31</v>
      </c>
      <c r="L14" s="45"/>
      <c r="M14" s="14" t="s">
        <v>32</v>
      </c>
    </row>
    <row r="15" spans="2:14" ht="31.95" customHeight="1" x14ac:dyDescent="0.3">
      <c r="B15" s="7">
        <v>7</v>
      </c>
      <c r="C15" s="35" t="s">
        <v>33</v>
      </c>
      <c r="D15" s="34"/>
      <c r="E15" s="7" t="s">
        <v>23</v>
      </c>
      <c r="F15" s="7"/>
      <c r="G15" s="11"/>
      <c r="H15" s="11"/>
      <c r="K15" s="33" t="s">
        <v>34</v>
      </c>
      <c r="L15" s="34"/>
      <c r="M15" s="15">
        <v>0</v>
      </c>
    </row>
    <row r="16" spans="2:14" ht="30.75" customHeight="1" x14ac:dyDescent="0.3">
      <c r="B16" s="7">
        <v>8</v>
      </c>
      <c r="C16" s="35" t="s">
        <v>35</v>
      </c>
      <c r="D16" s="34"/>
      <c r="E16" s="7" t="s">
        <v>23</v>
      </c>
      <c r="F16" s="7"/>
      <c r="G16" s="11"/>
      <c r="H16" s="11"/>
      <c r="K16" s="33" t="s">
        <v>36</v>
      </c>
      <c r="L16" s="34"/>
      <c r="M16" s="15">
        <v>0</v>
      </c>
    </row>
    <row r="17" spans="2:13" ht="30.75" customHeight="1" x14ac:dyDescent="0.3">
      <c r="B17" s="7">
        <v>9</v>
      </c>
      <c r="C17" s="35" t="s">
        <v>37</v>
      </c>
      <c r="D17" s="34"/>
      <c r="E17" s="7" t="s">
        <v>23</v>
      </c>
      <c r="F17" s="7"/>
      <c r="G17" s="11"/>
      <c r="H17" s="11"/>
      <c r="K17" s="33" t="s">
        <v>38</v>
      </c>
      <c r="L17" s="34"/>
      <c r="M17" s="15">
        <v>0</v>
      </c>
    </row>
    <row r="18" spans="2:13" ht="30.75" customHeight="1" x14ac:dyDescent="0.3">
      <c r="B18" s="7">
        <v>10</v>
      </c>
      <c r="C18" s="35" t="s">
        <v>39</v>
      </c>
      <c r="D18" s="34"/>
      <c r="E18" s="7" t="s">
        <v>23</v>
      </c>
      <c r="F18" s="7"/>
      <c r="G18" s="11"/>
      <c r="H18" s="11"/>
      <c r="K18" s="33" t="s">
        <v>40</v>
      </c>
      <c r="L18" s="34"/>
      <c r="M18" s="15">
        <v>0</v>
      </c>
    </row>
    <row r="19" spans="2:13" ht="45" customHeight="1" x14ac:dyDescent="0.3">
      <c r="B19" s="7">
        <v>11</v>
      </c>
      <c r="C19" s="35" t="s">
        <v>41</v>
      </c>
      <c r="D19" s="34"/>
      <c r="E19" s="7" t="s">
        <v>23</v>
      </c>
      <c r="F19" s="7"/>
      <c r="G19" s="11"/>
      <c r="H19" s="11"/>
      <c r="K19" s="33" t="s">
        <v>42</v>
      </c>
      <c r="L19" s="34"/>
      <c r="M19" s="15">
        <v>0</v>
      </c>
    </row>
    <row r="20" spans="2:13" ht="21.75" customHeight="1" x14ac:dyDescent="0.3">
      <c r="B20" s="38" t="s">
        <v>43</v>
      </c>
      <c r="C20" s="39"/>
      <c r="D20" s="39"/>
      <c r="E20" s="39"/>
      <c r="F20" s="39"/>
      <c r="G20" s="39"/>
      <c r="H20" s="34"/>
      <c r="K20" s="33" t="s">
        <v>44</v>
      </c>
      <c r="L20" s="34"/>
      <c r="M20" s="15">
        <v>0</v>
      </c>
    </row>
    <row r="21" spans="2:13" ht="30" customHeight="1" x14ac:dyDescent="0.3">
      <c r="B21" s="7">
        <v>12</v>
      </c>
      <c r="C21" s="35" t="s">
        <v>45</v>
      </c>
      <c r="D21" s="34"/>
      <c r="E21" s="7" t="s">
        <v>23</v>
      </c>
      <c r="F21" s="7"/>
      <c r="G21" s="11"/>
      <c r="H21" s="11"/>
      <c r="K21" s="40" t="s">
        <v>46</v>
      </c>
      <c r="L21" s="34"/>
      <c r="M21" s="16">
        <f>SUM(M15:M20)</f>
        <v>0</v>
      </c>
    </row>
    <row r="22" spans="2:13" ht="32.25" customHeight="1" x14ac:dyDescent="0.3">
      <c r="B22" s="7">
        <v>13</v>
      </c>
      <c r="C22" s="35" t="s">
        <v>47</v>
      </c>
      <c r="D22" s="34"/>
      <c r="E22" s="7" t="s">
        <v>23</v>
      </c>
      <c r="F22" s="7"/>
      <c r="G22" s="11"/>
      <c r="H22" s="11"/>
    </row>
    <row r="23" spans="2:13" ht="28.5" customHeight="1" x14ac:dyDescent="0.3">
      <c r="B23" s="7">
        <v>14</v>
      </c>
      <c r="C23" s="35" t="s">
        <v>48</v>
      </c>
      <c r="D23" s="34"/>
      <c r="E23" s="7" t="s">
        <v>23</v>
      </c>
      <c r="F23" s="7"/>
      <c r="G23" s="11"/>
      <c r="H23" s="11"/>
    </row>
    <row r="24" spans="2:13" ht="28.2" customHeight="1" x14ac:dyDescent="0.3">
      <c r="B24" s="7">
        <v>15</v>
      </c>
      <c r="C24" s="35" t="s">
        <v>49</v>
      </c>
      <c r="D24" s="34"/>
      <c r="E24" s="7" t="s">
        <v>23</v>
      </c>
      <c r="F24" s="7"/>
      <c r="G24" s="11"/>
      <c r="H24" s="11"/>
    </row>
    <row r="25" spans="2:13" ht="58.2" customHeight="1" x14ac:dyDescent="0.3">
      <c r="B25" s="7">
        <v>16</v>
      </c>
      <c r="C25" s="35" t="s">
        <v>50</v>
      </c>
      <c r="D25" s="34"/>
      <c r="E25" s="7" t="s">
        <v>23</v>
      </c>
      <c r="F25" s="7"/>
      <c r="G25" s="11"/>
      <c r="H25" s="11"/>
    </row>
  </sheetData>
  <mergeCells count="34">
    <mergeCell ref="C18:D18"/>
    <mergeCell ref="K18:L18"/>
    <mergeCell ref="D2:E2"/>
    <mergeCell ref="C16:D16"/>
    <mergeCell ref="C25:D25"/>
    <mergeCell ref="H7:H8"/>
    <mergeCell ref="C22:D22"/>
    <mergeCell ref="C9:D9"/>
    <mergeCell ref="E7:G7"/>
    <mergeCell ref="C12:D12"/>
    <mergeCell ref="C21:D21"/>
    <mergeCell ref="C11:D11"/>
    <mergeCell ref="B7:D7"/>
    <mergeCell ref="C17:D17"/>
    <mergeCell ref="C23:D23"/>
    <mergeCell ref="C8:D8"/>
    <mergeCell ref="C19:D19"/>
    <mergeCell ref="C13:D13"/>
    <mergeCell ref="K16:L16"/>
    <mergeCell ref="C24:D24"/>
    <mergeCell ref="C15:D15"/>
    <mergeCell ref="K15:L15"/>
    <mergeCell ref="B6:H6"/>
    <mergeCell ref="C14:D14"/>
    <mergeCell ref="B20:H20"/>
    <mergeCell ref="K21:L21"/>
    <mergeCell ref="K20:L20"/>
    <mergeCell ref="C10:D10"/>
    <mergeCell ref="J7:N7"/>
    <mergeCell ref="K13:M13"/>
    <mergeCell ref="K14:L14"/>
    <mergeCell ref="K17:L17"/>
    <mergeCell ref="J12:N12"/>
    <mergeCell ref="K19:L19"/>
  </mergeCells>
  <pageMargins left="0.7" right="0.7" top="0.75" bottom="0.75" header="0.3" footer="0.3"/>
  <pageSetup paperSize="9" scale="47"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63"/>
  <sheetViews>
    <sheetView showGridLines="0" workbookViewId="0">
      <selection activeCell="B1" sqref="B1"/>
    </sheetView>
  </sheetViews>
  <sheetFormatPr baseColWidth="10" defaultColWidth="11.5546875" defaultRowHeight="13.2" x14ac:dyDescent="0.3"/>
  <cols>
    <col min="1" max="1" width="5.44140625" style="17" customWidth="1"/>
    <col min="2" max="2" width="23.5546875" style="17" customWidth="1"/>
    <col min="3" max="3" width="75.109375" style="17" bestFit="1" customWidth="1"/>
    <col min="4" max="4" width="11.5546875" style="17" customWidth="1"/>
    <col min="5" max="16384" width="11.5546875" style="17"/>
  </cols>
  <sheetData>
    <row r="2" spans="2:19" s="18" customFormat="1" ht="21" customHeight="1" x14ac:dyDescent="0.3">
      <c r="B2" s="59" t="s">
        <v>58</v>
      </c>
      <c r="C2" s="44"/>
      <c r="J2" s="19"/>
      <c r="K2" s="20"/>
      <c r="L2" s="21"/>
      <c r="M2" s="21"/>
      <c r="N2" s="22" t="s">
        <v>59</v>
      </c>
      <c r="O2" s="22" t="s">
        <v>34</v>
      </c>
      <c r="P2" s="22" t="s">
        <v>60</v>
      </c>
      <c r="Q2" s="23" t="s">
        <v>61</v>
      </c>
      <c r="R2" s="23" t="s">
        <v>62</v>
      </c>
      <c r="S2" s="22" t="s">
        <v>63</v>
      </c>
    </row>
    <row r="3" spans="2:19" ht="15.75" customHeight="1" x14ac:dyDescent="0.3">
      <c r="B3" s="27" t="s">
        <v>31</v>
      </c>
      <c r="C3" s="27" t="s">
        <v>54</v>
      </c>
    </row>
    <row r="4" spans="2:19" ht="38.25" customHeight="1" x14ac:dyDescent="0.3">
      <c r="B4" s="24" t="s">
        <v>34</v>
      </c>
      <c r="C4" s="25" t="s">
        <v>64</v>
      </c>
    </row>
    <row r="5" spans="2:19" ht="51" customHeight="1" x14ac:dyDescent="0.3">
      <c r="B5" s="24" t="s">
        <v>36</v>
      </c>
      <c r="C5" s="25" t="s">
        <v>65</v>
      </c>
    </row>
    <row r="6" spans="2:19" ht="51" customHeight="1" x14ac:dyDescent="0.3">
      <c r="B6" s="24" t="s">
        <v>38</v>
      </c>
      <c r="C6" s="25" t="s">
        <v>66</v>
      </c>
    </row>
    <row r="7" spans="2:19" ht="25.5" customHeight="1" x14ac:dyDescent="0.3">
      <c r="B7" s="24" t="s">
        <v>40</v>
      </c>
      <c r="C7" s="25" t="s">
        <v>67</v>
      </c>
    </row>
    <row r="8" spans="2:19" ht="38.25" customHeight="1" x14ac:dyDescent="0.3">
      <c r="B8" s="24" t="s">
        <v>42</v>
      </c>
      <c r="C8" s="25" t="s">
        <v>68</v>
      </c>
    </row>
    <row r="9" spans="2:19" ht="38.25" customHeight="1" x14ac:dyDescent="0.3">
      <c r="B9" s="24" t="s">
        <v>44</v>
      </c>
      <c r="C9" s="25" t="s">
        <v>69</v>
      </c>
    </row>
    <row r="10" spans="2:19" ht="15" customHeight="1" x14ac:dyDescent="0.3"/>
    <row r="11" spans="2:19" ht="15" customHeight="1" x14ac:dyDescent="0.3"/>
    <row r="12" spans="2:19" ht="15" customHeight="1" x14ac:dyDescent="0.3"/>
    <row r="13" spans="2:19" ht="15" customHeight="1" x14ac:dyDescent="0.3"/>
    <row r="14" spans="2:19" ht="15" customHeight="1" x14ac:dyDescent="0.3"/>
    <row r="15" spans="2:19" ht="15" customHeight="1" x14ac:dyDescent="0.3"/>
    <row r="16" spans="2:19"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sheetData>
  <mergeCells count="1">
    <mergeCell ref="B2:C2"/>
  </mergeCells>
  <pageMargins left="0.70866141732283472" right="0.70866141732283472" top="0.74803149606299213" bottom="0.74803149606299213" header="0.31496062992125978" footer="0.31496062992125978"/>
  <pageSetup paperSize="9" scale="9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2024-07-12T16:11:37Z</cp:lastPrinted>
  <dcterms:created xsi:type="dcterms:W3CDTF">2019-09-30T18:49:33Z</dcterms:created>
  <dcterms:modified xsi:type="dcterms:W3CDTF">2026-09-30T23:40:49Z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