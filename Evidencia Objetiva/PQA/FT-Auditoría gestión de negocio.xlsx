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uario\Desktop\Evaluacion Certificación CMMI\"/>
    </mc:Choice>
  </mc:AlternateContent>
  <xr:revisionPtr revIDLastSave="0" documentId="13_ncr:1_{3BAED034-BEDB-4666-A12D-A145CA055341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Información del documento" sheetId="1" r:id="rId1"/>
    <sheet name="1.-Resumen" sheetId="2" r:id="rId2"/>
    <sheet name="2.-Auditoría 1" sheetId="3" r:id="rId3"/>
    <sheet name="3.-Auditoría 2" sheetId="4" r:id="rId4"/>
    <sheet name="4.-Auditoría 3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5" l="1"/>
  <c r="D1" i="5"/>
  <c r="F1" i="4"/>
  <c r="F2" i="4" s="1"/>
  <c r="F2" i="3"/>
  <c r="F1" i="3"/>
  <c r="E8" i="2" l="1"/>
  <c r="E7" i="2"/>
  <c r="E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Tania López</author>
  </authors>
  <commentList>
    <comment ref="F6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Registrar comentarios que aporten a valor, sobre los resultados de las auditorías.
Si no hay comentarios registrar el siguiente texto: no aplica.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Tania López</author>
  </authors>
  <commentList>
    <comment ref="F5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Registrar los errores encontrados en la revisión de los criterios.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Tania López</author>
  </authors>
  <commentList>
    <comment ref="F5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Registrar los errores encontrados en la revisión de los criterios.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Tania López</author>
  </authors>
  <commentList>
    <comment ref="F5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Registrar los errores encontrados en la revisión de los criterios.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<sst xmlns="http://schemas.openxmlformats.org/spreadsheetml/2006/main" count="151" uniqueCount="72">
  <si>
    <t>Preguntas aprobadas</t>
  </si>
  <si>
    <t>% de apego</t>
  </si>
  <si>
    <t>Auditoria de procedimiento</t>
  </si>
  <si>
    <t>No.</t>
  </si>
  <si>
    <t>Verificación</t>
  </si>
  <si>
    <t>Condiciones</t>
  </si>
  <si>
    <t>Observaciones</t>
  </si>
  <si>
    <t>Criterio a verificar</t>
  </si>
  <si>
    <t>Sí</t>
  </si>
  <si>
    <t>No</t>
  </si>
  <si>
    <t>No aplica</t>
  </si>
  <si>
    <t>¿Se tienen identificadas las oportunidades y amenazas así como las fortalezas y debilidades de la situación actual de la organización?</t>
  </si>
  <si>
    <t xml:space="preserve">¿Está definida y actualizada la misión, visión  y valores que rigen en la organización? </t>
  </si>
  <si>
    <t>¿Está documentados los objetivos de negocio y las estrategias para alcanzar esos objetivos?</t>
  </si>
  <si>
    <t>¿Se compartieron las necesidades de información que requiere dirección a los responsables de cada área?</t>
  </si>
  <si>
    <t>¿Las políticas organizacionales están alineadas al cumplimiento de los objetivos?</t>
  </si>
  <si>
    <t>¿Está definida la estructura organizacional requerida para cumplir los objetivos?</t>
  </si>
  <si>
    <t>¿Están claramente definidos los recursos para cumplir los objetivos establecidos?</t>
  </si>
  <si>
    <t xml:space="preserve">¿Se calculo el presupuesto y se determinó el periodo de uso? </t>
  </si>
  <si>
    <t xml:space="preserve">¿Se comunicó el plan estratégico? </t>
  </si>
  <si>
    <t xml:space="preserve">¿El plan de mediciones tiene las métricas necesarias para cumplir con los objetivos de negocio correspondientes a cada área? 
(Pregunta a director general) </t>
  </si>
  <si>
    <t xml:space="preserve">¿Están claramente definidos los incentivos que apoyan el cumplimiento de objetivos y las consecuencias que se tendrán por no cumplir objetivos? </t>
  </si>
  <si>
    <t xml:space="preserve">¿Se revisó con el responsable de recursos humanos que el personal este apto para alcanzar los objetivos de negocio? </t>
  </si>
  <si>
    <t>¿Se han revisado periódicamente: Resultados de medición?</t>
  </si>
  <si>
    <t>¿Se han revisado periódicamente:  seguimiento a procesos y el plan de mejora de procesos?</t>
  </si>
  <si>
    <t>¿Se han revisado periódicamente: avance de objetivos?</t>
  </si>
  <si>
    <t>¿Se han revisado periódicamente: Tendencias de calidad?</t>
  </si>
  <si>
    <t>¿Se han revisado periódicamente: Problemas identificados y su solución?</t>
  </si>
  <si>
    <t>¿Se han revisado periódicamente: la necesidad de realizar acciones correctivas, de ser así, el estado de estas se revisa periódicamente?</t>
  </si>
  <si>
    <t>Alcance a nivel organizacional</t>
  </si>
  <si>
    <t>Historial de versiones</t>
  </si>
  <si>
    <t>Fecha</t>
  </si>
  <si>
    <t>Versión</t>
  </si>
  <si>
    <t>Descripción</t>
  </si>
  <si>
    <t>Autor</t>
  </si>
  <si>
    <t>27/07/2026</t>
  </si>
  <si>
    <t>Carlos Quintero N.</t>
  </si>
  <si>
    <t>Si se tiene un sistema de gestión de versiones eliminar esta hoja.</t>
  </si>
  <si>
    <t>Datos generales</t>
  </si>
  <si>
    <t>Responsable de área:</t>
  </si>
  <si>
    <t>Historial de escalamiento</t>
  </si>
  <si>
    <t xml:space="preserve">Resumen general </t>
  </si>
  <si>
    <t># de auditoría</t>
  </si>
  <si>
    <t>Fecha de la auditoría</t>
  </si>
  <si>
    <t>Auditor</t>
  </si>
  <si>
    <t>Auditado</t>
  </si>
  <si>
    <t xml:space="preserve">% apego </t>
  </si>
  <si>
    <t>Auditoría 1</t>
  </si>
  <si>
    <t>Miguel A. López Hernández</t>
  </si>
  <si>
    <t>Documentación estratégica completa y de alta calidad (FODA, Plan estratégico, Plan de mediciones, Incentivos, Matriz de competencia); principal hallazgo: falta evidencia de revisiones periódicas formales de resultados.</t>
  </si>
  <si>
    <t>Auditoría 2</t>
  </si>
  <si>
    <t>Auditoría 3</t>
  </si>
  <si>
    <t>X</t>
  </si>
  <si>
    <t>FT-FODA del negocio: 10 fortalezas, 10 debilidades, 8 oportunidades, 8 amenazas, ponderadas.</t>
  </si>
  <si>
    <t>FT-Plan estratégico: misión, visión y valores (fundamentales, operativos, relacionales, desarrollo humano, estratégicos) definidos.</t>
  </si>
  <si>
    <t>FT-Plan estratégico: 9 objetivos de negocio con estrategias detalladas por objetivo, alineadas a áreas de proceso CMMI.</t>
  </si>
  <si>
    <t>DZ-Plan de mediciones: columna "¿A quién se comunica resultado?" y "Responsable de comunicar" definidas para cada métrica.</t>
  </si>
  <si>
    <t>Políticas coherentes con los 9 objetivos estratégicos (verificado de forma cruzada, sin políticas contradictorias).</t>
  </si>
  <si>
    <t>FT-Funciograma y sección "Estructura organizacional" del Plan estratégico, con roles y responsabilidades claros.</t>
  </si>
  <si>
    <t>Plan estratégico, sección "Estrategia de recursos" (humanos, tecnológicos, de mejora).</t>
  </si>
  <si>
    <t>Presupuesto_Anual_FourJs.xlsx: $750,000 USD para 365 días, desglosado en 4 rubros y por puesto.</t>
  </si>
  <si>
    <t>Plan estratégico publicado; PR-Gestión de negocio establece la comunicación por correo electrónico.</t>
  </si>
  <si>
    <t>DZ-Plan de mediciones completo: 9 objetivos, 16 KR, con unidad, fuente, mecanismo, frecuencia y responsable definidos.</t>
  </si>
  <si>
    <t>FT-Incentivos y consecuencias: incentivos económicos/no económicos y consecuencias documentadas.</t>
  </si>
  <si>
    <t>FT-Matriz de competencia y DNC (versión organizacional): evaluación de personal clave contra los roles requeridos.</t>
  </si>
  <si>
    <t>Existen datos (Plan_Calidad_2400h) pero no hay evidencia de una reunión o minuta formal de revisión periódica de resultados.</t>
  </si>
  <si>
    <t>No se encontró evidencia de revisión formal y periódica del seguimiento a procesos ni del plan de mejora de procesos.</t>
  </si>
  <si>
    <t>No se encontró evidencia de revisión formal y periódica del avance de los 9 objetivos de negocio.</t>
  </si>
  <si>
    <t>Mismo hallazgo identificado en FT-Auditoría de calidad de datos: no hay historial suficiente de revisión de tendencias de calidad.</t>
  </si>
  <si>
    <t>No se encontró evidencia de revisión formal y periódica de problemas identificados y su solución.</t>
  </si>
  <si>
    <t>No se encontró evidencia de revisión formal y periódica de la necesidad de acciones correctivas.</t>
  </si>
  <si>
    <t>Generación del 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</si>
</sst>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</font>
    <font>
      <sz val="11"/>
      <color theme="1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0"/>
      <name val="Calibri"/>
      <family val="2"/>
    </font>
    <font>
      <b/>
      <sz val="14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7" fillId="0" borderId="0"/>
  </cellStyleXfs>
  <cellXfs count="5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center"/>
    </xf>
    <xf numFmtId="0" fontId="8" fillId="0" borderId="2" xfId="0" applyFont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1" fillId="0" borderId="0" xfId="0" applyFont="1" applyAlignment="1">
      <alignment horizontal="right" vertical="center"/>
    </xf>
    <xf numFmtId="9" fontId="0" fillId="0" borderId="0" xfId="1" applyFont="1" applyAlignment="1">
      <alignment horizontal="center"/>
    </xf>
    <xf numFmtId="0" fontId="0" fillId="0" borderId="1" xfId="0" applyBorder="1" applyAlignment="1">
      <alignment vertical="center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wrapText="1"/>
    </xf>
    <xf numFmtId="0" fontId="0" fillId="0" borderId="6" xfId="0" applyBorder="1" applyAlignment="1">
      <alignment horizontal="center" vertical="center"/>
    </xf>
    <xf numFmtId="0" fontId="8" fillId="0" borderId="0" xfId="0" applyFont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13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/>
    </xf>
    <xf numFmtId="9" fontId="0" fillId="0" borderId="1" xfId="0" applyNumberForma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0" fillId="3" borderId="1" xfId="0" applyFill="1" applyBorder="1" applyAlignment="1">
      <alignment wrapText="1"/>
    </xf>
    <xf numFmtId="0" fontId="9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11" fillId="2" borderId="1" xfId="0" applyFont="1" applyFill="1" applyBorder="1" applyAlignment="1">
      <alignment horizontal="center"/>
    </xf>
    <xf numFmtId="0" fontId="0" fillId="0" borderId="10" xfId="0" applyBorder="1"/>
    <xf numFmtId="0" fontId="0" fillId="0" borderId="3" xfId="0" applyBorder="1"/>
    <xf numFmtId="0" fontId="8" fillId="0" borderId="1" xfId="0" applyFont="1" applyBorder="1" applyAlignment="1">
      <alignment horizontal="center" vertical="center" wrapText="1"/>
    </xf>
    <xf numFmtId="0" fontId="11" fillId="2" borderId="0" xfId="0" applyFont="1" applyFill="1" applyAlignment="1">
      <alignment horizontal="center"/>
    </xf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4" fillId="0" borderId="0" xfId="0" applyFont="1" applyAlignment="1">
      <alignment horizontal="center"/>
    </xf>
    <xf numFmtId="0" fontId="4" fillId="0" borderId="0" xfId="0" applyFont="1"/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1" fillId="3" borderId="1" xfId="0" applyFont="1" applyFill="1" applyBorder="1" applyAlignment="1">
      <alignment horizontal="center" wrapText="1"/>
    </xf>
    <xf numFmtId="0" fontId="10" fillId="2" borderId="5" xfId="0" applyFont="1" applyFill="1" applyBorder="1" applyAlignment="1">
      <alignment horizontal="center"/>
    </xf>
    <xf numFmtId="0" fontId="0" fillId="0" borderId="5" xfId="0" applyBorder="1"/>
    <xf numFmtId="0" fontId="1" fillId="3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1" xfId="0" applyBorder="1" applyAlignment="1">
      <alignment horizont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workbookViewId="0">
      <selection activeCell="A3" sqref="A3:B3"/>
    </sheetView>
  </sheetViews>
  <sheetFormatPr baseColWidth="10" defaultColWidth="11.44140625" defaultRowHeight="30.75" customHeight="1" x14ac:dyDescent="0.3"/>
  <cols>
    <col min="1" max="1" width="20.33203125" style="3" bestFit="1" customWidth="1"/>
    <col min="2" max="2" width="23.5546875" style="3" customWidth="1"/>
    <col min="3" max="3" width="47.44140625" style="3" customWidth="1"/>
    <col min="4" max="4" width="26.5546875" style="3" customWidth="1"/>
    <col min="5" max="5" width="11.44140625" style="3" customWidth="1"/>
    <col min="6" max="16384" width="11.44140625" style="3"/>
  </cols>
  <sheetData>
    <row r="1" spans="1:4" ht="14.4" customHeight="1" x14ac:dyDescent="0.3">
      <c r="A1" s="41" t="e" vm="1">
        <v>#VALUE!</v>
      </c>
      <c r="B1" s="42"/>
    </row>
    <row r="2" spans="1:4" ht="55.5" customHeight="1" x14ac:dyDescent="0.3">
      <c r="A2" s="43"/>
      <c r="B2" s="44"/>
    </row>
    <row r="3" spans="1:4" ht="30.75" customHeight="1" x14ac:dyDescent="0.3">
      <c r="A3" s="45" t="s">
        <v>29</v>
      </c>
      <c r="B3" s="46"/>
    </row>
    <row r="4" spans="1:4" ht="15.75" customHeight="1" x14ac:dyDescent="0.3"/>
    <row r="5" spans="1:4" ht="14.4" customHeight="1" x14ac:dyDescent="0.3"/>
    <row r="6" spans="1:4" ht="18" customHeight="1" x14ac:dyDescent="0.35">
      <c r="A6" s="48" t="s">
        <v>30</v>
      </c>
      <c r="B6" s="46"/>
      <c r="C6" s="46"/>
      <c r="D6" s="46"/>
    </row>
    <row r="7" spans="1:4" ht="14.4" customHeight="1" x14ac:dyDescent="0.3"/>
    <row r="8" spans="1:4" ht="18" customHeight="1" x14ac:dyDescent="0.3">
      <c r="A8" s="30" t="s">
        <v>31</v>
      </c>
      <c r="B8" s="30" t="s">
        <v>32</v>
      </c>
      <c r="C8" s="30" t="s">
        <v>33</v>
      </c>
      <c r="D8" s="30" t="s">
        <v>34</v>
      </c>
    </row>
    <row r="9" spans="1:4" ht="60" customHeight="1" x14ac:dyDescent="0.3">
      <c r="A9" s="31" t="s">
        <v>35</v>
      </c>
      <c r="B9" s="31">
        <v>1</v>
      </c>
      <c r="C9" s="32" t="s">
        <v>71</v>
      </c>
      <c r="D9" s="31" t="s">
        <v>36</v>
      </c>
    </row>
    <row r="10" spans="1:4" ht="32.25" customHeight="1" x14ac:dyDescent="0.3">
      <c r="A10" s="31"/>
      <c r="B10" s="31"/>
      <c r="C10" s="32"/>
      <c r="D10" s="31"/>
    </row>
    <row r="11" spans="1:4" ht="32.25" customHeight="1" x14ac:dyDescent="0.3"/>
    <row r="12" spans="1:4" ht="15.6" customHeight="1" x14ac:dyDescent="0.3">
      <c r="A12" s="47" t="s">
        <v>37</v>
      </c>
      <c r="B12" s="46"/>
      <c r="C12" s="46"/>
      <c r="D12" s="46"/>
    </row>
  </sheetData>
  <mergeCells count="4">
    <mergeCell ref="A1:B2"/>
    <mergeCell ref="A3:B3"/>
    <mergeCell ref="A12:D12"/>
    <mergeCell ref="A6:D6"/>
  </mergeCells>
  <pageMargins left="0.7" right="0.7" top="0.75" bottom="0.75" header="0.3" footer="0.3"/>
  <pageSetup paperSize="9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showGridLines="0" tabSelected="1" zoomScale="85" zoomScaleNormal="85" workbookViewId="0">
      <selection activeCell="A2" sqref="A2"/>
    </sheetView>
  </sheetViews>
  <sheetFormatPr baseColWidth="10" defaultRowHeight="14.4" x14ac:dyDescent="0.3"/>
  <cols>
    <col min="1" max="1" width="17.6640625" bestFit="1" customWidth="1"/>
    <col min="2" max="2" width="17.6640625" customWidth="1"/>
    <col min="3" max="3" width="24.109375" bestFit="1" customWidth="1"/>
    <col min="4" max="4" width="17.33203125" customWidth="1"/>
    <col min="5" max="5" width="11.6640625" customWidth="1"/>
    <col min="6" max="6" width="34.21875" customWidth="1"/>
    <col min="9" max="9" width="14" customWidth="1"/>
    <col min="10" max="10" width="13.88671875" customWidth="1"/>
    <col min="11" max="11" width="12.6640625" customWidth="1"/>
  </cols>
  <sheetData>
    <row r="1" spans="1:6" x14ac:dyDescent="0.3">
      <c r="A1" s="35" t="s">
        <v>38</v>
      </c>
      <c r="B1" s="36"/>
      <c r="C1" s="37"/>
    </row>
    <row r="2" spans="1:6" ht="27.6" customHeight="1" x14ac:dyDescent="0.3">
      <c r="A2" s="26" t="s">
        <v>39</v>
      </c>
      <c r="B2" s="38" t="s">
        <v>36</v>
      </c>
      <c r="C2" s="37"/>
    </row>
    <row r="3" spans="1:6" ht="51.6" customHeight="1" x14ac:dyDescent="0.3">
      <c r="A3" s="26" t="s">
        <v>40</v>
      </c>
      <c r="B3" s="38"/>
      <c r="C3" s="37"/>
    </row>
    <row r="4" spans="1:6" ht="27.6" customHeight="1" x14ac:dyDescent="0.3">
      <c r="A4" s="28"/>
      <c r="B4" s="27"/>
      <c r="C4" s="27"/>
      <c r="D4" s="15"/>
      <c r="E4" s="15"/>
    </row>
    <row r="5" spans="1:6" x14ac:dyDescent="0.3">
      <c r="A5" s="39" t="s">
        <v>41</v>
      </c>
      <c r="B5" s="40"/>
      <c r="C5" s="40"/>
      <c r="D5" s="40"/>
      <c r="E5" s="40"/>
      <c r="F5" s="40"/>
    </row>
    <row r="6" spans="1:6" ht="27.6" customHeight="1" x14ac:dyDescent="0.3">
      <c r="A6" s="22" t="s">
        <v>42</v>
      </c>
      <c r="B6" s="22" t="s">
        <v>43</v>
      </c>
      <c r="C6" s="22" t="s">
        <v>44</v>
      </c>
      <c r="D6" s="23" t="s">
        <v>45</v>
      </c>
      <c r="E6" s="22" t="s">
        <v>46</v>
      </c>
      <c r="F6" s="23" t="s">
        <v>6</v>
      </c>
    </row>
    <row r="7" spans="1:6" ht="109.8" customHeight="1" x14ac:dyDescent="0.3">
      <c r="A7" s="33" t="s">
        <v>47</v>
      </c>
      <c r="B7" s="24" t="s">
        <v>35</v>
      </c>
      <c r="C7" s="24" t="s">
        <v>48</v>
      </c>
      <c r="D7" s="34" t="s">
        <v>36</v>
      </c>
      <c r="E7" s="25">
        <f>'2.-Auditoría 1'!F2</f>
        <v>0.66666666666666663</v>
      </c>
      <c r="F7" s="13" t="s">
        <v>49</v>
      </c>
    </row>
    <row r="8" spans="1:6" ht="14.4" customHeight="1" x14ac:dyDescent="0.3">
      <c r="A8" s="29" t="s">
        <v>50</v>
      </c>
      <c r="B8" s="24"/>
      <c r="C8" s="24"/>
      <c r="D8" s="1"/>
      <c r="E8" s="25" t="str">
        <f>'3.-Auditoría 2'!F2</f>
        <v/>
      </c>
      <c r="F8" s="1"/>
    </row>
    <row r="9" spans="1:6" ht="14.4" customHeight="1" x14ac:dyDescent="0.3">
      <c r="A9" s="29" t="s">
        <v>51</v>
      </c>
      <c r="B9" s="24"/>
      <c r="C9" s="24"/>
      <c r="D9" s="1"/>
      <c r="E9" s="25" t="str">
        <f>'4.-Auditoría 3'!D2</f>
        <v/>
      </c>
      <c r="F9" s="1"/>
    </row>
  </sheetData>
  <mergeCells count="4">
    <mergeCell ref="A1:C1"/>
    <mergeCell ref="B3:C3"/>
    <mergeCell ref="B2:C2"/>
    <mergeCell ref="A5:F5"/>
  </mergeCells>
  <pageMargins left="0.7" right="0.7" top="0.75" bottom="0.75" header="0.3" footer="0.3"/>
  <pageSetup paperSize="9" orientation="landscape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24"/>
  <sheetViews>
    <sheetView showGridLines="0" zoomScaleNormal="100" workbookViewId="0"/>
  </sheetViews>
  <sheetFormatPr baseColWidth="10" defaultColWidth="11.44140625" defaultRowHeight="14.4" x14ac:dyDescent="0.3"/>
  <cols>
    <col min="1" max="1" width="8.88671875" customWidth="1"/>
    <col min="2" max="2" width="70.44140625" customWidth="1"/>
    <col min="3" max="3" width="10.33203125" customWidth="1"/>
    <col min="4" max="4" width="11.109375" customWidth="1"/>
    <col min="5" max="5" width="11.77734375" customWidth="1"/>
    <col min="6" max="6" width="49.33203125" customWidth="1"/>
    <col min="9" max="9" width="6.33203125" customWidth="1"/>
    <col min="10" max="10" width="42" customWidth="1"/>
    <col min="11" max="11" width="13" customWidth="1"/>
    <col min="13" max="13" width="13.5546875" customWidth="1"/>
    <col min="14" max="14" width="45.109375" customWidth="1"/>
  </cols>
  <sheetData>
    <row r="1" spans="1:6" ht="15.6" customHeight="1" x14ac:dyDescent="0.3">
      <c r="A1" s="20"/>
      <c r="B1" s="19"/>
      <c r="E1" s="8" t="s">
        <v>0</v>
      </c>
      <c r="F1" s="4">
        <f>COUNTA(C7:C24)+COUNTA(D7:D24)+COUNTA(E7:E24)</f>
        <v>18</v>
      </c>
    </row>
    <row r="2" spans="1:6" ht="15.6" customHeight="1" x14ac:dyDescent="0.3">
      <c r="A2" s="20"/>
      <c r="B2" s="19"/>
      <c r="E2" s="8" t="s">
        <v>1</v>
      </c>
      <c r="F2" s="9">
        <f>IF(((IFERROR(COUNTA(C7:C24)+COUNTA(E7:E24)/F1,0)))=0,"",(COUNTA(C7:C24)+COUNTA(E7:E24))/F1)</f>
        <v>0.66666666666666663</v>
      </c>
    </row>
    <row r="3" spans="1:6" x14ac:dyDescent="0.3">
      <c r="A3" s="21"/>
      <c r="B3" s="19"/>
    </row>
    <row r="4" spans="1:6" ht="18" customHeight="1" x14ac:dyDescent="0.35">
      <c r="A4" s="52" t="s">
        <v>2</v>
      </c>
      <c r="B4" s="53"/>
      <c r="C4" s="53"/>
      <c r="D4" s="53"/>
      <c r="E4" s="53"/>
      <c r="F4" s="53"/>
    </row>
    <row r="5" spans="1:6" ht="15.75" customHeight="1" x14ac:dyDescent="0.3">
      <c r="A5" s="49" t="s">
        <v>3</v>
      </c>
      <c r="B5" s="11" t="s">
        <v>4</v>
      </c>
      <c r="C5" s="51" t="s">
        <v>5</v>
      </c>
      <c r="D5" s="36"/>
      <c r="E5" s="37"/>
      <c r="F5" s="54" t="s">
        <v>6</v>
      </c>
    </row>
    <row r="6" spans="1:6" ht="15.6" customHeight="1" x14ac:dyDescent="0.3">
      <c r="A6" s="50"/>
      <c r="B6" s="11" t="s">
        <v>7</v>
      </c>
      <c r="C6" s="12" t="s">
        <v>8</v>
      </c>
      <c r="D6" s="12" t="s">
        <v>9</v>
      </c>
      <c r="E6" s="12" t="s">
        <v>10</v>
      </c>
      <c r="F6" s="50"/>
    </row>
    <row r="7" spans="1:6" ht="28.8" x14ac:dyDescent="0.3">
      <c r="A7" s="2">
        <v>1</v>
      </c>
      <c r="B7" s="5" t="s">
        <v>11</v>
      </c>
      <c r="C7" s="2" t="s">
        <v>52</v>
      </c>
      <c r="D7" s="2"/>
      <c r="E7" s="2"/>
      <c r="F7" s="13" t="s">
        <v>53</v>
      </c>
    </row>
    <row r="8" spans="1:6" ht="43.2" x14ac:dyDescent="0.3">
      <c r="A8" s="2">
        <v>2</v>
      </c>
      <c r="B8" s="6" t="s">
        <v>12</v>
      </c>
      <c r="C8" s="2" t="s">
        <v>52</v>
      </c>
      <c r="D8" s="2"/>
      <c r="E8" s="2"/>
      <c r="F8" s="10" t="s">
        <v>54</v>
      </c>
    </row>
    <row r="9" spans="1:6" ht="43.2" x14ac:dyDescent="0.3">
      <c r="A9" s="2">
        <v>3</v>
      </c>
      <c r="B9" s="6" t="s">
        <v>13</v>
      </c>
      <c r="C9" s="2" t="s">
        <v>52</v>
      </c>
      <c r="D9" s="2"/>
      <c r="E9" s="2"/>
      <c r="F9" s="13" t="s">
        <v>55</v>
      </c>
    </row>
    <row r="10" spans="1:6" ht="43.2" x14ac:dyDescent="0.3">
      <c r="A10" s="2">
        <v>4</v>
      </c>
      <c r="B10" s="7" t="s">
        <v>14</v>
      </c>
      <c r="C10" s="2" t="s">
        <v>52</v>
      </c>
      <c r="D10" s="2"/>
      <c r="E10" s="2"/>
      <c r="F10" s="13" t="s">
        <v>56</v>
      </c>
    </row>
    <row r="11" spans="1:6" ht="28.8" x14ac:dyDescent="0.3">
      <c r="A11" s="2">
        <v>5</v>
      </c>
      <c r="B11" s="6" t="s">
        <v>15</v>
      </c>
      <c r="C11" s="14" t="s">
        <v>52</v>
      </c>
      <c r="D11" s="2"/>
      <c r="E11" s="2"/>
      <c r="F11" s="13" t="s">
        <v>57</v>
      </c>
    </row>
    <row r="12" spans="1:6" ht="28.8" x14ac:dyDescent="0.3">
      <c r="A12" s="2">
        <v>6</v>
      </c>
      <c r="B12" s="7" t="s">
        <v>16</v>
      </c>
      <c r="C12" s="2" t="s">
        <v>52</v>
      </c>
      <c r="D12" s="2"/>
      <c r="E12" s="2"/>
      <c r="F12" s="13" t="s">
        <v>58</v>
      </c>
    </row>
    <row r="13" spans="1:6" ht="28.8" x14ac:dyDescent="0.3">
      <c r="A13" s="2">
        <v>7</v>
      </c>
      <c r="B13" s="7" t="s">
        <v>17</v>
      </c>
      <c r="C13" s="2" t="s">
        <v>52</v>
      </c>
      <c r="D13" s="2"/>
      <c r="E13" s="2"/>
      <c r="F13" s="13" t="s">
        <v>59</v>
      </c>
    </row>
    <row r="14" spans="1:6" ht="28.8" x14ac:dyDescent="0.3">
      <c r="A14" s="2">
        <v>8</v>
      </c>
      <c r="B14" s="6" t="s">
        <v>18</v>
      </c>
      <c r="C14" s="2" t="s">
        <v>52</v>
      </c>
      <c r="D14" s="2"/>
      <c r="E14" s="2"/>
      <c r="F14" s="13" t="s">
        <v>60</v>
      </c>
    </row>
    <row r="15" spans="1:6" ht="28.8" x14ac:dyDescent="0.3">
      <c r="A15" s="2">
        <v>9</v>
      </c>
      <c r="B15" s="5" t="s">
        <v>19</v>
      </c>
      <c r="C15" s="2" t="s">
        <v>52</v>
      </c>
      <c r="D15" s="2"/>
      <c r="E15" s="2"/>
      <c r="F15" s="13" t="s">
        <v>61</v>
      </c>
    </row>
    <row r="16" spans="1:6" ht="43.2" x14ac:dyDescent="0.3">
      <c r="A16" s="2">
        <v>10</v>
      </c>
      <c r="B16" s="6" t="s">
        <v>20</v>
      </c>
      <c r="C16" s="2" t="s">
        <v>52</v>
      </c>
      <c r="D16" s="2"/>
      <c r="E16" s="2"/>
      <c r="F16" s="13" t="s">
        <v>62</v>
      </c>
    </row>
    <row r="17" spans="1:6" ht="28.8" x14ac:dyDescent="0.3">
      <c r="A17" s="2">
        <v>11</v>
      </c>
      <c r="B17" s="6" t="s">
        <v>21</v>
      </c>
      <c r="C17" s="2" t="s">
        <v>52</v>
      </c>
      <c r="D17" s="2"/>
      <c r="E17" s="2"/>
      <c r="F17" s="13" t="s">
        <v>63</v>
      </c>
    </row>
    <row r="18" spans="1:6" ht="28.8" x14ac:dyDescent="0.3">
      <c r="A18" s="2">
        <v>12</v>
      </c>
      <c r="B18" s="6" t="s">
        <v>22</v>
      </c>
      <c r="C18" s="2" t="s">
        <v>52</v>
      </c>
      <c r="D18" s="2"/>
      <c r="E18" s="2"/>
      <c r="F18" s="13" t="s">
        <v>64</v>
      </c>
    </row>
    <row r="19" spans="1:6" ht="43.2" x14ac:dyDescent="0.3">
      <c r="A19" s="2">
        <v>13</v>
      </c>
      <c r="B19" s="6" t="s">
        <v>23</v>
      </c>
      <c r="C19" s="2"/>
      <c r="D19" s="2" t="s">
        <v>52</v>
      </c>
      <c r="E19" s="2"/>
      <c r="F19" s="13" t="s">
        <v>65</v>
      </c>
    </row>
    <row r="20" spans="1:6" ht="43.2" x14ac:dyDescent="0.3">
      <c r="A20" s="2">
        <v>14</v>
      </c>
      <c r="B20" s="6" t="s">
        <v>24</v>
      </c>
      <c r="C20" s="2"/>
      <c r="D20" s="2" t="s">
        <v>52</v>
      </c>
      <c r="E20" s="2"/>
      <c r="F20" s="13" t="s">
        <v>66</v>
      </c>
    </row>
    <row r="21" spans="1:6" ht="28.8" x14ac:dyDescent="0.3">
      <c r="A21" s="2">
        <v>15</v>
      </c>
      <c r="B21" s="6" t="s">
        <v>25</v>
      </c>
      <c r="C21" s="2"/>
      <c r="D21" s="2" t="s">
        <v>52</v>
      </c>
      <c r="E21" s="2"/>
      <c r="F21" s="13" t="s">
        <v>67</v>
      </c>
    </row>
    <row r="22" spans="1:6" ht="43.2" x14ac:dyDescent="0.3">
      <c r="A22" s="2">
        <v>16</v>
      </c>
      <c r="B22" s="6" t="s">
        <v>26</v>
      </c>
      <c r="C22" s="2"/>
      <c r="D22" s="2" t="s">
        <v>52</v>
      </c>
      <c r="E22" s="2"/>
      <c r="F22" s="13" t="s">
        <v>68</v>
      </c>
    </row>
    <row r="23" spans="1:6" ht="28.8" x14ac:dyDescent="0.3">
      <c r="A23" s="2">
        <v>17</v>
      </c>
      <c r="B23" s="6" t="s">
        <v>27</v>
      </c>
      <c r="C23" s="2"/>
      <c r="D23" s="2" t="s">
        <v>52</v>
      </c>
      <c r="E23" s="2"/>
      <c r="F23" s="13" t="s">
        <v>69</v>
      </c>
    </row>
    <row r="24" spans="1:6" ht="28.8" x14ac:dyDescent="0.3">
      <c r="A24" s="2">
        <v>18</v>
      </c>
      <c r="B24" s="6" t="s">
        <v>28</v>
      </c>
      <c r="C24" s="2"/>
      <c r="D24" s="2" t="s">
        <v>52</v>
      </c>
      <c r="E24" s="2"/>
      <c r="F24" s="13" t="s">
        <v>70</v>
      </c>
    </row>
  </sheetData>
  <mergeCells count="4">
    <mergeCell ref="A5:A6"/>
    <mergeCell ref="C5:E5"/>
    <mergeCell ref="A4:F4"/>
    <mergeCell ref="F5:F6"/>
  </mergeCells>
  <pageMargins left="0.7" right="0.7" top="0.75" bottom="0.75" header="0.3" footer="0.3"/>
  <pageSetup paperSize="9" scale="81" orientation="landscape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24"/>
  <sheetViews>
    <sheetView showGridLines="0" zoomScaleNormal="100" workbookViewId="0"/>
  </sheetViews>
  <sheetFormatPr baseColWidth="10" defaultColWidth="11.44140625" defaultRowHeight="14.4" x14ac:dyDescent="0.3"/>
  <cols>
    <col min="2" max="2" width="81.109375" customWidth="1"/>
    <col min="3" max="3" width="11.5546875" customWidth="1"/>
    <col min="4" max="4" width="11.77734375" customWidth="1"/>
    <col min="5" max="5" width="13.88671875" customWidth="1"/>
    <col min="6" max="6" width="15" customWidth="1"/>
    <col min="9" max="9" width="7.77734375" customWidth="1"/>
    <col min="10" max="10" width="49.6640625" customWidth="1"/>
    <col min="14" max="14" width="50.44140625" customWidth="1"/>
  </cols>
  <sheetData>
    <row r="1" spans="1:7" ht="15.6" customHeight="1" x14ac:dyDescent="0.3">
      <c r="E1" s="8" t="s">
        <v>0</v>
      </c>
      <c r="F1" s="4">
        <f>COUNTA(C7:C24)+COUNTA(D7:D24)+COUNTA(E7:E24)</f>
        <v>0</v>
      </c>
    </row>
    <row r="2" spans="1:7" ht="15.6" customHeight="1" x14ac:dyDescent="0.3">
      <c r="E2" s="8" t="s">
        <v>1</v>
      </c>
      <c r="F2" s="9" t="str">
        <f>IF(((IFERROR(COUNTA(C7:C24)+COUNTA(E7:E24)/F1,0)))=0,"",(COUNTA(C7:C24)+COUNTA(E7:E24))/F1)</f>
        <v/>
      </c>
    </row>
    <row r="4" spans="1:7" ht="18" customHeight="1" x14ac:dyDescent="0.35">
      <c r="A4" s="56" t="s">
        <v>2</v>
      </c>
      <c r="B4" s="40"/>
      <c r="C4" s="40"/>
      <c r="D4" s="40"/>
      <c r="E4" s="40"/>
      <c r="F4" s="40"/>
      <c r="G4" s="40"/>
    </row>
    <row r="5" spans="1:7" ht="15.75" customHeight="1" x14ac:dyDescent="0.3">
      <c r="A5" s="49" t="s">
        <v>3</v>
      </c>
      <c r="B5" s="11" t="s">
        <v>4</v>
      </c>
      <c r="C5" s="51" t="s">
        <v>5</v>
      </c>
      <c r="D5" s="36"/>
      <c r="E5" s="37"/>
      <c r="F5" s="54" t="s">
        <v>6</v>
      </c>
      <c r="G5" s="42"/>
    </row>
    <row r="6" spans="1:7" ht="15.6" customHeight="1" x14ac:dyDescent="0.3">
      <c r="A6" s="50"/>
      <c r="B6" s="11" t="s">
        <v>7</v>
      </c>
      <c r="C6" s="12" t="s">
        <v>8</v>
      </c>
      <c r="D6" s="12" t="s">
        <v>9</v>
      </c>
      <c r="E6" s="12" t="s">
        <v>10</v>
      </c>
      <c r="F6" s="43"/>
      <c r="G6" s="44"/>
    </row>
    <row r="7" spans="1:7" ht="30" customHeight="1" x14ac:dyDescent="0.3">
      <c r="A7" s="2">
        <v>1</v>
      </c>
      <c r="B7" s="5" t="s">
        <v>11</v>
      </c>
      <c r="C7" s="2"/>
      <c r="D7" s="2"/>
      <c r="E7" s="2"/>
      <c r="F7" s="55"/>
      <c r="G7" s="37"/>
    </row>
    <row r="8" spans="1:7" ht="17.399999999999999" customHeight="1" x14ac:dyDescent="0.3">
      <c r="A8" s="2">
        <v>2</v>
      </c>
      <c r="B8" s="6" t="s">
        <v>12</v>
      </c>
      <c r="C8" s="2"/>
      <c r="D8" s="2"/>
      <c r="E8" s="2"/>
      <c r="F8" s="55"/>
      <c r="G8" s="37"/>
    </row>
    <row r="9" spans="1:7" ht="15.6" customHeight="1" x14ac:dyDescent="0.3">
      <c r="A9" s="2">
        <v>3</v>
      </c>
      <c r="B9" s="6" t="s">
        <v>13</v>
      </c>
      <c r="C9" s="2"/>
      <c r="D9" s="2"/>
      <c r="E9" s="2"/>
      <c r="F9" s="55"/>
      <c r="G9" s="37"/>
    </row>
    <row r="10" spans="1:7" ht="30" customHeight="1" x14ac:dyDescent="0.3">
      <c r="A10" s="2">
        <v>4</v>
      </c>
      <c r="B10" s="7" t="s">
        <v>14</v>
      </c>
      <c r="C10" s="2"/>
      <c r="D10" s="2"/>
      <c r="E10" s="2"/>
      <c r="F10" s="55"/>
      <c r="G10" s="37"/>
    </row>
    <row r="11" spans="1:7" ht="13.8" customHeight="1" x14ac:dyDescent="0.3">
      <c r="A11" s="2">
        <v>5</v>
      </c>
      <c r="B11" s="6" t="s">
        <v>15</v>
      </c>
      <c r="C11" s="14"/>
      <c r="D11" s="2"/>
      <c r="E11" s="2"/>
      <c r="F11" s="55"/>
      <c r="G11" s="37"/>
    </row>
    <row r="12" spans="1:7" ht="15" customHeight="1" x14ac:dyDescent="0.3">
      <c r="A12" s="2">
        <v>6</v>
      </c>
      <c r="B12" s="7" t="s">
        <v>16</v>
      </c>
      <c r="C12" s="2"/>
      <c r="D12" s="2"/>
      <c r="E12" s="2"/>
      <c r="F12" s="55"/>
      <c r="G12" s="37"/>
    </row>
    <row r="13" spans="1:7" ht="15" customHeight="1" x14ac:dyDescent="0.3">
      <c r="A13" s="2">
        <v>7</v>
      </c>
      <c r="B13" s="7" t="s">
        <v>17</v>
      </c>
      <c r="C13" s="2"/>
      <c r="D13" s="2"/>
      <c r="E13" s="2"/>
      <c r="F13" s="55"/>
      <c r="G13" s="37"/>
    </row>
    <row r="14" spans="1:7" ht="18" customHeight="1" x14ac:dyDescent="0.3">
      <c r="A14" s="2">
        <v>8</v>
      </c>
      <c r="B14" s="6" t="s">
        <v>18</v>
      </c>
      <c r="C14" s="2"/>
      <c r="D14" s="2"/>
      <c r="E14" s="2"/>
      <c r="F14" s="55"/>
      <c r="G14" s="37"/>
    </row>
    <row r="15" spans="1:7" ht="15.75" customHeight="1" x14ac:dyDescent="0.3">
      <c r="A15" s="2">
        <v>9</v>
      </c>
      <c r="B15" s="5" t="s">
        <v>19</v>
      </c>
      <c r="C15" s="2"/>
      <c r="D15" s="2"/>
      <c r="E15" s="2"/>
      <c r="F15" s="55"/>
      <c r="G15" s="37"/>
    </row>
    <row r="16" spans="1:7" ht="30" customHeight="1" x14ac:dyDescent="0.3">
      <c r="A16" s="2">
        <v>10</v>
      </c>
      <c r="B16" s="6" t="s">
        <v>20</v>
      </c>
      <c r="C16" s="2"/>
      <c r="D16" s="2"/>
      <c r="E16" s="2"/>
      <c r="F16" s="55"/>
      <c r="G16" s="37"/>
    </row>
    <row r="17" spans="1:7" ht="25.95" customHeight="1" x14ac:dyDescent="0.3">
      <c r="A17" s="2">
        <v>11</v>
      </c>
      <c r="B17" s="6" t="s">
        <v>21</v>
      </c>
      <c r="C17" s="2"/>
      <c r="D17" s="2"/>
      <c r="E17" s="2"/>
      <c r="F17" s="55"/>
      <c r="G17" s="37"/>
    </row>
    <row r="18" spans="1:7" ht="25.95" customHeight="1" x14ac:dyDescent="0.3">
      <c r="A18" s="2">
        <v>12</v>
      </c>
      <c r="B18" s="6" t="s">
        <v>22</v>
      </c>
      <c r="C18" s="2"/>
      <c r="D18" s="2"/>
      <c r="E18" s="2"/>
      <c r="F18" s="55"/>
      <c r="G18" s="37"/>
    </row>
    <row r="19" spans="1:7" x14ac:dyDescent="0.3">
      <c r="A19" s="2">
        <v>13</v>
      </c>
      <c r="B19" s="6" t="s">
        <v>23</v>
      </c>
      <c r="C19" s="2"/>
      <c r="D19" s="2"/>
      <c r="E19" s="2"/>
      <c r="F19" s="55"/>
      <c r="G19" s="37"/>
    </row>
    <row r="20" spans="1:7" ht="15.75" customHeight="1" x14ac:dyDescent="0.3">
      <c r="A20" s="2">
        <v>14</v>
      </c>
      <c r="B20" s="6" t="s">
        <v>24</v>
      </c>
      <c r="C20" s="2"/>
      <c r="D20" s="2"/>
      <c r="E20" s="2"/>
      <c r="F20" s="55"/>
      <c r="G20" s="37"/>
    </row>
    <row r="21" spans="1:7" ht="14.4" customHeight="1" x14ac:dyDescent="0.3">
      <c r="A21" s="2">
        <v>15</v>
      </c>
      <c r="B21" s="6" t="s">
        <v>25</v>
      </c>
      <c r="C21" s="2"/>
      <c r="D21" s="2"/>
      <c r="E21" s="2"/>
      <c r="F21" s="55"/>
      <c r="G21" s="37"/>
    </row>
    <row r="22" spans="1:7" ht="14.4" customHeight="1" x14ac:dyDescent="0.3">
      <c r="A22" s="2">
        <v>16</v>
      </c>
      <c r="B22" s="6" t="s">
        <v>26</v>
      </c>
      <c r="C22" s="2"/>
      <c r="D22" s="2"/>
      <c r="E22" s="2"/>
      <c r="F22" s="55"/>
      <c r="G22" s="37"/>
    </row>
    <row r="23" spans="1:7" ht="13.2" customHeight="1" x14ac:dyDescent="0.3">
      <c r="A23" s="2">
        <v>17</v>
      </c>
      <c r="B23" s="6" t="s">
        <v>27</v>
      </c>
      <c r="C23" s="2"/>
      <c r="D23" s="2"/>
      <c r="E23" s="2"/>
      <c r="F23" s="55"/>
      <c r="G23" s="37"/>
    </row>
    <row r="24" spans="1:7" ht="30" customHeight="1" x14ac:dyDescent="0.3">
      <c r="A24" s="2">
        <v>18</v>
      </c>
      <c r="B24" s="6" t="s">
        <v>28</v>
      </c>
      <c r="C24" s="2"/>
      <c r="D24" s="2"/>
      <c r="E24" s="2"/>
      <c r="F24" s="55"/>
      <c r="G24" s="37"/>
    </row>
  </sheetData>
  <mergeCells count="22">
    <mergeCell ref="F11:G11"/>
    <mergeCell ref="F16:G16"/>
    <mergeCell ref="F10:G10"/>
    <mergeCell ref="F19:G19"/>
    <mergeCell ref="A4:G4"/>
    <mergeCell ref="F7:G7"/>
    <mergeCell ref="F8:G8"/>
    <mergeCell ref="A5:A6"/>
    <mergeCell ref="F9:G9"/>
    <mergeCell ref="C5:E5"/>
    <mergeCell ref="F5:G6"/>
    <mergeCell ref="F21:G21"/>
    <mergeCell ref="F12:G12"/>
    <mergeCell ref="F24:G24"/>
    <mergeCell ref="F15:G15"/>
    <mergeCell ref="F20:G20"/>
    <mergeCell ref="F18:G18"/>
    <mergeCell ref="F17:G17"/>
    <mergeCell ref="F23:G23"/>
    <mergeCell ref="F22:G22"/>
    <mergeCell ref="F13:G13"/>
    <mergeCell ref="F14:G14"/>
  </mergeCells>
  <pageMargins left="0.7" right="0.7" top="0.75" bottom="0.75" header="0.3" footer="0.3"/>
  <pageSetup paperSize="9" scale="84" orientation="landscape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24"/>
  <sheetViews>
    <sheetView showGridLines="0" zoomScaleNormal="100" workbookViewId="0"/>
  </sheetViews>
  <sheetFormatPr baseColWidth="10" defaultRowHeight="14.4" x14ac:dyDescent="0.3"/>
  <cols>
    <col min="1" max="1" width="7.6640625" customWidth="1"/>
    <col min="2" max="2" width="65" customWidth="1"/>
    <col min="6" max="6" width="20.6640625" customWidth="1"/>
    <col min="9" max="9" width="6.77734375" customWidth="1"/>
    <col min="10" max="10" width="46.44140625" customWidth="1"/>
    <col min="14" max="14" width="51.88671875" customWidth="1"/>
  </cols>
  <sheetData>
    <row r="1" spans="1:8" ht="15.6" customHeight="1" x14ac:dyDescent="0.3">
      <c r="C1" s="8" t="s">
        <v>0</v>
      </c>
      <c r="D1" s="4">
        <f>COUNTA(C7:C24)+COUNTA(D7:D24)+COUNTA(E7:E24)</f>
        <v>0</v>
      </c>
    </row>
    <row r="2" spans="1:8" ht="15.6" customHeight="1" x14ac:dyDescent="0.3">
      <c r="C2" s="8" t="s">
        <v>1</v>
      </c>
      <c r="D2" s="9" t="str">
        <f>IF(((IFERROR(COUNTA(C7:C24)+COUNTA(E7:E24)/F1,0)))=0,"",(COUNTA(C7:C24)+COUNTA(E7:E24))/F1)</f>
        <v/>
      </c>
    </row>
    <row r="4" spans="1:8" ht="18" customHeight="1" x14ac:dyDescent="0.35">
      <c r="A4" s="56" t="s">
        <v>2</v>
      </c>
      <c r="B4" s="40"/>
      <c r="C4" s="40"/>
      <c r="D4" s="40"/>
      <c r="E4" s="40"/>
      <c r="F4" s="40"/>
      <c r="G4" s="40"/>
    </row>
    <row r="5" spans="1:8" ht="15.6" customHeight="1" x14ac:dyDescent="0.3">
      <c r="A5" s="49" t="s">
        <v>3</v>
      </c>
      <c r="B5" s="11" t="s">
        <v>4</v>
      </c>
      <c r="C5" s="51" t="s">
        <v>5</v>
      </c>
      <c r="D5" s="36"/>
      <c r="E5" s="37"/>
      <c r="F5" s="54" t="s">
        <v>6</v>
      </c>
      <c r="G5" s="42"/>
    </row>
    <row r="6" spans="1:8" ht="15.6" customHeight="1" x14ac:dyDescent="0.3">
      <c r="A6" s="50"/>
      <c r="B6" s="11" t="s">
        <v>7</v>
      </c>
      <c r="C6" s="12" t="s">
        <v>8</v>
      </c>
      <c r="D6" s="12" t="s">
        <v>9</v>
      </c>
      <c r="E6" s="12" t="s">
        <v>10</v>
      </c>
      <c r="F6" s="43"/>
      <c r="G6" s="44"/>
    </row>
    <row r="7" spans="1:8" ht="28.8" customHeight="1" x14ac:dyDescent="0.3">
      <c r="A7" s="16">
        <v>1</v>
      </c>
      <c r="B7" s="5" t="s">
        <v>11</v>
      </c>
      <c r="C7" s="16"/>
      <c r="D7" s="16"/>
      <c r="E7" s="16"/>
      <c r="F7" s="57"/>
      <c r="G7" s="37"/>
      <c r="H7" s="17"/>
    </row>
    <row r="8" spans="1:8" ht="27.6" customHeight="1" x14ac:dyDescent="0.3">
      <c r="A8" s="16">
        <v>2</v>
      </c>
      <c r="B8" s="6" t="s">
        <v>12</v>
      </c>
      <c r="C8" s="16"/>
      <c r="D8" s="16"/>
      <c r="E8" s="16"/>
      <c r="F8" s="57"/>
      <c r="G8" s="37"/>
      <c r="H8" s="17"/>
    </row>
    <row r="9" spans="1:8" ht="27.6" customHeight="1" x14ac:dyDescent="0.3">
      <c r="A9" s="16">
        <v>3</v>
      </c>
      <c r="B9" s="6" t="s">
        <v>13</v>
      </c>
      <c r="C9" s="16"/>
      <c r="D9" s="16"/>
      <c r="E9" s="16"/>
      <c r="F9" s="57"/>
      <c r="G9" s="37"/>
      <c r="H9" s="17"/>
    </row>
    <row r="10" spans="1:8" ht="27.6" customHeight="1" x14ac:dyDescent="0.3">
      <c r="A10" s="16">
        <v>4</v>
      </c>
      <c r="B10" s="7" t="s">
        <v>14</v>
      </c>
      <c r="C10" s="16"/>
      <c r="D10" s="16"/>
      <c r="E10" s="16"/>
      <c r="F10" s="57"/>
      <c r="G10" s="37"/>
      <c r="H10" s="17"/>
    </row>
    <row r="11" spans="1:8" ht="16.2" customHeight="1" x14ac:dyDescent="0.3">
      <c r="A11" s="16">
        <v>5</v>
      </c>
      <c r="B11" s="6" t="s">
        <v>15</v>
      </c>
      <c r="C11" s="18"/>
      <c r="D11" s="16"/>
      <c r="E11" s="16"/>
      <c r="F11" s="57"/>
      <c r="G11" s="37"/>
      <c r="H11" s="17"/>
    </row>
    <row r="12" spans="1:8" ht="15" customHeight="1" x14ac:dyDescent="0.3">
      <c r="A12" s="16">
        <v>6</v>
      </c>
      <c r="B12" s="7" t="s">
        <v>16</v>
      </c>
      <c r="C12" s="16"/>
      <c r="D12" s="16"/>
      <c r="E12" s="16"/>
      <c r="F12" s="57"/>
      <c r="G12" s="37"/>
      <c r="H12" s="17"/>
    </row>
    <row r="13" spans="1:8" ht="15.6" customHeight="1" x14ac:dyDescent="0.3">
      <c r="A13" s="16">
        <v>7</v>
      </c>
      <c r="B13" s="7" t="s">
        <v>17</v>
      </c>
      <c r="C13" s="16"/>
      <c r="D13" s="16"/>
      <c r="E13" s="16"/>
      <c r="F13" s="57"/>
      <c r="G13" s="37"/>
      <c r="H13" s="17"/>
    </row>
    <row r="14" spans="1:8" x14ac:dyDescent="0.3">
      <c r="A14" s="16">
        <v>8</v>
      </c>
      <c r="B14" s="6" t="s">
        <v>18</v>
      </c>
      <c r="C14" s="16"/>
      <c r="D14" s="16"/>
      <c r="E14" s="16"/>
      <c r="F14" s="57"/>
      <c r="G14" s="37"/>
      <c r="H14" s="17"/>
    </row>
    <row r="15" spans="1:8" x14ac:dyDescent="0.3">
      <c r="A15" s="16">
        <v>9</v>
      </c>
      <c r="B15" s="5" t="s">
        <v>19</v>
      </c>
      <c r="C15" s="16"/>
      <c r="D15" s="16"/>
      <c r="E15" s="16"/>
      <c r="F15" s="57"/>
      <c r="G15" s="37"/>
      <c r="H15" s="17"/>
    </row>
    <row r="16" spans="1:8" ht="41.4" customHeight="1" x14ac:dyDescent="0.3">
      <c r="A16" s="16">
        <v>10</v>
      </c>
      <c r="B16" s="6" t="s">
        <v>20</v>
      </c>
      <c r="C16" s="13"/>
      <c r="D16" s="13"/>
      <c r="E16" s="13"/>
      <c r="F16" s="57"/>
      <c r="G16" s="37"/>
      <c r="H16" s="17"/>
    </row>
    <row r="17" spans="1:8" ht="27.6" customHeight="1" x14ac:dyDescent="0.3">
      <c r="A17" s="16">
        <v>11</v>
      </c>
      <c r="B17" s="6" t="s">
        <v>21</v>
      </c>
      <c r="C17" s="13"/>
      <c r="D17" s="13"/>
      <c r="E17" s="13"/>
      <c r="F17" s="57"/>
      <c r="G17" s="37"/>
      <c r="H17" s="17"/>
    </row>
    <row r="18" spans="1:8" ht="27.6" customHeight="1" x14ac:dyDescent="0.3">
      <c r="A18" s="16">
        <v>12</v>
      </c>
      <c r="B18" s="6" t="s">
        <v>22</v>
      </c>
      <c r="C18" s="1"/>
      <c r="D18" s="1"/>
      <c r="E18" s="1"/>
      <c r="F18" s="57"/>
      <c r="G18" s="37"/>
    </row>
    <row r="19" spans="1:8" x14ac:dyDescent="0.3">
      <c r="A19" s="16">
        <v>13</v>
      </c>
      <c r="B19" s="6" t="s">
        <v>23</v>
      </c>
      <c r="C19" s="1"/>
      <c r="D19" s="1"/>
      <c r="E19" s="1"/>
      <c r="F19" s="57"/>
      <c r="G19" s="37"/>
    </row>
    <row r="20" spans="1:8" ht="27.6" customHeight="1" x14ac:dyDescent="0.3">
      <c r="A20" s="16">
        <v>14</v>
      </c>
      <c r="B20" s="6" t="s">
        <v>24</v>
      </c>
      <c r="C20" s="1"/>
      <c r="D20" s="1"/>
      <c r="E20" s="1"/>
      <c r="F20" s="57"/>
      <c r="G20" s="37"/>
    </row>
    <row r="21" spans="1:8" x14ac:dyDescent="0.3">
      <c r="A21" s="16">
        <v>15</v>
      </c>
      <c r="B21" s="6" t="s">
        <v>25</v>
      </c>
      <c r="C21" s="1"/>
      <c r="D21" s="1"/>
      <c r="E21" s="1"/>
      <c r="F21" s="57"/>
      <c r="G21" s="37"/>
    </row>
    <row r="22" spans="1:8" x14ac:dyDescent="0.3">
      <c r="A22" s="16">
        <v>16</v>
      </c>
      <c r="B22" s="6" t="s">
        <v>26</v>
      </c>
      <c r="C22" s="1"/>
      <c r="D22" s="1"/>
      <c r="E22" s="1"/>
      <c r="F22" s="57"/>
      <c r="G22" s="37"/>
    </row>
    <row r="23" spans="1:8" ht="13.8" customHeight="1" x14ac:dyDescent="0.3">
      <c r="A23" s="16">
        <v>17</v>
      </c>
      <c r="B23" s="6" t="s">
        <v>27</v>
      </c>
      <c r="C23" s="1"/>
      <c r="D23" s="1"/>
      <c r="E23" s="1"/>
      <c r="F23" s="57"/>
      <c r="G23" s="37"/>
    </row>
    <row r="24" spans="1:8" ht="27" customHeight="1" x14ac:dyDescent="0.3">
      <c r="A24" s="16">
        <v>18</v>
      </c>
      <c r="B24" s="6" t="s">
        <v>28</v>
      </c>
      <c r="C24" s="1"/>
      <c r="D24" s="1"/>
      <c r="E24" s="1"/>
      <c r="F24" s="57"/>
      <c r="G24" s="37"/>
    </row>
  </sheetData>
  <mergeCells count="22">
    <mergeCell ref="F11:G11"/>
    <mergeCell ref="F16:G16"/>
    <mergeCell ref="F10:G10"/>
    <mergeCell ref="F19:G19"/>
    <mergeCell ref="A4:G4"/>
    <mergeCell ref="F7:G7"/>
    <mergeCell ref="F8:G8"/>
    <mergeCell ref="A5:A6"/>
    <mergeCell ref="F9:G9"/>
    <mergeCell ref="C5:E5"/>
    <mergeCell ref="F5:G6"/>
    <mergeCell ref="F21:G21"/>
    <mergeCell ref="F12:G12"/>
    <mergeCell ref="F24:G24"/>
    <mergeCell ref="F15:G15"/>
    <mergeCell ref="F20:G20"/>
    <mergeCell ref="F18:G18"/>
    <mergeCell ref="F17:G17"/>
    <mergeCell ref="F23:G23"/>
    <mergeCell ref="F22:G22"/>
    <mergeCell ref="F13:G13"/>
    <mergeCell ref="F14:G14"/>
  </mergeCells>
  <pageMargins left="0.7" right="0.7" top="0.75" bottom="0.75" header="0.3" footer="0.3"/>
  <pageSetup paperSize="9" scale="94" orientation="landscape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Información del documento</vt:lpstr>
      <vt:lpstr>1.-Resumen</vt:lpstr>
      <vt:lpstr>2.-Auditoría 1</vt:lpstr>
      <vt:lpstr>3.-Auditoría 2</vt:lpstr>
      <vt:lpstr>4.-Auditoría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Quintero N.</dc:creator>
  <cp:lastModifiedBy>Carlos Quintero</cp:lastModifiedBy>
  <cp:lastPrinted>2024-07-10T22:03:45Z</cp:lastPrinted>
  <dcterms:created xsi:type="dcterms:W3CDTF">2019-09-25T18:39:09Z</dcterms:created>
  <dcterms:modified xsi:type="dcterms:W3CDTF">2026-10-01T21:57:00Z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0x0101005F79CA91C779E94BAF39074ADA180F65</vt:lpwstr>
  </property>
  <property fmtid="{D5CDD505-2E9C-101B-9397-08002B2CF9AE}" pid="3" name="MediaServiceImageTags">
    <vt:lpwstr/>
  </property>
  <property fmtid="{D5CDD505-2E9C-101B-9397-08002B2CF9AE}" pid="4" name="Email">
    <vt:lpwstr>carlos.quintero@4js.com</vt:lpwstr>
  </property>
</Properties>
</file>