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esktop\Auxiliares CMM Certificacion\Portabilidad_ISSSTE-IMSS_Documentacion_Completa\"/>
    </mc:Choice>
  </mc:AlternateContent>
  <xr:revisionPtr revIDLastSave="0" documentId="13_ncr:1_{C6810191-5002-452E-9F00-167EE0FB3797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formación del documento" sheetId="1" r:id="rId1"/>
    <sheet name="1.-Resumen" sheetId="2" r:id="rId2"/>
    <sheet name="2.-Auditoría 1" sheetId="3" r:id="rId3"/>
    <sheet name="3.-Auditoría 2" sheetId="4" r:id="rId4"/>
    <sheet name="4.-Auditoría 3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5" l="1"/>
  <c r="F2" i="4"/>
  <c r="F2" i="3"/>
  <c r="F1" i="5"/>
  <c r="F1" i="4"/>
  <c r="F1" i="3"/>
  <c r="E9" i="2" l="1"/>
  <c r="E8" i="2"/>
  <c r="E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López</author>
  </authors>
  <commentList>
    <comment ref="F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Registrar comentarios que aporten a valor, sobre los resultados de las auditorías.
Si no hay comentarios registrar el siguiente texto: no aplica.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<sst xmlns="http://schemas.openxmlformats.org/spreadsheetml/2006/main" count="142" uniqueCount="59">
  <si>
    <t>Alcance a nivel organizacional</t>
  </si>
  <si>
    <t>Historial de versiones</t>
  </si>
  <si>
    <t>Fecha</t>
  </si>
  <si>
    <t>Versión</t>
  </si>
  <si>
    <t>Descripción</t>
  </si>
  <si>
    <t>Autor</t>
  </si>
  <si>
    <t>27/07/2026</t>
  </si>
  <si>
    <t>Si se tiene un sistema de gestión de versiones eliminar esta hoja.</t>
  </si>
  <si>
    <t>Datos generales</t>
  </si>
  <si>
    <t>Responsable de área:</t>
  </si>
  <si>
    <t>Gerente de desarrollo</t>
  </si>
  <si>
    <t>Historial de escalamiento</t>
  </si>
  <si>
    <t xml:space="preserve">Resumen general </t>
  </si>
  <si>
    <t># de auditoría</t>
  </si>
  <si>
    <t>Fecha de la auditoría</t>
  </si>
  <si>
    <t>Auditor</t>
  </si>
  <si>
    <t>Auditado</t>
  </si>
  <si>
    <t xml:space="preserve">% apego </t>
  </si>
  <si>
    <t>Observaciones</t>
  </si>
  <si>
    <t>Auditoría 1</t>
  </si>
  <si>
    <t>Miguel A. López Hernández</t>
  </si>
  <si>
    <t>Única mejora real registrada (ID004) aún en fase de registro, pendiente de análisis por el comité; la mayoría de los pasos posteriores no aplicaron.</t>
  </si>
  <si>
    <t>Auditoría 2</t>
  </si>
  <si>
    <t>Auditoría 3</t>
  </si>
  <si>
    <t>Preguntas aprobadas</t>
  </si>
  <si>
    <t>% de apego</t>
  </si>
  <si>
    <t>Auditoria de Gestión de mejoras</t>
  </si>
  <si>
    <t>No.</t>
  </si>
  <si>
    <t>Verificación</t>
  </si>
  <si>
    <t>Condiciones</t>
  </si>
  <si>
    <t>Criterio a verificar</t>
  </si>
  <si>
    <t>Sí</t>
  </si>
  <si>
    <t>No</t>
  </si>
  <si>
    <t>No aplica</t>
  </si>
  <si>
    <t>¿Siempre se registra una solicitud de mejora?</t>
  </si>
  <si>
    <t>X</t>
  </si>
  <si>
    <t>¿Las solicitudes aprobadas están priorizadas?</t>
  </si>
  <si>
    <t xml:space="preserve">¿El registro menciona objetivo de mejora y el objeticvo de negocio relazionado? </t>
  </si>
  <si>
    <t>El registro (FT-Solicitud de mejora de proceso) menciona el objetivo de la mejora, pero no lo vincula explícitamente con un objetivo de negocio; esa vinculación corresponde a la fase de análisis, aún pendiente.</t>
  </si>
  <si>
    <t>¿En el análisis se menciona, costo, esfuerzo y áreas afectadas?</t>
  </si>
  <si>
    <t xml:space="preserve">¿Los tipos de acción son: mejora, correctiva y preventiva? </t>
  </si>
  <si>
    <t xml:space="preserve">¿Se diseño plan de pruebas piloto? </t>
  </si>
  <si>
    <t xml:space="preserve">¿Se diseño plan de despliegue? </t>
  </si>
  <si>
    <t>¿Los planes mencionan los pasos o actividades a seguir claramente?</t>
  </si>
  <si>
    <t>¿El plan de pruebas piloto y de regresión mencionan los recursos necesarios para aplicar el plan (costo, esfuerzo y herramientas)?</t>
  </si>
  <si>
    <t>¿Se informó a las personas interesadas por correo electrónico?</t>
  </si>
  <si>
    <t>¿Se registra toda la información requerida en el monitoreo al  plan de pruebas piloto?</t>
  </si>
  <si>
    <t>¿Se informa por correo electrónico a los interesados los resultados de las pruebas piloto?</t>
  </si>
  <si>
    <t>En caso de realizar un plan de despliegue, ¿se registro la evaluación de la mejora en el plan de despligue (FT-Matriz de gestión de mejoras)</t>
  </si>
  <si>
    <t>¿Se Informó a las personas interesadas los resultados del plan de despliegue?</t>
  </si>
  <si>
    <t>¿Se presentarón los resultados de las pruebas a dirección?</t>
  </si>
  <si>
    <t>¿El plan de gestión de mejoras describe roles y responsabilidades?</t>
  </si>
  <si>
    <t>¿El plan de gestión de mejoras menciona los procedimientos que se van a evaluar?</t>
  </si>
  <si>
    <t>PR-Gestión de mejoras describe el proceso para gestionar mejoras, pero no enumera explícitamente qué procedimientos serán evaluados.</t>
  </si>
  <si>
    <t>¿El plan de gestión de mejoras describe la documentación necesaria, los formatos y plantillas necesarios para los procedimientos?</t>
  </si>
  <si>
    <t>¿El plan de gestión de mejoras describe las herramientas y técnicas que se utilizan para la gestión de procesos y mejora continua?</t>
  </si>
  <si>
    <t>¿Existe un documento que relacione los objetivos de la empresa con los procesos de la empresa?</t>
  </si>
  <si>
    <t>Generacion del documento</t>
  </si>
  <si>
    <t>Carlos Quintero 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</si>
</sst>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</font>
    <font>
      <sz val="11"/>
      <color theme="1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0"/>
      <name val="Calibri"/>
      <family val="2"/>
    </font>
    <font>
      <b/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/>
  </cellStyleXfs>
  <cellXfs count="5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/>
    </xf>
    <xf numFmtId="0" fontId="8" fillId="0" borderId="2" xfId="0" applyFont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1" fillId="0" borderId="0" xfId="0" applyFont="1" applyAlignment="1">
      <alignment horizontal="right" vertical="center"/>
    </xf>
    <xf numFmtId="9" fontId="0" fillId="0" borderId="0" xfId="1" applyFont="1" applyAlignment="1">
      <alignment horizontal="center"/>
    </xf>
    <xf numFmtId="0" fontId="0" fillId="0" borderId="1" xfId="0" applyBorder="1" applyAlignment="1">
      <alignment vertical="center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wrapText="1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9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1" fillId="3" borderId="1" xfId="0" applyFont="1" applyFill="1" applyBorder="1" applyAlignment="1">
      <alignment horizontal="center" wrapText="1"/>
    </xf>
    <xf numFmtId="0" fontId="0" fillId="0" borderId="6" xfId="0" applyBorder="1"/>
    <xf numFmtId="0" fontId="0" fillId="0" borderId="3" xfId="0" applyBorder="1"/>
    <xf numFmtId="0" fontId="10" fillId="2" borderId="5" xfId="0" applyFont="1" applyFill="1" applyBorder="1" applyAlignment="1">
      <alignment horizontal="center"/>
    </xf>
    <xf numFmtId="0" fontId="0" fillId="0" borderId="5" xfId="0" applyBorder="1"/>
    <xf numFmtId="0" fontId="1" fillId="3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0" xfId="0" applyFont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8" fillId="0" borderId="1" xfId="0" applyFont="1" applyBorder="1" applyAlignment="1">
      <alignment horizontal="left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showGridLines="0" workbookViewId="0">
      <selection activeCell="A3" sqref="A3:B3"/>
    </sheetView>
  </sheetViews>
  <sheetFormatPr baseColWidth="10" defaultColWidth="11.44140625" defaultRowHeight="30.75" customHeight="1" x14ac:dyDescent="0.3"/>
  <cols>
    <col min="1" max="1" width="20.33203125" style="3" bestFit="1" customWidth="1"/>
    <col min="2" max="2" width="23.5546875" style="3" customWidth="1"/>
    <col min="3" max="3" width="47.44140625" style="3" customWidth="1"/>
    <col min="4" max="4" width="26.5546875" style="3" customWidth="1"/>
    <col min="5" max="5" width="11.44140625" style="3" customWidth="1"/>
    <col min="6" max="16384" width="11.44140625" style="3"/>
  </cols>
  <sheetData>
    <row r="1" spans="1:4" ht="15" customHeight="1" x14ac:dyDescent="0.3">
      <c r="A1" s="40" t="e" vm="1">
        <v>#VALUE!</v>
      </c>
      <c r="B1" s="41"/>
    </row>
    <row r="2" spans="1:4" ht="55.5" customHeight="1" x14ac:dyDescent="0.3">
      <c r="A2" s="42"/>
      <c r="B2" s="43"/>
    </row>
    <row r="3" spans="1:4" ht="30.75" customHeight="1" x14ac:dyDescent="0.3">
      <c r="A3" s="44" t="s">
        <v>0</v>
      </c>
      <c r="B3" s="45"/>
    </row>
    <row r="4" spans="1:4" ht="15.75" customHeight="1" x14ac:dyDescent="0.3"/>
    <row r="5" spans="1:4" ht="15" customHeight="1" x14ac:dyDescent="0.3"/>
    <row r="6" spans="1:4" ht="18.75" customHeight="1" x14ac:dyDescent="0.35">
      <c r="A6" s="47" t="s">
        <v>1</v>
      </c>
      <c r="B6" s="45"/>
      <c r="C6" s="45"/>
      <c r="D6" s="45"/>
    </row>
    <row r="7" spans="1:4" ht="15" customHeight="1" x14ac:dyDescent="0.3"/>
    <row r="8" spans="1:4" ht="18.75" customHeight="1" x14ac:dyDescent="0.3">
      <c r="A8" s="27" t="s">
        <v>2</v>
      </c>
      <c r="B8" s="27" t="s">
        <v>3</v>
      </c>
      <c r="C8" s="27" t="s">
        <v>4</v>
      </c>
      <c r="D8" s="27" t="s">
        <v>5</v>
      </c>
    </row>
    <row r="9" spans="1:4" ht="32.25" customHeight="1" x14ac:dyDescent="0.3">
      <c r="A9" s="30">
        <v>46230</v>
      </c>
      <c r="B9" s="28">
        <v>1</v>
      </c>
      <c r="C9" s="28" t="s">
        <v>57</v>
      </c>
      <c r="D9" s="28" t="s">
        <v>20</v>
      </c>
    </row>
    <row r="10" spans="1:4" ht="32.25" customHeight="1" x14ac:dyDescent="0.3">
      <c r="A10" s="28"/>
      <c r="B10" s="28"/>
      <c r="C10" s="29"/>
      <c r="D10" s="28"/>
    </row>
    <row r="11" spans="1:4" ht="32.25" customHeight="1" x14ac:dyDescent="0.3">
      <c r="A11" s="28"/>
      <c r="B11" s="28"/>
      <c r="C11" s="29"/>
      <c r="D11" s="28"/>
    </row>
    <row r="12" spans="1:4" ht="32.25" customHeight="1" x14ac:dyDescent="0.3"/>
    <row r="13" spans="1:4" ht="15.75" customHeight="1" x14ac:dyDescent="0.3">
      <c r="A13" s="46" t="s">
        <v>7</v>
      </c>
      <c r="B13" s="45"/>
      <c r="C13" s="45"/>
      <c r="D13" s="45"/>
    </row>
  </sheetData>
  <mergeCells count="4">
    <mergeCell ref="A1:B2"/>
    <mergeCell ref="A3:B3"/>
    <mergeCell ref="A13:D13"/>
    <mergeCell ref="A6:D6"/>
  </mergeCells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9"/>
  <sheetViews>
    <sheetView showGridLines="0" tabSelected="1" zoomScale="115" zoomScaleNormal="115" workbookViewId="0">
      <selection activeCell="A2" sqref="A2"/>
    </sheetView>
  </sheetViews>
  <sheetFormatPr baseColWidth="10" defaultColWidth="11.44140625" defaultRowHeight="14.4" x14ac:dyDescent="0.3"/>
  <cols>
    <col min="1" max="1" width="18" bestFit="1" customWidth="1"/>
    <col min="3" max="3" width="23.44140625" bestFit="1" customWidth="1"/>
    <col min="4" max="4" width="18.77734375" bestFit="1" customWidth="1"/>
  </cols>
  <sheetData>
    <row r="1" spans="1:8" x14ac:dyDescent="0.3">
      <c r="A1" s="49" t="s">
        <v>8</v>
      </c>
      <c r="B1" s="35"/>
      <c r="C1" s="36"/>
    </row>
    <row r="2" spans="1:8" ht="25.5" customHeight="1" x14ac:dyDescent="0.3">
      <c r="A2" s="23" t="s">
        <v>9</v>
      </c>
      <c r="B2" s="50" t="s">
        <v>58</v>
      </c>
      <c r="C2" s="36"/>
    </row>
    <row r="3" spans="1:8" ht="58.95" customHeight="1" x14ac:dyDescent="0.3">
      <c r="A3" s="23" t="s">
        <v>11</v>
      </c>
      <c r="B3" s="55"/>
      <c r="C3" s="36"/>
    </row>
    <row r="4" spans="1:8" x14ac:dyDescent="0.3">
      <c r="A4" s="13"/>
      <c r="B4" s="14"/>
      <c r="C4" s="14"/>
      <c r="D4" s="15"/>
      <c r="E4" s="15"/>
    </row>
    <row r="5" spans="1:8" x14ac:dyDescent="0.3">
      <c r="A5" s="49" t="s">
        <v>12</v>
      </c>
      <c r="B5" s="35"/>
      <c r="C5" s="35"/>
      <c r="D5" s="35"/>
      <c r="E5" s="35"/>
      <c r="F5" s="35"/>
      <c r="G5" s="35"/>
      <c r="H5" s="36"/>
    </row>
    <row r="6" spans="1:8" ht="30" customHeight="1" x14ac:dyDescent="0.3">
      <c r="A6" s="16" t="s">
        <v>13</v>
      </c>
      <c r="B6" s="16" t="s">
        <v>14</v>
      </c>
      <c r="C6" s="16" t="s">
        <v>15</v>
      </c>
      <c r="D6" s="17" t="s">
        <v>16</v>
      </c>
      <c r="E6" s="16" t="s">
        <v>17</v>
      </c>
      <c r="F6" s="51" t="s">
        <v>18</v>
      </c>
      <c r="G6" s="35"/>
      <c r="H6" s="36"/>
    </row>
    <row r="7" spans="1:8" ht="60.6" customHeight="1" x14ac:dyDescent="0.3">
      <c r="A7" s="24" t="s">
        <v>19</v>
      </c>
      <c r="B7" s="18" t="s">
        <v>6</v>
      </c>
      <c r="C7" s="18" t="s">
        <v>20</v>
      </c>
      <c r="D7" s="2" t="s">
        <v>10</v>
      </c>
      <c r="E7" s="19">
        <f>'2.-Auditoría 1'!F2</f>
        <v>0.9</v>
      </c>
      <c r="F7" s="52" t="s">
        <v>21</v>
      </c>
      <c r="G7" s="53"/>
      <c r="H7" s="54"/>
    </row>
    <row r="8" spans="1:8" x14ac:dyDescent="0.3">
      <c r="A8" s="24" t="s">
        <v>22</v>
      </c>
      <c r="B8" s="18"/>
      <c r="C8" s="18"/>
      <c r="D8" s="1"/>
      <c r="E8" s="19" t="str">
        <f>'3.-Auditoría 2'!F2</f>
        <v/>
      </c>
      <c r="F8" s="48"/>
      <c r="G8" s="35"/>
      <c r="H8" s="36"/>
    </row>
    <row r="9" spans="1:8" x14ac:dyDescent="0.3">
      <c r="A9" s="24" t="s">
        <v>23</v>
      </c>
      <c r="B9" s="18"/>
      <c r="C9" s="18"/>
      <c r="D9" s="1"/>
      <c r="E9" s="19" t="str">
        <f>'4.-Auditoría 3'!F2</f>
        <v/>
      </c>
      <c r="F9" s="48"/>
      <c r="G9" s="35"/>
      <c r="H9" s="36"/>
    </row>
  </sheetData>
  <mergeCells count="8">
    <mergeCell ref="A1:C1"/>
    <mergeCell ref="B3:C3"/>
    <mergeCell ref="F8:H8"/>
    <mergeCell ref="F9:H9"/>
    <mergeCell ref="A5:H5"/>
    <mergeCell ref="B2:C2"/>
    <mergeCell ref="F6:H6"/>
    <mergeCell ref="F7:H7"/>
  </mergeCells>
  <pageMargins left="0.7" right="0.7" top="0.75" bottom="0.75" header="0.3" footer="0.3"/>
  <pageSetup paperSize="9" orientation="landscape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26"/>
  <sheetViews>
    <sheetView showGridLines="0" zoomScale="115" zoomScaleNormal="115" workbookViewId="0"/>
  </sheetViews>
  <sheetFormatPr baseColWidth="10" defaultColWidth="11.44140625" defaultRowHeight="14.4" x14ac:dyDescent="0.3"/>
  <cols>
    <col min="2" max="2" width="53.6640625" customWidth="1"/>
    <col min="3" max="3" width="9.44140625" customWidth="1"/>
    <col min="4" max="5" width="10.44140625" customWidth="1"/>
    <col min="6" max="6" width="49.33203125" customWidth="1"/>
    <col min="7" max="7" width="5" customWidth="1"/>
    <col min="8" max="8" width="4.6640625" customWidth="1"/>
    <col min="9" max="9" width="4.109375" customWidth="1"/>
    <col min="11" max="11" width="16.88671875" customWidth="1"/>
    <col min="12" max="12" width="16" customWidth="1"/>
    <col min="13" max="13" width="18.5546875" customWidth="1"/>
    <col min="17" max="17" width="37.5546875" customWidth="1"/>
  </cols>
  <sheetData>
    <row r="1" spans="1:6" ht="15.75" customHeight="1" x14ac:dyDescent="0.3">
      <c r="E1" s="8" t="s">
        <v>24</v>
      </c>
      <c r="F1" s="4">
        <f>COUNTA(C7:C26)+COUNTA(D7:D26)+COUNTA(E7:E26)</f>
        <v>20</v>
      </c>
    </row>
    <row r="2" spans="1:6" ht="15.75" customHeight="1" x14ac:dyDescent="0.3">
      <c r="E2" s="8" t="s">
        <v>25</v>
      </c>
      <c r="F2" s="9">
        <f>IF(((IFERROR(COUNTA(C7:C26)+COUNTA(E7:E26)/F1,0)))=0,"",(COUNTA(C7:C26)+COUNTA(E7:E26))/F1)</f>
        <v>0.9</v>
      </c>
    </row>
    <row r="4" spans="1:6" ht="18.75" customHeight="1" x14ac:dyDescent="0.35">
      <c r="A4" s="37" t="s">
        <v>26</v>
      </c>
      <c r="B4" s="38"/>
      <c r="C4" s="38"/>
      <c r="D4" s="38"/>
      <c r="E4" s="38"/>
      <c r="F4" s="38"/>
    </row>
    <row r="5" spans="1:6" ht="15.75" customHeight="1" x14ac:dyDescent="0.3">
      <c r="A5" s="32" t="s">
        <v>27</v>
      </c>
      <c r="B5" s="11" t="s">
        <v>28</v>
      </c>
      <c r="C5" s="34" t="s">
        <v>29</v>
      </c>
      <c r="D5" s="35"/>
      <c r="E5" s="36"/>
      <c r="F5" s="39" t="s">
        <v>18</v>
      </c>
    </row>
    <row r="6" spans="1:6" ht="15.6" customHeight="1" x14ac:dyDescent="0.3">
      <c r="A6" s="33"/>
      <c r="B6" s="11" t="s">
        <v>30</v>
      </c>
      <c r="C6" s="12" t="s">
        <v>31</v>
      </c>
      <c r="D6" s="12" t="s">
        <v>32</v>
      </c>
      <c r="E6" s="12" t="s">
        <v>33</v>
      </c>
      <c r="F6" s="33"/>
    </row>
    <row r="7" spans="1:6" ht="13.2" customHeight="1" x14ac:dyDescent="0.3">
      <c r="A7" s="2">
        <v>1</v>
      </c>
      <c r="B7" s="5" t="s">
        <v>34</v>
      </c>
      <c r="C7" s="2" t="s">
        <v>35</v>
      </c>
      <c r="D7" s="2"/>
      <c r="E7" s="2"/>
      <c r="F7" s="1"/>
    </row>
    <row r="8" spans="1:6" ht="15" customHeight="1" x14ac:dyDescent="0.3">
      <c r="A8" s="2">
        <v>2</v>
      </c>
      <c r="B8" s="6" t="s">
        <v>36</v>
      </c>
      <c r="C8" s="2"/>
      <c r="D8" s="2"/>
      <c r="E8" s="2" t="s">
        <v>35</v>
      </c>
      <c r="F8" s="10"/>
    </row>
    <row r="9" spans="1:6" ht="57.6" x14ac:dyDescent="0.3">
      <c r="A9" s="2">
        <v>3</v>
      </c>
      <c r="B9" s="26" t="s">
        <v>37</v>
      </c>
      <c r="C9" s="2"/>
      <c r="D9" s="2" t="s">
        <v>35</v>
      </c>
      <c r="E9" s="2"/>
      <c r="F9" s="21" t="s">
        <v>38</v>
      </c>
    </row>
    <row r="10" spans="1:6" ht="14.4" customHeight="1" x14ac:dyDescent="0.3">
      <c r="A10" s="2">
        <v>4</v>
      </c>
      <c r="B10" s="25" t="s">
        <v>39</v>
      </c>
      <c r="C10" s="2"/>
      <c r="D10" s="2"/>
      <c r="E10" s="2" t="s">
        <v>35</v>
      </c>
      <c r="F10" s="1"/>
    </row>
    <row r="11" spans="1:6" ht="16.95" customHeight="1" x14ac:dyDescent="0.3">
      <c r="A11" s="2">
        <v>5</v>
      </c>
      <c r="B11" s="25" t="s">
        <v>40</v>
      </c>
      <c r="C11" s="2"/>
      <c r="D11" s="2"/>
      <c r="E11" s="2" t="s">
        <v>35</v>
      </c>
      <c r="F11" s="1"/>
    </row>
    <row r="12" spans="1:6" ht="16.2" customHeight="1" x14ac:dyDescent="0.3">
      <c r="A12" s="2">
        <v>6</v>
      </c>
      <c r="B12" s="6" t="s">
        <v>41</v>
      </c>
      <c r="C12" s="2"/>
      <c r="D12" s="2"/>
      <c r="E12" s="2" t="s">
        <v>35</v>
      </c>
      <c r="F12" s="1"/>
    </row>
    <row r="13" spans="1:6" ht="17.399999999999999" customHeight="1" x14ac:dyDescent="0.3">
      <c r="A13" s="2">
        <v>7</v>
      </c>
      <c r="B13" s="6" t="s">
        <v>42</v>
      </c>
      <c r="C13" s="2"/>
      <c r="D13" s="2"/>
      <c r="E13" s="2" t="s">
        <v>35</v>
      </c>
      <c r="F13" s="1"/>
    </row>
    <row r="14" spans="1:6" ht="16.95" customHeight="1" x14ac:dyDescent="0.3">
      <c r="A14" s="2">
        <v>8</v>
      </c>
      <c r="B14" s="7" t="s">
        <v>43</v>
      </c>
      <c r="C14" s="2"/>
      <c r="D14" s="2"/>
      <c r="E14" s="2" t="s">
        <v>35</v>
      </c>
      <c r="F14" s="1"/>
    </row>
    <row r="15" spans="1:6" ht="28.95" customHeight="1" x14ac:dyDescent="0.3">
      <c r="A15" s="2">
        <v>9</v>
      </c>
      <c r="B15" s="7" t="s">
        <v>44</v>
      </c>
      <c r="C15" s="2"/>
      <c r="D15" s="2"/>
      <c r="E15" s="2" t="s">
        <v>35</v>
      </c>
      <c r="F15" s="1"/>
    </row>
    <row r="16" spans="1:6" x14ac:dyDescent="0.3">
      <c r="A16" s="2">
        <v>10</v>
      </c>
      <c r="B16" s="7" t="s">
        <v>45</v>
      </c>
      <c r="C16" s="2"/>
      <c r="D16" s="2"/>
      <c r="E16" s="2" t="s">
        <v>35</v>
      </c>
      <c r="F16" s="1"/>
    </row>
    <row r="17" spans="1:6" ht="25.5" customHeight="1" x14ac:dyDescent="0.3">
      <c r="A17" s="2">
        <v>11</v>
      </c>
      <c r="B17" s="7" t="s">
        <v>46</v>
      </c>
      <c r="C17" s="2"/>
      <c r="D17" s="2"/>
      <c r="E17" s="2" t="s">
        <v>35</v>
      </c>
      <c r="F17" s="1"/>
    </row>
    <row r="18" spans="1:6" ht="28.95" customHeight="1" x14ac:dyDescent="0.3">
      <c r="A18" s="2">
        <v>12</v>
      </c>
      <c r="B18" s="7" t="s">
        <v>47</v>
      </c>
      <c r="C18" s="2"/>
      <c r="D18" s="2"/>
      <c r="E18" s="2" t="s">
        <v>35</v>
      </c>
      <c r="F18" s="1"/>
    </row>
    <row r="19" spans="1:6" ht="28.95" customHeight="1" x14ac:dyDescent="0.3">
      <c r="A19" s="2">
        <v>13</v>
      </c>
      <c r="B19" s="7" t="s">
        <v>48</v>
      </c>
      <c r="C19" s="2"/>
      <c r="D19" s="2"/>
      <c r="E19" s="2" t="s">
        <v>35</v>
      </c>
      <c r="F19" s="1"/>
    </row>
    <row r="20" spans="1:6" ht="25.5" customHeight="1" x14ac:dyDescent="0.3">
      <c r="A20" s="2">
        <v>14</v>
      </c>
      <c r="B20" s="7" t="s">
        <v>49</v>
      </c>
      <c r="C20" s="2"/>
      <c r="D20" s="2"/>
      <c r="E20" s="2" t="s">
        <v>35</v>
      </c>
      <c r="F20" s="1"/>
    </row>
    <row r="21" spans="1:6" x14ac:dyDescent="0.3">
      <c r="A21" s="2">
        <v>15</v>
      </c>
      <c r="B21" s="7" t="s">
        <v>50</v>
      </c>
      <c r="C21" s="2"/>
      <c r="D21" s="2"/>
      <c r="E21" s="2" t="s">
        <v>35</v>
      </c>
      <c r="F21" s="1"/>
    </row>
    <row r="22" spans="1:6" ht="25.5" customHeight="1" x14ac:dyDescent="0.3">
      <c r="A22" s="2">
        <v>16</v>
      </c>
      <c r="B22" s="7" t="s">
        <v>51</v>
      </c>
      <c r="C22" s="2" t="s">
        <v>35</v>
      </c>
      <c r="D22" s="2"/>
      <c r="E22" s="2"/>
      <c r="F22" s="1"/>
    </row>
    <row r="23" spans="1:6" ht="43.2" x14ac:dyDescent="0.3">
      <c r="A23" s="2">
        <v>17</v>
      </c>
      <c r="B23" s="7" t="s">
        <v>52</v>
      </c>
      <c r="C23" s="2"/>
      <c r="D23" s="2" t="s">
        <v>35</v>
      </c>
      <c r="E23" s="2"/>
      <c r="F23" s="31" t="s">
        <v>53</v>
      </c>
    </row>
    <row r="24" spans="1:6" ht="28.95" customHeight="1" x14ac:dyDescent="0.3">
      <c r="A24" s="2">
        <v>18</v>
      </c>
      <c r="B24" s="7" t="s">
        <v>54</v>
      </c>
      <c r="C24" s="2" t="s">
        <v>35</v>
      </c>
      <c r="D24" s="2"/>
      <c r="E24" s="2"/>
      <c r="F24" s="1"/>
    </row>
    <row r="25" spans="1:6" ht="38.25" customHeight="1" x14ac:dyDescent="0.3">
      <c r="A25" s="2">
        <v>19</v>
      </c>
      <c r="B25" s="7" t="s">
        <v>55</v>
      </c>
      <c r="C25" s="2" t="s">
        <v>35</v>
      </c>
      <c r="D25" s="1"/>
      <c r="E25" s="1"/>
      <c r="F25" s="1"/>
    </row>
    <row r="26" spans="1:6" ht="25.5" customHeight="1" x14ac:dyDescent="0.3">
      <c r="A26" s="2">
        <v>20</v>
      </c>
      <c r="B26" s="7" t="s">
        <v>56</v>
      </c>
      <c r="C26" s="2" t="s">
        <v>35</v>
      </c>
      <c r="D26" s="1"/>
      <c r="E26" s="1"/>
      <c r="F26" s="1"/>
    </row>
  </sheetData>
  <mergeCells count="4">
    <mergeCell ref="A5:A6"/>
    <mergeCell ref="C5:E5"/>
    <mergeCell ref="A4:F4"/>
    <mergeCell ref="F5:F6"/>
  </mergeCells>
  <pageMargins left="0.7" right="0.7" top="0.75" bottom="0.75" header="0.3" footer="0.3"/>
  <pageSetup paperSize="9" scale="91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26"/>
  <sheetViews>
    <sheetView showGridLines="0" zoomScale="70" zoomScaleNormal="70" workbookViewId="0"/>
  </sheetViews>
  <sheetFormatPr baseColWidth="10" defaultColWidth="11.44140625" defaultRowHeight="14.4" x14ac:dyDescent="0.3"/>
  <cols>
    <col min="2" max="2" width="49.33203125" customWidth="1"/>
    <col min="3" max="4" width="10.33203125" customWidth="1"/>
    <col min="5" max="5" width="13.88671875" customWidth="1"/>
    <col min="6" max="6" width="49.33203125" customWidth="1"/>
    <col min="11" max="11" width="23.109375" customWidth="1"/>
    <col min="12" max="12" width="22" customWidth="1"/>
    <col min="13" max="13" width="22.5546875" customWidth="1"/>
    <col min="14" max="14" width="6.109375" customWidth="1"/>
    <col min="15" max="15" width="8.33203125" customWidth="1"/>
    <col min="17" max="17" width="48" customWidth="1"/>
  </cols>
  <sheetData>
    <row r="1" spans="1:6" ht="15.75" customHeight="1" x14ac:dyDescent="0.3">
      <c r="E1" s="8" t="s">
        <v>24</v>
      </c>
      <c r="F1" s="4">
        <f>COUNTA(C7:C26)+COUNTA(D7:D26)+COUNTA(E7:E26)</f>
        <v>0</v>
      </c>
    </row>
    <row r="2" spans="1:6" ht="15.75" customHeight="1" x14ac:dyDescent="0.3">
      <c r="E2" s="8" t="s">
        <v>25</v>
      </c>
      <c r="F2" s="9" t="str">
        <f>IF(((IFERROR(COUNTA(C7:C26)+COUNTA(E7:E26)/F1,0)))=0,"",(COUNTA(C7:C26)+COUNTA(E7:E26))/F1)</f>
        <v/>
      </c>
    </row>
    <row r="4" spans="1:6" ht="18.75" customHeight="1" x14ac:dyDescent="0.35">
      <c r="A4" s="37" t="s">
        <v>26</v>
      </c>
      <c r="B4" s="38"/>
      <c r="C4" s="38"/>
      <c r="D4" s="38"/>
      <c r="E4" s="38"/>
      <c r="F4" s="38"/>
    </row>
    <row r="5" spans="1:6" ht="15.75" customHeight="1" x14ac:dyDescent="0.3">
      <c r="A5" s="32" t="s">
        <v>27</v>
      </c>
      <c r="B5" s="11" t="s">
        <v>28</v>
      </c>
      <c r="C5" s="34" t="s">
        <v>29</v>
      </c>
      <c r="D5" s="35"/>
      <c r="E5" s="36"/>
      <c r="F5" s="39" t="s">
        <v>18</v>
      </c>
    </row>
    <row r="6" spans="1:6" ht="15.6" customHeight="1" x14ac:dyDescent="0.3">
      <c r="A6" s="33"/>
      <c r="B6" s="11" t="s">
        <v>30</v>
      </c>
      <c r="C6" s="12" t="s">
        <v>31</v>
      </c>
      <c r="D6" s="12" t="s">
        <v>32</v>
      </c>
      <c r="E6" s="12" t="s">
        <v>33</v>
      </c>
      <c r="F6" s="33"/>
    </row>
    <row r="7" spans="1:6" ht="15.6" customHeight="1" x14ac:dyDescent="0.3">
      <c r="A7" s="2">
        <v>1</v>
      </c>
      <c r="B7" s="5" t="s">
        <v>34</v>
      </c>
      <c r="C7" s="2"/>
      <c r="D7" s="2"/>
      <c r="E7" s="2"/>
      <c r="F7" s="1"/>
    </row>
    <row r="8" spans="1:6" ht="13.2" customHeight="1" x14ac:dyDescent="0.3">
      <c r="A8" s="2">
        <v>2</v>
      </c>
      <c r="B8" s="6" t="s">
        <v>36</v>
      </c>
      <c r="C8" s="2"/>
      <c r="D8" s="2"/>
      <c r="E8" s="2"/>
      <c r="F8" s="10"/>
    </row>
    <row r="9" spans="1:6" ht="30.75" customHeight="1" x14ac:dyDescent="0.3">
      <c r="A9" s="2">
        <v>3</v>
      </c>
      <c r="B9" s="26" t="s">
        <v>37</v>
      </c>
      <c r="C9" s="2"/>
      <c r="D9" s="2"/>
      <c r="E9" s="2"/>
      <c r="F9" s="1"/>
    </row>
    <row r="10" spans="1:6" ht="14.4" customHeight="1" x14ac:dyDescent="0.3">
      <c r="A10" s="2">
        <v>4</v>
      </c>
      <c r="B10" s="25" t="s">
        <v>39</v>
      </c>
      <c r="C10" s="2"/>
      <c r="D10" s="2"/>
      <c r="E10" s="2"/>
      <c r="F10" s="1"/>
    </row>
    <row r="11" spans="1:6" ht="16.2" customHeight="1" x14ac:dyDescent="0.3">
      <c r="A11" s="2">
        <v>5</v>
      </c>
      <c r="B11" s="25" t="s">
        <v>40</v>
      </c>
      <c r="C11" s="2"/>
      <c r="D11" s="2"/>
      <c r="E11" s="2"/>
      <c r="F11" s="1"/>
    </row>
    <row r="12" spans="1:6" ht="14.4" customHeight="1" x14ac:dyDescent="0.3">
      <c r="A12" s="2">
        <v>6</v>
      </c>
      <c r="B12" s="6" t="s">
        <v>41</v>
      </c>
      <c r="C12" s="2"/>
      <c r="D12" s="2"/>
      <c r="E12" s="2"/>
      <c r="F12" s="1"/>
    </row>
    <row r="13" spans="1:6" ht="15" customHeight="1" x14ac:dyDescent="0.3">
      <c r="A13" s="2">
        <v>7</v>
      </c>
      <c r="B13" s="6" t="s">
        <v>42</v>
      </c>
      <c r="C13" s="2"/>
      <c r="D13" s="2"/>
      <c r="E13" s="2"/>
      <c r="F13" s="1"/>
    </row>
    <row r="14" spans="1:6" ht="29.4" customHeight="1" x14ac:dyDescent="0.3">
      <c r="A14" s="2">
        <v>8</v>
      </c>
      <c r="B14" s="7" t="s">
        <v>43</v>
      </c>
      <c r="C14" s="2"/>
      <c r="D14" s="2"/>
      <c r="E14" s="2"/>
      <c r="F14" s="1"/>
    </row>
    <row r="15" spans="1:6" ht="40.950000000000003" customHeight="1" x14ac:dyDescent="0.3">
      <c r="A15" s="2">
        <v>9</v>
      </c>
      <c r="B15" s="7" t="s">
        <v>44</v>
      </c>
      <c r="C15" s="2"/>
      <c r="D15" s="2"/>
      <c r="E15" s="2"/>
      <c r="F15" s="1"/>
    </row>
    <row r="16" spans="1:6" ht="13.95" customHeight="1" x14ac:dyDescent="0.3">
      <c r="A16" s="2">
        <v>10</v>
      </c>
      <c r="B16" s="7" t="s">
        <v>45</v>
      </c>
      <c r="C16" s="2"/>
      <c r="D16" s="2"/>
      <c r="E16" s="2"/>
      <c r="F16" s="1"/>
    </row>
    <row r="17" spans="1:6" ht="25.95" customHeight="1" x14ac:dyDescent="0.3">
      <c r="A17" s="2">
        <v>11</v>
      </c>
      <c r="B17" s="7" t="s">
        <v>46</v>
      </c>
      <c r="C17" s="2"/>
      <c r="D17" s="2"/>
      <c r="E17" s="2"/>
      <c r="F17" s="1"/>
    </row>
    <row r="18" spans="1:6" ht="25.5" customHeight="1" x14ac:dyDescent="0.3">
      <c r="A18" s="2">
        <v>12</v>
      </c>
      <c r="B18" s="7" t="s">
        <v>47</v>
      </c>
      <c r="C18" s="2"/>
      <c r="D18" s="2"/>
      <c r="E18" s="2"/>
      <c r="F18" s="1"/>
    </row>
    <row r="19" spans="1:6" ht="38.25" customHeight="1" x14ac:dyDescent="0.3">
      <c r="A19" s="2">
        <v>13</v>
      </c>
      <c r="B19" s="7" t="s">
        <v>48</v>
      </c>
      <c r="C19" s="2"/>
      <c r="D19" s="2"/>
      <c r="E19" s="2"/>
      <c r="F19" s="1"/>
    </row>
    <row r="20" spans="1:6" ht="28.95" customHeight="1" x14ac:dyDescent="0.3">
      <c r="A20" s="2">
        <v>14</v>
      </c>
      <c r="B20" s="7" t="s">
        <v>49</v>
      </c>
      <c r="C20" s="2"/>
      <c r="D20" s="2"/>
      <c r="E20" s="2"/>
      <c r="F20" s="1"/>
    </row>
    <row r="21" spans="1:6" ht="13.95" customHeight="1" x14ac:dyDescent="0.3">
      <c r="A21" s="2">
        <v>15</v>
      </c>
      <c r="B21" s="7" t="s">
        <v>50</v>
      </c>
      <c r="C21" s="2"/>
      <c r="D21" s="2"/>
      <c r="E21" s="2"/>
      <c r="F21" s="1"/>
    </row>
    <row r="22" spans="1:6" ht="25.5" customHeight="1" x14ac:dyDescent="0.3">
      <c r="A22" s="2">
        <v>16</v>
      </c>
      <c r="B22" s="7" t="s">
        <v>51</v>
      </c>
      <c r="C22" s="2"/>
      <c r="D22" s="2"/>
      <c r="E22" s="2"/>
      <c r="F22" s="1"/>
    </row>
    <row r="23" spans="1:6" ht="25.5" customHeight="1" x14ac:dyDescent="0.3">
      <c r="A23" s="2">
        <v>17</v>
      </c>
      <c r="B23" s="7" t="s">
        <v>52</v>
      </c>
      <c r="C23" s="2"/>
      <c r="D23" s="2"/>
      <c r="E23" s="2"/>
      <c r="F23" s="1"/>
    </row>
    <row r="24" spans="1:6" ht="38.25" customHeight="1" x14ac:dyDescent="0.3">
      <c r="A24" s="2">
        <v>18</v>
      </c>
      <c r="B24" s="7" t="s">
        <v>54</v>
      </c>
      <c r="C24" s="2"/>
      <c r="D24" s="2"/>
      <c r="E24" s="2"/>
      <c r="F24" s="1"/>
    </row>
    <row r="25" spans="1:6" ht="38.25" customHeight="1" x14ac:dyDescent="0.3">
      <c r="A25" s="2">
        <v>19</v>
      </c>
      <c r="B25" s="7" t="s">
        <v>55</v>
      </c>
      <c r="C25" s="2"/>
      <c r="D25" s="2"/>
      <c r="E25" s="2"/>
      <c r="F25" s="1"/>
    </row>
    <row r="26" spans="1:6" ht="25.5" customHeight="1" x14ac:dyDescent="0.3">
      <c r="A26" s="2">
        <v>20</v>
      </c>
      <c r="B26" s="7" t="s">
        <v>56</v>
      </c>
      <c r="C26" s="2"/>
      <c r="D26" s="2"/>
      <c r="E26" s="2"/>
      <c r="F26" s="1"/>
    </row>
  </sheetData>
  <mergeCells count="4">
    <mergeCell ref="A5:A6"/>
    <mergeCell ref="C5:E5"/>
    <mergeCell ref="A4:F4"/>
    <mergeCell ref="F5:F6"/>
  </mergeCells>
  <pageMargins left="0.7" right="0.7" top="0.75" bottom="0.75" header="0.3" footer="0.3"/>
  <pageSetup paperSize="9" scale="80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26"/>
  <sheetViews>
    <sheetView showGridLines="0" zoomScaleNormal="100" workbookViewId="0"/>
  </sheetViews>
  <sheetFormatPr baseColWidth="10" defaultColWidth="11.44140625" defaultRowHeight="14.4" x14ac:dyDescent="0.3"/>
  <cols>
    <col min="2" max="2" width="59.109375" customWidth="1"/>
    <col min="6" max="6" width="57.5546875" customWidth="1"/>
    <col min="11" max="11" width="18.88671875" customWidth="1"/>
    <col min="12" max="12" width="20.88671875" customWidth="1"/>
    <col min="13" max="13" width="16.88671875" customWidth="1"/>
    <col min="17" max="17" width="55.33203125" customWidth="1"/>
  </cols>
  <sheetData>
    <row r="1" spans="1:9" ht="15.75" customHeight="1" x14ac:dyDescent="0.3">
      <c r="E1" s="8" t="s">
        <v>24</v>
      </c>
      <c r="F1" s="4">
        <f>COUNTA(C7:C26)+COUNTA(D7:D26)+COUNTA(E7:E26)</f>
        <v>0</v>
      </c>
    </row>
    <row r="2" spans="1:9" ht="15.75" customHeight="1" x14ac:dyDescent="0.3">
      <c r="E2" s="8" t="s">
        <v>25</v>
      </c>
      <c r="F2" s="9" t="str">
        <f>IF(((IFERROR(COUNTA(C7:C26)+COUNTA(E7:E26)/F1,0)))=0,"",(COUNTA(C7:C26)+COUNTA(E7:E26))/F1)</f>
        <v/>
      </c>
    </row>
    <row r="4" spans="1:9" ht="18.75" customHeight="1" x14ac:dyDescent="0.35">
      <c r="A4" s="37" t="s">
        <v>26</v>
      </c>
      <c r="B4" s="38"/>
      <c r="C4" s="38"/>
      <c r="D4" s="38"/>
      <c r="E4" s="38"/>
      <c r="F4" s="38"/>
    </row>
    <row r="5" spans="1:9" ht="15.75" customHeight="1" x14ac:dyDescent="0.3">
      <c r="A5" s="32" t="s">
        <v>27</v>
      </c>
      <c r="B5" s="11" t="s">
        <v>28</v>
      </c>
      <c r="C5" s="34" t="s">
        <v>29</v>
      </c>
      <c r="D5" s="35"/>
      <c r="E5" s="36"/>
      <c r="F5" s="39" t="s">
        <v>18</v>
      </c>
    </row>
    <row r="6" spans="1:9" ht="15.75" customHeight="1" x14ac:dyDescent="0.3">
      <c r="A6" s="33"/>
      <c r="B6" s="11" t="s">
        <v>30</v>
      </c>
      <c r="C6" s="12" t="s">
        <v>31</v>
      </c>
      <c r="D6" s="12" t="s">
        <v>32</v>
      </c>
      <c r="E6" s="12" t="s">
        <v>33</v>
      </c>
      <c r="F6" s="33"/>
    </row>
    <row r="7" spans="1:9" ht="14.4" customHeight="1" x14ac:dyDescent="0.3">
      <c r="A7" s="2">
        <v>1</v>
      </c>
      <c r="B7" s="5" t="s">
        <v>34</v>
      </c>
      <c r="C7" s="20"/>
      <c r="D7" s="20"/>
      <c r="E7" s="20"/>
      <c r="F7" s="21"/>
      <c r="G7" s="22"/>
      <c r="H7" s="22"/>
      <c r="I7" s="22"/>
    </row>
    <row r="8" spans="1:9" ht="16.2" customHeight="1" x14ac:dyDescent="0.3">
      <c r="A8" s="2">
        <v>2</v>
      </c>
      <c r="B8" s="6" t="s">
        <v>36</v>
      </c>
      <c r="C8" s="20"/>
      <c r="D8" s="20"/>
      <c r="E8" s="20"/>
      <c r="F8" s="10"/>
      <c r="G8" s="22"/>
      <c r="H8" s="22"/>
      <c r="I8" s="22"/>
    </row>
    <row r="9" spans="1:9" ht="14.4" customHeight="1" x14ac:dyDescent="0.3">
      <c r="A9" s="2">
        <v>3</v>
      </c>
      <c r="B9" s="26" t="s">
        <v>37</v>
      </c>
      <c r="C9" s="20"/>
      <c r="D9" s="20"/>
      <c r="E9" s="20"/>
      <c r="F9" s="21"/>
      <c r="G9" s="22"/>
      <c r="H9" s="22"/>
      <c r="I9" s="22"/>
    </row>
    <row r="10" spans="1:9" ht="14.4" customHeight="1" x14ac:dyDescent="0.3">
      <c r="A10" s="2">
        <v>4</v>
      </c>
      <c r="B10" s="25" t="s">
        <v>39</v>
      </c>
      <c r="C10" s="20"/>
      <c r="D10" s="20"/>
      <c r="E10" s="20"/>
      <c r="F10" s="21"/>
      <c r="G10" s="22"/>
      <c r="H10" s="22"/>
      <c r="I10" s="22"/>
    </row>
    <row r="11" spans="1:9" ht="14.4" customHeight="1" x14ac:dyDescent="0.3">
      <c r="A11" s="2">
        <v>5</v>
      </c>
      <c r="B11" s="25" t="s">
        <v>40</v>
      </c>
      <c r="C11" s="20"/>
      <c r="D11" s="20"/>
      <c r="E11" s="20"/>
      <c r="F11" s="21"/>
      <c r="G11" s="22"/>
      <c r="H11" s="22"/>
      <c r="I11" s="22"/>
    </row>
    <row r="12" spans="1:9" ht="14.4" customHeight="1" x14ac:dyDescent="0.3">
      <c r="A12" s="2">
        <v>6</v>
      </c>
      <c r="B12" s="6" t="s">
        <v>41</v>
      </c>
      <c r="C12" s="20"/>
      <c r="D12" s="20"/>
      <c r="E12" s="20"/>
      <c r="F12" s="21"/>
      <c r="G12" s="22"/>
      <c r="H12" s="22"/>
      <c r="I12" s="22"/>
    </row>
    <row r="13" spans="1:9" ht="13.95" customHeight="1" x14ac:dyDescent="0.3">
      <c r="A13" s="2">
        <v>7</v>
      </c>
      <c r="B13" s="6" t="s">
        <v>42</v>
      </c>
      <c r="C13" s="20"/>
      <c r="D13" s="20"/>
      <c r="E13" s="20"/>
      <c r="F13" s="21"/>
      <c r="G13" s="22"/>
      <c r="H13" s="22"/>
      <c r="I13" s="22"/>
    </row>
    <row r="14" spans="1:9" ht="15" customHeight="1" x14ac:dyDescent="0.3">
      <c r="A14" s="2">
        <v>8</v>
      </c>
      <c r="B14" s="7" t="s">
        <v>43</v>
      </c>
      <c r="C14" s="20"/>
      <c r="D14" s="20"/>
      <c r="E14" s="20"/>
      <c r="F14" s="21"/>
      <c r="G14" s="22"/>
      <c r="H14" s="22"/>
      <c r="I14" s="22"/>
    </row>
    <row r="15" spans="1:9" ht="27.6" customHeight="1" x14ac:dyDescent="0.3">
      <c r="A15" s="2">
        <v>9</v>
      </c>
      <c r="B15" s="7" t="s">
        <v>44</v>
      </c>
      <c r="C15" s="20"/>
      <c r="D15" s="20"/>
      <c r="E15" s="20"/>
      <c r="F15" s="21"/>
      <c r="G15" s="22"/>
      <c r="H15" s="22"/>
      <c r="I15" s="22"/>
    </row>
    <row r="16" spans="1:9" x14ac:dyDescent="0.3">
      <c r="A16" s="2">
        <v>10</v>
      </c>
      <c r="B16" s="7" t="s">
        <v>45</v>
      </c>
      <c r="C16" s="20"/>
      <c r="D16" s="20"/>
      <c r="E16" s="20"/>
      <c r="F16" s="21"/>
    </row>
    <row r="17" spans="1:6" ht="25.5" customHeight="1" x14ac:dyDescent="0.3">
      <c r="A17" s="2">
        <v>11</v>
      </c>
      <c r="B17" s="7" t="s">
        <v>46</v>
      </c>
      <c r="C17" s="20"/>
      <c r="D17" s="20"/>
      <c r="E17" s="20"/>
      <c r="F17" s="21"/>
    </row>
    <row r="18" spans="1:6" ht="25.5" customHeight="1" x14ac:dyDescent="0.3">
      <c r="A18" s="2">
        <v>12</v>
      </c>
      <c r="B18" s="7" t="s">
        <v>47</v>
      </c>
      <c r="C18" s="20"/>
      <c r="D18" s="20"/>
      <c r="E18" s="20"/>
      <c r="F18" s="21"/>
    </row>
    <row r="19" spans="1:6" ht="25.5" customHeight="1" x14ac:dyDescent="0.3">
      <c r="A19" s="2">
        <v>13</v>
      </c>
      <c r="B19" s="7" t="s">
        <v>48</v>
      </c>
      <c r="C19" s="20"/>
      <c r="D19" s="20"/>
      <c r="E19" s="20"/>
      <c r="F19" s="21"/>
    </row>
    <row r="20" spans="1:6" ht="25.5" customHeight="1" x14ac:dyDescent="0.3">
      <c r="A20" s="2">
        <v>14</v>
      </c>
      <c r="B20" s="7" t="s">
        <v>49</v>
      </c>
      <c r="C20" s="20"/>
      <c r="D20" s="20"/>
      <c r="E20" s="20"/>
      <c r="F20" s="21"/>
    </row>
    <row r="21" spans="1:6" x14ac:dyDescent="0.3">
      <c r="A21" s="2">
        <v>15</v>
      </c>
      <c r="B21" s="7" t="s">
        <v>50</v>
      </c>
      <c r="C21" s="20"/>
      <c r="D21" s="20"/>
      <c r="E21" s="20"/>
      <c r="F21" s="21"/>
    </row>
    <row r="22" spans="1:6" x14ac:dyDescent="0.3">
      <c r="A22" s="2">
        <v>16</v>
      </c>
      <c r="B22" s="7" t="s">
        <v>51</v>
      </c>
      <c r="C22" s="20"/>
      <c r="D22" s="20"/>
      <c r="E22" s="20"/>
      <c r="F22" s="21"/>
    </row>
    <row r="23" spans="1:6" ht="25.5" customHeight="1" x14ac:dyDescent="0.3">
      <c r="A23" s="2">
        <v>17</v>
      </c>
      <c r="B23" s="7" t="s">
        <v>52</v>
      </c>
      <c r="C23" s="20"/>
      <c r="D23" s="20"/>
      <c r="E23" s="20"/>
      <c r="F23" s="21"/>
    </row>
    <row r="24" spans="1:6" ht="25.5" customHeight="1" x14ac:dyDescent="0.3">
      <c r="A24" s="2">
        <v>18</v>
      </c>
      <c r="B24" s="7" t="s">
        <v>54</v>
      </c>
      <c r="C24" s="20"/>
      <c r="D24" s="20"/>
      <c r="E24" s="20"/>
      <c r="F24" s="21"/>
    </row>
    <row r="25" spans="1:6" ht="25.5" customHeight="1" x14ac:dyDescent="0.3">
      <c r="A25" s="2">
        <v>19</v>
      </c>
      <c r="B25" s="7" t="s">
        <v>55</v>
      </c>
      <c r="C25" s="20"/>
      <c r="D25" s="20"/>
      <c r="E25" s="20"/>
      <c r="F25" s="21"/>
    </row>
    <row r="26" spans="1:6" ht="25.5" customHeight="1" x14ac:dyDescent="0.3">
      <c r="A26" s="2">
        <v>20</v>
      </c>
      <c r="B26" s="7" t="s">
        <v>56</v>
      </c>
      <c r="C26" s="20"/>
      <c r="D26" s="20"/>
      <c r="E26" s="20"/>
      <c r="F26" s="21"/>
    </row>
  </sheetData>
  <mergeCells count="4">
    <mergeCell ref="A5:A6"/>
    <mergeCell ref="C5:E5"/>
    <mergeCell ref="A4:F4"/>
    <mergeCell ref="F5:F6"/>
  </mergeCells>
  <pageMargins left="0.7" right="0.7" top="0.75" bottom="0.75" header="0.3" footer="0.3"/>
  <pageSetup paperSize="9" scale="81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Información del documento</vt:lpstr>
      <vt:lpstr>1.-Resumen</vt:lpstr>
      <vt:lpstr>2.-Auditoría 1</vt:lpstr>
      <vt:lpstr>3.-Auditoría 2</vt:lpstr>
      <vt:lpstr>4.-Auditoría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Quintero N.</dc:creator>
  <cp:lastModifiedBy>Carlos Quintero</cp:lastModifiedBy>
  <cp:lastPrinted>2024-07-10T22:01:59Z</cp:lastPrinted>
  <dcterms:created xsi:type="dcterms:W3CDTF">2019-09-25T18:39:09Z</dcterms:created>
  <dcterms:modified xsi:type="dcterms:W3CDTF">2026-09-30T20:13:45Z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  <property fmtid="{D5CDD505-2E9C-101B-9397-08002B2CF9AE}" pid="4" name="Email">
    <vt:lpwstr>carlos.quintero@4js.com</vt:lpwstr>
  </property>
</Properties>
</file>