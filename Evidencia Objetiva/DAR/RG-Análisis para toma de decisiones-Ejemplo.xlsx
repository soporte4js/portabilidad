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Evidencia Objetiva\DAR\"/>
    </mc:Choice>
  </mc:AlternateContent>
  <xr:revisionPtr revIDLastSave="0" documentId="13_ncr:1_{47716D95-2947-46E2-942D-3FAD655F815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istorial de versiones" sheetId="1" r:id="rId1"/>
    <sheet name="1.-Análisis de decisión" sheetId="2" r:id="rId2"/>
    <sheet name="Registro de decision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G33" i="2"/>
  <c r="E33" i="2"/>
  <c r="I32" i="2"/>
  <c r="G32" i="2"/>
  <c r="E32" i="2"/>
  <c r="I31" i="2"/>
  <c r="H34" i="2" s="1"/>
  <c r="G31" i="2"/>
  <c r="E31" i="2"/>
  <c r="I30" i="2"/>
  <c r="G30" i="2"/>
  <c r="E30" i="2"/>
  <c r="I29" i="2"/>
  <c r="G29" i="2"/>
  <c r="E29" i="2"/>
  <c r="F34" i="2" l="1"/>
  <c r="D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Alatorre</author>
  </authors>
  <commentList>
    <comment ref="E4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Estos son ejemplos con la intención de demostrar que no tiene que ser solo una opción, siempre y cuando se cumpla con el método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Lopez</author>
  </authors>
  <commentList>
    <comment ref="C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Nombre del proyecto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<sst xmlns="http://schemas.openxmlformats.org/spreadsheetml/2006/main" count="119" uniqueCount="91">
  <si>
    <t>Logo de la empresa</t>
  </si>
  <si>
    <t>Participantes</t>
  </si>
  <si>
    <t>Registro de Decisión</t>
  </si>
  <si>
    <t>Participantes de la Decisión</t>
  </si>
  <si>
    <t>Puesto</t>
  </si>
  <si>
    <t>Rol</t>
  </si>
  <si>
    <t>ID:</t>
  </si>
  <si>
    <t>SW_ARQ_2</t>
  </si>
  <si>
    <t>Carlos Quintero Nava</t>
  </si>
  <si>
    <t>Líder de proyecto</t>
  </si>
  <si>
    <t>Líder de decisión</t>
  </si>
  <si>
    <t>Objetivo:</t>
  </si>
  <si>
    <t>Oscar Vera G.</t>
  </si>
  <si>
    <t xml:space="preserve">Gerente de proyectos </t>
  </si>
  <si>
    <t>Aprobador</t>
  </si>
  <si>
    <t>Analista</t>
  </si>
  <si>
    <t>Fase / Temática:</t>
  </si>
  <si>
    <t xml:space="preserve"> Requisitos</t>
  </si>
  <si>
    <t>Fecha inicio:</t>
  </si>
  <si>
    <t>Codificador</t>
  </si>
  <si>
    <t>Desarrollador</t>
  </si>
  <si>
    <t>Nivel:</t>
  </si>
  <si>
    <t>Proyecto</t>
  </si>
  <si>
    <t>Fecha fin:</t>
  </si>
  <si>
    <t>Tester</t>
  </si>
  <si>
    <t>Criterios de Decisión</t>
  </si>
  <si>
    <t>Importancia (peso)</t>
  </si>
  <si>
    <t>Criterio (Ordenados en nivel de importancia)</t>
  </si>
  <si>
    <t>Escala / Rango</t>
  </si>
  <si>
    <t>Valoración</t>
  </si>
  <si>
    <t>Precio</t>
  </si>
  <si>
    <t>1 a 10</t>
  </si>
  <si>
    <t>1 alto costo, 10 bajo costo</t>
  </si>
  <si>
    <t>Nivel de riesgo</t>
  </si>
  <si>
    <t xml:space="preserve">1 a 5 </t>
  </si>
  <si>
    <t>1 alto, 5 bajo</t>
  </si>
  <si>
    <t>Facilidad de uso</t>
  </si>
  <si>
    <t>1 compleja, 5 fácil</t>
  </si>
  <si>
    <t>Velocidad de respuesta</t>
  </si>
  <si>
    <t>1 lenta, 5 rápida</t>
  </si>
  <si>
    <t>Cantidad de controles</t>
  </si>
  <si>
    <t>1 escasa, 5 abundante</t>
  </si>
  <si>
    <t>Resultado de análisis</t>
  </si>
  <si>
    <t>Evaluación de alternativas</t>
  </si>
  <si>
    <t xml:space="preserve">Criterios </t>
  </si>
  <si>
    <t>Importancia (factor)</t>
  </si>
  <si>
    <t>GilHub</t>
  </si>
  <si>
    <t>Jalato</t>
  </si>
  <si>
    <t>Goocode</t>
  </si>
  <si>
    <t>Escala/ Rango</t>
  </si>
  <si>
    <t>Total</t>
  </si>
  <si>
    <t>Solución elegida</t>
  </si>
  <si>
    <t>Justificación</t>
  </si>
  <si>
    <t>Método de evaluación</t>
  </si>
  <si>
    <t>Criterio</t>
  </si>
  <si>
    <t>Método</t>
  </si>
  <si>
    <t>Resultados de evaluación</t>
  </si>
  <si>
    <t xml:space="preserve">Comparación </t>
  </si>
  <si>
    <t>Opinión de un experto</t>
  </si>
  <si>
    <t>www.gilhub.com/Especificaciones_de_uso
Videoconferencia de presentación de software
www.gilhub.com/Especificaciones_de_uso</t>
  </si>
  <si>
    <t>Pruebas</t>
  </si>
  <si>
    <t>www.gilhub.com/www.gilhub.com/Especificaciones_de_uso/exhibición_de_pruebas
Videoconferencia de presentación de software
Demo gratuito</t>
  </si>
  <si>
    <t>Este documento tiene un alcance a nivel Proyecto</t>
  </si>
  <si>
    <t>Historial de versiones</t>
  </si>
  <si>
    <t>Fecha</t>
  </si>
  <si>
    <t>Versión</t>
  </si>
  <si>
    <t>Descripción</t>
  </si>
  <si>
    <t>Autor</t>
  </si>
  <si>
    <t>Versión 1.0</t>
  </si>
  <si>
    <t>Creación del documento</t>
  </si>
  <si>
    <t>Carlos Quintero N.</t>
  </si>
  <si>
    <t>Registro de decisiones</t>
  </si>
  <si>
    <t>Nro.</t>
  </si>
  <si>
    <t>Nivel</t>
  </si>
  <si>
    <t>Área</t>
  </si>
  <si>
    <t>Nombre de decisión</t>
  </si>
  <si>
    <t>Proyecto / Organizacional / Servicio</t>
  </si>
  <si>
    <t>&lt;Nombre del proyecto, en caso de que el nivel sea organizacional&gt;</t>
  </si>
  <si>
    <t>&lt;Área o departamento involucrada&gt;</t>
  </si>
  <si>
    <t>&lt;Nombre y apellido&gt;</t>
  </si>
  <si>
    <t>&lt;Leyenda identificatoria del asunto sobre el que se decide&gt;</t>
  </si>
  <si>
    <t>&lt;Descripción del asunto sobre el que se va a decidir&gt;</t>
  </si>
  <si>
    <t>n</t>
  </si>
  <si>
    <t>Separar en otro Doc.</t>
  </si>
  <si>
    <t>La alternativa elegida fue GitHub</t>
  </si>
  <si>
    <t>La mejor alternativa según el puntaje obtenido fue "GitHub" (67 puntos, frente a 63 de Jalato y 54 de Goocode), por lo que fue la opción elegida.</t>
  </si>
  <si>
    <t>La elección fue por "GitHub" por tener el mayor puntaje (67 puntos).</t>
  </si>
  <si>
    <t>www.gilhub.com/precios
Cotización por parte de Jalato
www.goocode.com/precios</t>
  </si>
  <si>
    <t>Cambiar programa para versionamiento de software</t>
  </si>
  <si>
    <t>En una escala de 1 a 100 
Gilhub 15
Jalato 40
goocode 45</t>
  </si>
  <si>
    <t>Rodolfo Hernández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</si>
</sst>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0"/>
      <name val="Times New Roman"/>
      <family val="1"/>
    </font>
    <font>
      <sz val="10"/>
      <name val="Times New Roman"/>
      <family val="1"/>
    </font>
    <font>
      <b/>
      <sz val="14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21" xfId="0" applyBorder="1"/>
    <xf numFmtId="0" fontId="4" fillId="0" borderId="23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0" fillId="5" borderId="0" xfId="0" applyFill="1"/>
    <xf numFmtId="0" fontId="11" fillId="0" borderId="1" xfId="0" applyFont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9" fillId="11" borderId="24" xfId="0" applyFont="1" applyFill="1" applyBorder="1"/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14" fontId="14" fillId="2" borderId="1" xfId="0" applyNumberFormat="1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/>
    <xf numFmtId="0" fontId="14" fillId="2" borderId="1" xfId="0" applyFont="1" applyFill="1" applyBorder="1" applyAlignment="1">
      <alignment horizontal="left" vertical="center" wrapText="1"/>
    </xf>
    <xf numFmtId="14" fontId="20" fillId="0" borderId="11" xfId="0" applyNumberFormat="1" applyFont="1" applyBorder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0" fillId="0" borderId="4" xfId="0" applyBorder="1"/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/>
    <xf numFmtId="0" fontId="19" fillId="0" borderId="1" xfId="0" applyFont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0" fillId="0" borderId="0" xfId="0"/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9" borderId="0" xfId="0" applyFill="1" applyAlignment="1">
      <alignment horizontal="center" vertical="top"/>
    </xf>
    <xf numFmtId="0" fontId="14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9" fillId="11" borderId="25" xfId="0" applyFont="1" applyFill="1" applyBorder="1" applyAlignment="1">
      <alignment horizontal="center" vertical="center"/>
    </xf>
    <xf numFmtId="0" fontId="0" fillId="0" borderId="25" xfId="0" applyBorder="1"/>
    <xf numFmtId="0" fontId="16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center" vertical="top" wrapText="1"/>
    </xf>
    <xf numFmtId="0" fontId="0" fillId="0" borderId="3" xfId="0" applyBorder="1"/>
    <xf numFmtId="0" fontId="0" fillId="0" borderId="2" xfId="0" applyBorder="1"/>
    <xf numFmtId="0" fontId="15" fillId="10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4" xfId="0" applyBorder="1"/>
    <xf numFmtId="0" fontId="0" fillId="0" borderId="30" xfId="0" applyBorder="1"/>
    <xf numFmtId="0" fontId="13" fillId="11" borderId="1" xfId="0" applyFont="1" applyFill="1" applyBorder="1" applyAlignment="1">
      <alignment horizontal="center" vertical="top" wrapText="1"/>
    </xf>
    <xf numFmtId="0" fontId="17" fillId="4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2" fillId="0" borderId="27" xfId="0" applyFont="1" applyBorder="1" applyAlignment="1">
      <alignment horizontal="center" vertical="center" wrapText="1"/>
    </xf>
    <xf numFmtId="0" fontId="0" fillId="0" borderId="20" xfId="0" applyBorder="1"/>
    <xf numFmtId="0" fontId="0" fillId="0" borderId="22" xfId="0" applyBorder="1"/>
    <xf numFmtId="0" fontId="0" fillId="0" borderId="11" xfId="0" applyBorder="1"/>
    <xf numFmtId="0" fontId="0" fillId="0" borderId="26" xfId="0" applyBorder="1" applyAlignment="1">
      <alignment horizontal="center"/>
    </xf>
    <xf numFmtId="0" fontId="0" fillId="0" borderId="26" xfId="0" applyBorder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gilhub.com/www.gilhub.com/Especificaciones_de_uso/exhibici&#243;n_de_pruebasVideoconferencia%20de%20presentaci&#243;n%20de%20softwareDemo%20gratuito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workbookViewId="0">
      <selection activeCell="A3" sqref="A3:B4"/>
    </sheetView>
  </sheetViews>
  <sheetFormatPr baseColWidth="10" defaultColWidth="11.44140625" defaultRowHeight="14.4" x14ac:dyDescent="0.3"/>
  <cols>
    <col min="1" max="1" width="20.33203125" customWidth="1"/>
    <col min="2" max="2" width="25.33203125" customWidth="1"/>
    <col min="3" max="3" width="53.109375" customWidth="1"/>
    <col min="4" max="4" width="20" customWidth="1"/>
  </cols>
  <sheetData>
    <row r="1" spans="1:4" x14ac:dyDescent="0.3">
      <c r="A1" s="85" t="e" vm="1">
        <v>#VALUE!</v>
      </c>
      <c r="B1" s="86"/>
      <c r="C1" s="1"/>
    </row>
    <row r="2" spans="1:4" ht="38.1" customHeight="1" thickBot="1" x14ac:dyDescent="0.35">
      <c r="A2" s="87"/>
      <c r="B2" s="88"/>
      <c r="C2" s="1"/>
    </row>
    <row r="3" spans="1:4" x14ac:dyDescent="0.3">
      <c r="A3" s="89" t="s">
        <v>62</v>
      </c>
      <c r="B3" s="90"/>
    </row>
    <row r="4" spans="1:4" x14ac:dyDescent="0.3">
      <c r="A4" s="51"/>
      <c r="B4" s="51"/>
    </row>
    <row r="6" spans="1:4" ht="18" customHeight="1" x14ac:dyDescent="0.35">
      <c r="A6" s="91" t="s">
        <v>63</v>
      </c>
      <c r="B6" s="51"/>
      <c r="C6" s="51"/>
      <c r="D6" s="51"/>
    </row>
    <row r="7" spans="1:4" ht="15" customHeight="1" thickBot="1" x14ac:dyDescent="0.35"/>
    <row r="8" spans="1:4" ht="18.600000000000001" customHeight="1" thickBot="1" x14ac:dyDescent="0.35">
      <c r="A8" s="24" t="s">
        <v>64</v>
      </c>
      <c r="B8" s="25" t="s">
        <v>65</v>
      </c>
      <c r="C8" s="25" t="s">
        <v>66</v>
      </c>
      <c r="D8" s="25" t="s">
        <v>67</v>
      </c>
    </row>
    <row r="9" spans="1:4" ht="33" customHeight="1" thickBot="1" x14ac:dyDescent="0.35">
      <c r="A9" s="41">
        <v>46230</v>
      </c>
      <c r="B9" s="42" t="s">
        <v>68</v>
      </c>
      <c r="C9" s="43" t="s">
        <v>69</v>
      </c>
      <c r="D9" s="43" t="s">
        <v>70</v>
      </c>
    </row>
    <row r="10" spans="1:4" ht="31.95" customHeight="1" thickBot="1" x14ac:dyDescent="0.35">
      <c r="A10" s="2"/>
      <c r="B10" s="3"/>
      <c r="C10" s="4"/>
      <c r="D10" s="5"/>
    </row>
    <row r="11" spans="1:4" ht="33" customHeight="1" thickBot="1" x14ac:dyDescent="0.35">
      <c r="A11" s="2"/>
      <c r="B11" s="3"/>
      <c r="C11" s="4"/>
      <c r="D11" s="5"/>
    </row>
    <row r="24" ht="13.95" customHeight="1" x14ac:dyDescent="0.3"/>
    <row r="25" ht="13.95" customHeight="1" x14ac:dyDescent="0.3"/>
  </sheetData>
  <mergeCells count="3">
    <mergeCell ref="A1:B2"/>
    <mergeCell ref="A3:B4"/>
    <mergeCell ref="A6:D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tabSelected="1" zoomScale="90" zoomScaleNormal="90" workbookViewId="0">
      <selection activeCell="A5" sqref="A5"/>
    </sheetView>
  </sheetViews>
  <sheetFormatPr baseColWidth="10" defaultColWidth="11.44140625" defaultRowHeight="14.4" x14ac:dyDescent="0.3"/>
  <cols>
    <col min="1" max="1" width="13.6640625" customWidth="1"/>
    <col min="2" max="2" width="3.5546875" customWidth="1"/>
    <col min="3" max="3" width="16.44140625" customWidth="1"/>
    <col min="5" max="5" width="13.109375" customWidth="1"/>
    <col min="10" max="10" width="15" customWidth="1"/>
    <col min="12" max="12" width="15.6640625" customWidth="1"/>
    <col min="20" max="20" width="14.88671875" customWidth="1"/>
    <col min="21" max="21" width="25.33203125" customWidth="1"/>
  </cols>
  <sheetData>
    <row r="1" spans="1:21" x14ac:dyDescent="0.3">
      <c r="A1" s="77" t="e" vm="1">
        <v>#VALUE!</v>
      </c>
      <c r="B1" s="51"/>
      <c r="C1" s="51"/>
    </row>
    <row r="2" spans="1:21" x14ac:dyDescent="0.3">
      <c r="A2" s="51"/>
      <c r="B2" s="51"/>
      <c r="C2" s="51"/>
      <c r="S2" s="56"/>
      <c r="T2" s="51"/>
      <c r="U2" s="51"/>
    </row>
    <row r="3" spans="1:21" x14ac:dyDescent="0.3">
      <c r="A3" s="51"/>
      <c r="B3" s="51"/>
      <c r="C3" s="51"/>
      <c r="S3" s="51"/>
      <c r="T3" s="51"/>
      <c r="U3" s="51"/>
    </row>
    <row r="4" spans="1:21" x14ac:dyDescent="0.3">
      <c r="A4" s="51"/>
      <c r="B4" s="51"/>
      <c r="C4" s="51"/>
      <c r="S4" s="51"/>
      <c r="T4" s="51"/>
      <c r="U4" s="51"/>
    </row>
    <row r="5" spans="1:21" ht="6" customHeight="1" x14ac:dyDescent="0.3">
      <c r="S5" s="51"/>
      <c r="T5" s="51"/>
      <c r="U5" s="51"/>
    </row>
    <row r="6" spans="1:21" ht="22.2" customHeight="1" x14ac:dyDescent="0.45">
      <c r="G6" s="84" t="s">
        <v>1</v>
      </c>
      <c r="H6" s="48"/>
      <c r="I6" s="48"/>
      <c r="J6" s="48"/>
      <c r="K6" s="48"/>
      <c r="L6" s="45"/>
      <c r="S6" s="51"/>
      <c r="T6" s="51"/>
      <c r="U6" s="51"/>
    </row>
    <row r="7" spans="1:21" ht="18" customHeight="1" x14ac:dyDescent="0.3">
      <c r="A7" s="62" t="s">
        <v>2</v>
      </c>
      <c r="B7" s="48"/>
      <c r="C7" s="48"/>
      <c r="D7" s="48"/>
      <c r="E7" s="45"/>
      <c r="G7" s="52" t="s">
        <v>3</v>
      </c>
      <c r="H7" s="48"/>
      <c r="I7" s="45"/>
      <c r="J7" s="52" t="s">
        <v>4</v>
      </c>
      <c r="K7" s="45"/>
      <c r="L7" s="28" t="s">
        <v>5</v>
      </c>
      <c r="S7" s="51"/>
      <c r="T7" s="51"/>
      <c r="U7" s="51"/>
    </row>
    <row r="8" spans="1:21" ht="31.2" customHeight="1" x14ac:dyDescent="0.3">
      <c r="A8" s="67" t="s">
        <v>6</v>
      </c>
      <c r="B8" s="45"/>
      <c r="C8" s="63" t="s">
        <v>7</v>
      </c>
      <c r="D8" s="48"/>
      <c r="E8" s="45"/>
      <c r="G8" s="54" t="s">
        <v>8</v>
      </c>
      <c r="H8" s="48"/>
      <c r="I8" s="45"/>
      <c r="J8" s="57" t="s">
        <v>9</v>
      </c>
      <c r="K8" s="45"/>
      <c r="L8" s="31" t="s">
        <v>10</v>
      </c>
    </row>
    <row r="9" spans="1:21" ht="24" customHeight="1" x14ac:dyDescent="0.3">
      <c r="A9" s="67" t="s">
        <v>11</v>
      </c>
      <c r="B9" s="66"/>
      <c r="C9" s="63" t="s">
        <v>88</v>
      </c>
      <c r="D9" s="65"/>
      <c r="E9" s="66"/>
      <c r="G9" s="54" t="s">
        <v>12</v>
      </c>
      <c r="H9" s="48"/>
      <c r="I9" s="45"/>
      <c r="J9" s="57" t="s">
        <v>13</v>
      </c>
      <c r="K9" s="45"/>
      <c r="L9" s="31" t="s">
        <v>14</v>
      </c>
    </row>
    <row r="10" spans="1:21" ht="14.4" customHeight="1" x14ac:dyDescent="0.3">
      <c r="A10" s="74"/>
      <c r="B10" s="75"/>
      <c r="C10" s="74"/>
      <c r="D10" s="79"/>
      <c r="E10" s="75"/>
      <c r="G10" s="54" t="s">
        <v>8</v>
      </c>
      <c r="H10" s="48"/>
      <c r="I10" s="45"/>
      <c r="J10" s="57" t="s">
        <v>15</v>
      </c>
      <c r="K10" s="45"/>
      <c r="L10" s="31" t="s">
        <v>15</v>
      </c>
    </row>
    <row r="11" spans="1:21" x14ac:dyDescent="0.3">
      <c r="A11" s="67" t="s">
        <v>16</v>
      </c>
      <c r="B11" s="45"/>
      <c r="C11" s="32" t="s">
        <v>17</v>
      </c>
      <c r="D11" s="33" t="s">
        <v>18</v>
      </c>
      <c r="E11" s="34">
        <v>46023</v>
      </c>
      <c r="G11" s="54" t="s">
        <v>8</v>
      </c>
      <c r="H11" s="48"/>
      <c r="I11" s="45"/>
      <c r="J11" s="57" t="s">
        <v>19</v>
      </c>
      <c r="K11" s="45"/>
      <c r="L11" s="31" t="s">
        <v>20</v>
      </c>
    </row>
    <row r="12" spans="1:21" ht="15" customHeight="1" x14ac:dyDescent="0.3">
      <c r="A12" s="69" t="s">
        <v>21</v>
      </c>
      <c r="B12" s="45"/>
      <c r="C12" s="40" t="s">
        <v>22</v>
      </c>
      <c r="D12" s="33" t="s">
        <v>23</v>
      </c>
      <c r="E12" s="34">
        <v>46023</v>
      </c>
      <c r="G12" s="54" t="s">
        <v>90</v>
      </c>
      <c r="H12" s="48"/>
      <c r="I12" s="45"/>
      <c r="J12" s="57" t="s">
        <v>24</v>
      </c>
      <c r="K12" s="45"/>
      <c r="L12" s="31" t="s">
        <v>24</v>
      </c>
    </row>
    <row r="14" spans="1:21" ht="16.2" customHeight="1" x14ac:dyDescent="0.3"/>
    <row r="15" spans="1:21" ht="18.600000000000001" customHeight="1" x14ac:dyDescent="0.3">
      <c r="A15" s="81" t="s">
        <v>25</v>
      </c>
      <c r="B15" s="48"/>
      <c r="C15" s="48"/>
      <c r="D15" s="48"/>
      <c r="E15" s="48"/>
      <c r="F15" s="45"/>
    </row>
    <row r="16" spans="1:21" ht="33.6" customHeight="1" x14ac:dyDescent="0.3">
      <c r="A16" s="35" t="s">
        <v>26</v>
      </c>
      <c r="B16" s="71" t="s">
        <v>27</v>
      </c>
      <c r="C16" s="45"/>
      <c r="D16" s="35" t="s">
        <v>28</v>
      </c>
      <c r="E16" s="52" t="s">
        <v>29</v>
      </c>
      <c r="F16" s="45"/>
    </row>
    <row r="17" spans="1:9" ht="14.4" customHeight="1" x14ac:dyDescent="0.3">
      <c r="A17" s="36">
        <v>5</v>
      </c>
      <c r="B17" s="68" t="s">
        <v>30</v>
      </c>
      <c r="C17" s="45"/>
      <c r="D17" s="37" t="s">
        <v>31</v>
      </c>
      <c r="E17" s="49" t="s">
        <v>32</v>
      </c>
      <c r="F17" s="45"/>
    </row>
    <row r="18" spans="1:9" x14ac:dyDescent="0.3">
      <c r="A18" s="36">
        <v>4</v>
      </c>
      <c r="B18" s="59" t="s">
        <v>33</v>
      </c>
      <c r="C18" s="45"/>
      <c r="D18" s="37" t="s">
        <v>34</v>
      </c>
      <c r="E18" s="49" t="s">
        <v>35</v>
      </c>
      <c r="F18" s="45"/>
    </row>
    <row r="19" spans="1:9" x14ac:dyDescent="0.3">
      <c r="A19" s="36">
        <v>3</v>
      </c>
      <c r="B19" s="59" t="s">
        <v>36</v>
      </c>
      <c r="C19" s="45"/>
      <c r="D19" s="37" t="s">
        <v>34</v>
      </c>
      <c r="E19" s="49" t="s">
        <v>37</v>
      </c>
      <c r="F19" s="45"/>
    </row>
    <row r="20" spans="1:9" x14ac:dyDescent="0.3">
      <c r="A20" s="36">
        <v>2</v>
      </c>
      <c r="B20" s="59" t="s">
        <v>38</v>
      </c>
      <c r="C20" s="45"/>
      <c r="D20" s="37" t="s">
        <v>34</v>
      </c>
      <c r="E20" s="49" t="s">
        <v>39</v>
      </c>
      <c r="F20" s="45"/>
    </row>
    <row r="21" spans="1:9" x14ac:dyDescent="0.3">
      <c r="A21" s="36">
        <v>1</v>
      </c>
      <c r="B21" s="59" t="s">
        <v>40</v>
      </c>
      <c r="C21" s="45"/>
      <c r="D21" s="37" t="s">
        <v>34</v>
      </c>
      <c r="E21" s="49" t="s">
        <v>41</v>
      </c>
      <c r="F21" s="45"/>
    </row>
    <row r="22" spans="1:9" ht="30" customHeight="1" x14ac:dyDescent="0.3">
      <c r="A22" s="82" t="s">
        <v>42</v>
      </c>
      <c r="B22" s="45"/>
      <c r="C22" s="58" t="s">
        <v>84</v>
      </c>
      <c r="D22" s="48"/>
      <c r="E22" s="48"/>
      <c r="F22" s="45"/>
    </row>
    <row r="23" spans="1:9" ht="23.25" customHeight="1" x14ac:dyDescent="0.3"/>
    <row r="24" spans="1:9" ht="18.75" customHeight="1" x14ac:dyDescent="0.3"/>
    <row r="25" spans="1:9" ht="3.75" customHeight="1" x14ac:dyDescent="0.3"/>
    <row r="26" spans="1:9" x14ac:dyDescent="0.3">
      <c r="A26" s="73" t="s">
        <v>43</v>
      </c>
      <c r="B26" s="51"/>
      <c r="C26" s="51"/>
      <c r="D26" s="51"/>
      <c r="E26" s="51"/>
      <c r="F26" s="51"/>
      <c r="G26" s="51"/>
      <c r="H26" s="51"/>
      <c r="I26" s="51"/>
    </row>
    <row r="27" spans="1:9" x14ac:dyDescent="0.3">
      <c r="A27" s="60" t="s">
        <v>44</v>
      </c>
      <c r="B27" s="61"/>
      <c r="C27" s="53" t="s">
        <v>45</v>
      </c>
      <c r="D27" s="53" t="s">
        <v>46</v>
      </c>
      <c r="E27" s="45"/>
      <c r="F27" s="53" t="s">
        <v>47</v>
      </c>
      <c r="G27" s="45"/>
      <c r="H27" s="53" t="s">
        <v>48</v>
      </c>
      <c r="I27" s="45"/>
    </row>
    <row r="28" spans="1:9" ht="28.8" customHeight="1" x14ac:dyDescent="0.3">
      <c r="A28" s="51"/>
      <c r="B28" s="61"/>
      <c r="C28" s="78"/>
      <c r="D28" s="38" t="s">
        <v>49</v>
      </c>
      <c r="E28" s="29" t="s">
        <v>50</v>
      </c>
      <c r="F28" s="38" t="s">
        <v>49</v>
      </c>
      <c r="G28" s="29" t="s">
        <v>50</v>
      </c>
      <c r="H28" s="38" t="s">
        <v>49</v>
      </c>
      <c r="I28" s="29" t="s">
        <v>50</v>
      </c>
    </row>
    <row r="29" spans="1:9" ht="20.100000000000001" customHeight="1" x14ac:dyDescent="0.3">
      <c r="A29" s="46" t="s">
        <v>30</v>
      </c>
      <c r="B29" s="45"/>
      <c r="C29" s="31">
        <v>5</v>
      </c>
      <c r="D29" s="23">
        <v>5</v>
      </c>
      <c r="E29" s="26">
        <f>C29*D29</f>
        <v>25</v>
      </c>
      <c r="F29" s="27">
        <v>5</v>
      </c>
      <c r="G29" s="26">
        <f>C29*F29</f>
        <v>25</v>
      </c>
      <c r="H29" s="23">
        <v>4</v>
      </c>
      <c r="I29" s="26">
        <f>C29*H29</f>
        <v>20</v>
      </c>
    </row>
    <row r="30" spans="1:9" ht="25.2" customHeight="1" x14ac:dyDescent="0.3">
      <c r="A30" s="46" t="s">
        <v>33</v>
      </c>
      <c r="B30" s="45"/>
      <c r="C30" s="31">
        <v>4</v>
      </c>
      <c r="D30" s="23">
        <v>3</v>
      </c>
      <c r="E30" s="26">
        <f>C30*D30</f>
        <v>12</v>
      </c>
      <c r="F30" s="23">
        <v>5</v>
      </c>
      <c r="G30" s="26">
        <f>C30*F30</f>
        <v>20</v>
      </c>
      <c r="H30" s="23">
        <v>4</v>
      </c>
      <c r="I30" s="26">
        <f>C30*H30</f>
        <v>16</v>
      </c>
    </row>
    <row r="31" spans="1:9" ht="28.2" customHeight="1" x14ac:dyDescent="0.3">
      <c r="A31" s="46" t="s">
        <v>36</v>
      </c>
      <c r="B31" s="45"/>
      <c r="C31" s="31">
        <v>3</v>
      </c>
      <c r="D31" s="23">
        <v>5</v>
      </c>
      <c r="E31" s="26">
        <f>C31*D31</f>
        <v>15</v>
      </c>
      <c r="F31" s="23">
        <v>3</v>
      </c>
      <c r="G31" s="26">
        <f>C31*F31</f>
        <v>9</v>
      </c>
      <c r="H31" s="23">
        <v>2</v>
      </c>
      <c r="I31" s="26">
        <f>C31*H31</f>
        <v>6</v>
      </c>
    </row>
    <row r="32" spans="1:9" ht="31.95" customHeight="1" x14ac:dyDescent="0.3">
      <c r="A32" s="46" t="s">
        <v>38</v>
      </c>
      <c r="B32" s="45"/>
      <c r="C32" s="31">
        <v>2</v>
      </c>
      <c r="D32" s="23">
        <v>5</v>
      </c>
      <c r="E32" s="26">
        <f>C32*D32</f>
        <v>10</v>
      </c>
      <c r="F32" s="23">
        <v>3</v>
      </c>
      <c r="G32" s="26">
        <f>C32*F32</f>
        <v>6</v>
      </c>
      <c r="H32" s="23">
        <v>5</v>
      </c>
      <c r="I32" s="26">
        <f>C32*H32</f>
        <v>10</v>
      </c>
    </row>
    <row r="33" spans="1:12" ht="29.1" customHeight="1" x14ac:dyDescent="0.3">
      <c r="A33" s="46" t="s">
        <v>40</v>
      </c>
      <c r="B33" s="45"/>
      <c r="C33" s="31">
        <v>1</v>
      </c>
      <c r="D33" s="23">
        <v>5</v>
      </c>
      <c r="E33" s="26">
        <f>C33*D33</f>
        <v>5</v>
      </c>
      <c r="F33" s="23">
        <v>3</v>
      </c>
      <c r="G33" s="26">
        <f>C33*F33</f>
        <v>3</v>
      </c>
      <c r="H33" s="23">
        <v>2</v>
      </c>
      <c r="I33" s="26">
        <f>C33*H33</f>
        <v>2</v>
      </c>
    </row>
    <row r="34" spans="1:12" ht="21" customHeight="1" x14ac:dyDescent="0.3">
      <c r="A34" s="80" t="s">
        <v>50</v>
      </c>
      <c r="B34" s="48"/>
      <c r="C34" s="45"/>
      <c r="D34" s="72">
        <f>SUM(E29:E33)</f>
        <v>67</v>
      </c>
      <c r="E34" s="45"/>
      <c r="F34" s="72">
        <f>SUM(G29:G33)</f>
        <v>63</v>
      </c>
      <c r="G34" s="45"/>
      <c r="H34" s="72">
        <f>SUM(I29:I33)</f>
        <v>54</v>
      </c>
      <c r="I34" s="45"/>
    </row>
    <row r="36" spans="1:12" ht="28.8" customHeight="1" x14ac:dyDescent="0.3">
      <c r="A36" s="30" t="s">
        <v>51</v>
      </c>
      <c r="B36" s="70" t="s">
        <v>86</v>
      </c>
      <c r="C36" s="48"/>
      <c r="D36" s="48"/>
      <c r="E36" s="48"/>
      <c r="F36" s="48"/>
      <c r="G36" s="48"/>
      <c r="H36" s="45"/>
      <c r="L36" s="39"/>
    </row>
    <row r="37" spans="1:12" ht="27.75" customHeight="1" x14ac:dyDescent="0.3">
      <c r="A37" s="30" t="s">
        <v>52</v>
      </c>
      <c r="B37" s="70" t="s">
        <v>85</v>
      </c>
      <c r="C37" s="48"/>
      <c r="D37" s="48"/>
      <c r="E37" s="48"/>
      <c r="F37" s="48"/>
      <c r="G37" s="48"/>
      <c r="H37" s="45"/>
    </row>
    <row r="38" spans="1:12" ht="29.4" customHeight="1" x14ac:dyDescent="0.3"/>
    <row r="39" spans="1:12" ht="29.4" customHeight="1" x14ac:dyDescent="0.3"/>
    <row r="40" spans="1:12" ht="18" customHeight="1" x14ac:dyDescent="0.35">
      <c r="A40" s="83" t="s">
        <v>53</v>
      </c>
      <c r="B40" s="48"/>
      <c r="C40" s="48"/>
      <c r="D40" s="48"/>
      <c r="E40" s="48"/>
      <c r="F40" s="48"/>
      <c r="G40" s="48"/>
      <c r="H40" s="48"/>
      <c r="I40" s="48"/>
      <c r="J40" s="45"/>
    </row>
    <row r="41" spans="1:12" x14ac:dyDescent="0.3">
      <c r="A41" s="50" t="s">
        <v>54</v>
      </c>
      <c r="B41" s="45"/>
      <c r="C41" s="50" t="s">
        <v>55</v>
      </c>
      <c r="D41" s="45"/>
      <c r="E41" s="50" t="s">
        <v>56</v>
      </c>
      <c r="F41" s="48"/>
      <c r="G41" s="48"/>
      <c r="H41" s="48"/>
      <c r="I41" s="48"/>
      <c r="J41" s="45"/>
    </row>
    <row r="42" spans="1:12" ht="45" customHeight="1" x14ac:dyDescent="0.3">
      <c r="A42" s="47" t="s">
        <v>30</v>
      </c>
      <c r="B42" s="45"/>
      <c r="C42" s="47" t="s">
        <v>57</v>
      </c>
      <c r="D42" s="45"/>
      <c r="E42" s="55" t="s">
        <v>87</v>
      </c>
      <c r="F42" s="48"/>
      <c r="G42" s="48"/>
      <c r="H42" s="48"/>
      <c r="I42" s="48"/>
      <c r="J42" s="45"/>
    </row>
    <row r="43" spans="1:12" ht="63.75" customHeight="1" x14ac:dyDescent="0.3">
      <c r="A43" s="44" t="s">
        <v>33</v>
      </c>
      <c r="B43" s="45"/>
      <c r="C43" s="47" t="s">
        <v>58</v>
      </c>
      <c r="D43" s="45"/>
      <c r="E43" s="47" t="s">
        <v>89</v>
      </c>
      <c r="F43" s="48"/>
      <c r="G43" s="48"/>
      <c r="H43" s="48"/>
      <c r="I43" s="48"/>
      <c r="J43" s="45"/>
    </row>
    <row r="44" spans="1:12" ht="48.75" customHeight="1" x14ac:dyDescent="0.3">
      <c r="A44" s="44" t="s">
        <v>36</v>
      </c>
      <c r="B44" s="45"/>
      <c r="C44" s="47" t="s">
        <v>57</v>
      </c>
      <c r="D44" s="45"/>
      <c r="E44" s="47" t="s">
        <v>59</v>
      </c>
      <c r="F44" s="48"/>
      <c r="G44" s="48"/>
      <c r="H44" s="48"/>
      <c r="I44" s="48"/>
      <c r="J44" s="45"/>
    </row>
    <row r="45" spans="1:12" ht="65.25" customHeight="1" x14ac:dyDescent="0.3">
      <c r="A45" s="44" t="s">
        <v>38</v>
      </c>
      <c r="B45" s="45"/>
      <c r="C45" s="47" t="s">
        <v>58</v>
      </c>
      <c r="D45" s="45"/>
      <c r="E45" s="64" t="s">
        <v>89</v>
      </c>
      <c r="F45" s="65"/>
      <c r="G45" s="65"/>
      <c r="H45" s="65"/>
      <c r="I45" s="65"/>
      <c r="J45" s="66"/>
    </row>
    <row r="46" spans="1:12" ht="61.5" customHeight="1" x14ac:dyDescent="0.3">
      <c r="A46" s="44" t="s">
        <v>40</v>
      </c>
      <c r="B46" s="45"/>
      <c r="C46" s="47" t="s">
        <v>60</v>
      </c>
      <c r="D46" s="45"/>
      <c r="E46" s="76" t="s">
        <v>61</v>
      </c>
      <c r="F46" s="48"/>
      <c r="G46" s="48"/>
      <c r="H46" s="48"/>
      <c r="I46" s="48"/>
      <c r="J46" s="45"/>
    </row>
  </sheetData>
  <mergeCells count="78">
    <mergeCell ref="E46:J46"/>
    <mergeCell ref="A41:B41"/>
    <mergeCell ref="C41:D41"/>
    <mergeCell ref="A1:C4"/>
    <mergeCell ref="C43:D43"/>
    <mergeCell ref="A33:B33"/>
    <mergeCell ref="C27:C28"/>
    <mergeCell ref="A42:B42"/>
    <mergeCell ref="G9:I9"/>
    <mergeCell ref="C9:E10"/>
    <mergeCell ref="A34:C34"/>
    <mergeCell ref="A15:F15"/>
    <mergeCell ref="A22:B22"/>
    <mergeCell ref="A45:B45"/>
    <mergeCell ref="C45:D45"/>
    <mergeCell ref="A40:J40"/>
    <mergeCell ref="S3:U3"/>
    <mergeCell ref="B37:H37"/>
    <mergeCell ref="A30:B30"/>
    <mergeCell ref="B16:C16"/>
    <mergeCell ref="D34:E34"/>
    <mergeCell ref="A11:B11"/>
    <mergeCell ref="F34:G34"/>
    <mergeCell ref="B18:C18"/>
    <mergeCell ref="A26:I26"/>
    <mergeCell ref="H34:I34"/>
    <mergeCell ref="B36:H36"/>
    <mergeCell ref="A9:B10"/>
    <mergeCell ref="A29:B29"/>
    <mergeCell ref="G6:L6"/>
    <mergeCell ref="J10:K10"/>
    <mergeCell ref="J9:K9"/>
    <mergeCell ref="E45:J45"/>
    <mergeCell ref="A46:B46"/>
    <mergeCell ref="J11:K11"/>
    <mergeCell ref="A8:B8"/>
    <mergeCell ref="J12:K12"/>
    <mergeCell ref="E16:F16"/>
    <mergeCell ref="G8:I8"/>
    <mergeCell ref="E18:F18"/>
    <mergeCell ref="C44:D44"/>
    <mergeCell ref="B17:C17"/>
    <mergeCell ref="A12:B12"/>
    <mergeCell ref="C46:D46"/>
    <mergeCell ref="B19:C19"/>
    <mergeCell ref="A32:B32"/>
    <mergeCell ref="A43:B43"/>
    <mergeCell ref="C42:D42"/>
    <mergeCell ref="S2:U2"/>
    <mergeCell ref="G10:I10"/>
    <mergeCell ref="E20:F20"/>
    <mergeCell ref="D27:E27"/>
    <mergeCell ref="J8:K8"/>
    <mergeCell ref="S4:U4"/>
    <mergeCell ref="G12:I12"/>
    <mergeCell ref="C22:F22"/>
    <mergeCell ref="B20:C20"/>
    <mergeCell ref="G7:I7"/>
    <mergeCell ref="A27:B28"/>
    <mergeCell ref="S7:U7"/>
    <mergeCell ref="E17:F17"/>
    <mergeCell ref="A7:E7"/>
    <mergeCell ref="E19:F19"/>
    <mergeCell ref="C8:E8"/>
    <mergeCell ref="S5:U5"/>
    <mergeCell ref="J7:K7"/>
    <mergeCell ref="E43:J43"/>
    <mergeCell ref="F27:G27"/>
    <mergeCell ref="H27:I27"/>
    <mergeCell ref="G11:I11"/>
    <mergeCell ref="E42:J42"/>
    <mergeCell ref="S6:U6"/>
    <mergeCell ref="A44:B44"/>
    <mergeCell ref="A31:B31"/>
    <mergeCell ref="E44:J44"/>
    <mergeCell ref="E21:F21"/>
    <mergeCell ref="E41:J41"/>
    <mergeCell ref="B21:C21"/>
  </mergeCells>
  <hyperlinks>
    <hyperlink ref="E46" r:id="rId1" xr:uid="{00000000-0004-0000-0100-000000000000}"/>
  </hyperlinks>
  <pageMargins left="0.7" right="0.7" top="0.75" bottom="0.75" header="0.3" footer="0.3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G11" sqref="A1:G11"/>
    </sheetView>
  </sheetViews>
  <sheetFormatPr baseColWidth="10" defaultColWidth="11.44140625" defaultRowHeight="14.4" x14ac:dyDescent="0.3"/>
  <cols>
    <col min="1" max="1" width="8.109375" customWidth="1"/>
    <col min="2" max="2" width="32.109375" customWidth="1"/>
    <col min="3" max="3" width="23" customWidth="1"/>
    <col min="4" max="4" width="22" customWidth="1"/>
    <col min="5" max="5" width="25.6640625" customWidth="1"/>
    <col min="6" max="6" width="23.109375" customWidth="1"/>
    <col min="7" max="7" width="26.5546875" customWidth="1"/>
  </cols>
  <sheetData>
    <row r="1" spans="1:7" x14ac:dyDescent="0.3">
      <c r="A1" s="92" t="s">
        <v>0</v>
      </c>
      <c r="B1" s="66"/>
    </row>
    <row r="2" spans="1:7" x14ac:dyDescent="0.3">
      <c r="A2" s="74"/>
      <c r="B2" s="75"/>
    </row>
    <row r="4" spans="1:7" ht="18" customHeight="1" x14ac:dyDescent="0.3">
      <c r="A4" s="93" t="s">
        <v>71</v>
      </c>
      <c r="B4" s="48"/>
      <c r="C4" s="48"/>
      <c r="D4" s="48"/>
      <c r="E4" s="48"/>
      <c r="F4" s="48"/>
      <c r="G4" s="45"/>
    </row>
    <row r="5" spans="1:7" ht="18" customHeight="1" thickBot="1" x14ac:dyDescent="0.35">
      <c r="A5" s="6" t="s">
        <v>72</v>
      </c>
      <c r="B5" s="7" t="s">
        <v>73</v>
      </c>
      <c r="C5" s="7" t="s">
        <v>22</v>
      </c>
      <c r="D5" s="20" t="s">
        <v>74</v>
      </c>
      <c r="E5" s="8" t="s">
        <v>14</v>
      </c>
      <c r="F5" s="21" t="s">
        <v>75</v>
      </c>
      <c r="G5" s="9" t="s">
        <v>66</v>
      </c>
    </row>
    <row r="6" spans="1:7" ht="40.200000000000003" customHeight="1" thickBot="1" x14ac:dyDescent="0.35">
      <c r="A6" s="10">
        <v>1</v>
      </c>
      <c r="B6" s="11" t="s">
        <v>76</v>
      </c>
      <c r="C6" s="12" t="s">
        <v>77</v>
      </c>
      <c r="D6" s="12" t="s">
        <v>78</v>
      </c>
      <c r="E6" s="13" t="s">
        <v>79</v>
      </c>
      <c r="F6" s="13" t="s">
        <v>80</v>
      </c>
      <c r="G6" s="14" t="s">
        <v>81</v>
      </c>
    </row>
    <row r="7" spans="1:7" ht="15" customHeight="1" thickBot="1" x14ac:dyDescent="0.35">
      <c r="A7" s="15">
        <v>2</v>
      </c>
      <c r="B7" s="16"/>
      <c r="C7" s="12"/>
      <c r="D7" s="12"/>
      <c r="E7" s="13"/>
      <c r="F7" s="13"/>
      <c r="G7" s="14"/>
    </row>
    <row r="8" spans="1:7" ht="15" customHeight="1" thickBot="1" x14ac:dyDescent="0.35">
      <c r="A8" s="15">
        <v>3</v>
      </c>
      <c r="B8" s="16"/>
      <c r="C8" s="12"/>
      <c r="D8" s="12"/>
      <c r="E8" s="13"/>
      <c r="F8" s="13"/>
      <c r="G8" s="14"/>
    </row>
    <row r="9" spans="1:7" ht="15" customHeight="1" thickBot="1" x14ac:dyDescent="0.35">
      <c r="A9" s="17">
        <v>4</v>
      </c>
      <c r="B9" s="16"/>
      <c r="C9" s="12"/>
      <c r="D9" s="12"/>
      <c r="E9" s="13"/>
      <c r="F9" s="13"/>
      <c r="G9" s="14"/>
    </row>
    <row r="10" spans="1:7" ht="15" customHeight="1" thickBot="1" x14ac:dyDescent="0.35">
      <c r="A10" s="18">
        <v>5</v>
      </c>
      <c r="B10" s="16"/>
      <c r="C10" s="12"/>
      <c r="D10" s="12"/>
      <c r="E10" s="13"/>
      <c r="F10" s="13"/>
      <c r="G10" s="14"/>
    </row>
    <row r="11" spans="1:7" ht="15" customHeight="1" thickBot="1" x14ac:dyDescent="0.35">
      <c r="A11" s="19" t="s">
        <v>82</v>
      </c>
      <c r="B11" s="16"/>
      <c r="C11" s="12"/>
      <c r="D11" s="12"/>
      <c r="E11" s="13"/>
      <c r="F11" s="13"/>
      <c r="G11" s="14"/>
    </row>
    <row r="16" spans="1:7" x14ac:dyDescent="0.3">
      <c r="D16" s="22" t="s">
        <v>83</v>
      </c>
    </row>
  </sheetData>
  <mergeCells count="2">
    <mergeCell ref="A1:B2"/>
    <mergeCell ref="A4:G4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Historial de versiones</vt:lpstr>
      <vt:lpstr>1.-Análisis de decisión</vt:lpstr>
      <vt:lpstr>Registro de 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2023-01-17T15:27:47Z</dcterms:created>
  <dcterms:modified xsi:type="dcterms:W3CDTF">2026-10-03T21:14:18Z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