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6C3CAEAF-D319-4806-A073-7DE5F63A1A26}" xr6:coauthVersionLast="47" xr6:coauthVersionMax="47" xr10:uidLastSave="{00000000-0000-0000-0000-000000000000}"/>
  <bookViews>
    <workbookView xWindow="-108" yWindow="-108" windowWidth="23256" windowHeight="13896" tabRatio="604" firstSheet="1" activeTab="1" xr2:uid="{00000000-000D-0000-FFFF-FFFF00000000}"/>
  </bookViews>
  <sheets>
    <sheet name="Información del documento" sheetId="1" r:id="rId1"/>
    <sheet name="1.-Riesgos" sheetId="2" r:id="rId2"/>
    <sheet name="1.2.-Matriz de aceptabilidad" sheetId="3" r:id="rId3"/>
    <sheet name="2.-Oportunidades" sheetId="4" r:id="rId4"/>
    <sheet name="2.2.-Parámetros" sheetId="5" r:id="rId5"/>
    <sheet name="Listas" sheetId="6" state="hidden" r:id="rId6"/>
  </sheets>
  <definedNames>
    <definedName name="Estado">Listas!$D$15:$D$18</definedName>
    <definedName name="Estrategia">Listas!$B$15:$B$16</definedName>
    <definedName name="Prioridad">Listas!$B$21:$B$23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4" l="1"/>
  <c r="I3" i="4"/>
  <c r="G8" i="3"/>
  <c r="G6" i="3" s="1"/>
  <c r="F8" i="3"/>
  <c r="F6" i="3" s="1"/>
  <c r="E8" i="3"/>
  <c r="E6" i="3" s="1"/>
  <c r="G7" i="3"/>
  <c r="F7" i="3"/>
  <c r="E7" i="3"/>
  <c r="D7" i="3"/>
  <c r="D6" i="3"/>
  <c r="D5" i="3"/>
  <c r="G9" i="3" s="1"/>
  <c r="E5" i="3" l="1"/>
  <c r="F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Tania Lopez</author>
    <author>Documentación Innevo</author>
  </authors>
  <commentList>
    <comment ref="A2" authorId="0" shapeId="0" xr:uid="{00000000-0006-0000-0100-000001000000}">
      <text>
        <r>
          <rPr>
            <sz val="11"/>
            <color theme="1"/>
            <rFont val="Calibri"/>
            <family val="2"/>
            <scheme val="minor"/>
          </rPr>
          <t>Identificador del riesgo</t>
        </r>
      </text>
    </comment>
    <comment ref="B2" authorId="1" shapeId="0" xr:uid="{00000000-0006-0000-0100-000002000000}">
      <text>
        <r>
          <rPr>
            <sz val="11"/>
            <color theme="1"/>
            <rFont val="Calibri"/>
            <family val="2"/>
            <scheme val="minor"/>
          </rPr>
          <t xml:space="preserve">Fecha en que se identificó el riesgo.
</t>
        </r>
      </text>
    </comment>
    <comment ref="C2" authorId="0" shapeId="0" xr:uid="{00000000-0006-0000-0100-000003000000}">
      <text>
        <r>
          <rPr>
            <sz val="11"/>
            <color theme="1"/>
            <rFont val="Calibri"/>
            <family val="2"/>
            <scheme val="minor"/>
          </rPr>
          <t>Elegir una opción.</t>
        </r>
      </text>
    </comment>
    <comment ref="D2" authorId="0" shapeId="0" xr:uid="{00000000-0006-0000-0100-000004000000}">
      <text>
        <r>
          <rPr>
            <sz val="11"/>
            <color theme="1"/>
            <rFont val="Calibri"/>
            <family val="2"/>
            <scheme val="minor"/>
          </rPr>
          <t>Elige una opción.</t>
        </r>
      </text>
    </comment>
    <comment ref="E2" authorId="0" shapeId="0" xr:uid="{00000000-0006-0000-0100-000005000000}">
      <text>
        <r>
          <rPr>
            <sz val="11"/>
            <color theme="1"/>
            <rFont val="Calibri"/>
            <family val="2"/>
            <scheme val="minor"/>
          </rPr>
          <t xml:space="preserve">De acuerdo con la categoría seleccionada se desplegarán las opciones de las subcategorías elegir una opción.
</t>
        </r>
      </text>
    </comment>
    <comment ref="G2" authorId="0" shapeId="0" xr:uid="{00000000-0006-0000-0100-000006000000}">
      <text>
        <r>
          <rPr>
            <sz val="11"/>
            <color theme="1"/>
            <rFont val="Calibri"/>
            <family val="2"/>
            <scheme val="minor"/>
          </rPr>
          <t>Descripción de las condiciones actuales que pueden ocasionar la pérdida.
La redacción de la condición se registrar de la siguiente forma: Si (cierta condición se presenta).
Puede incluir el contexto del riesgo, si lo desea puede agregar una columna para agregarlo.</t>
        </r>
      </text>
    </comment>
    <comment ref="H2" authorId="0" shapeId="0" xr:uid="{00000000-0006-0000-0100-000007000000}">
      <text>
        <r>
          <rPr>
            <sz val="11"/>
            <color theme="1"/>
            <rFont val="Calibri"/>
            <family val="2"/>
            <scheme val="minor"/>
          </rPr>
          <t>Descripción de la pérdida.
Se deben registrar todas las consecuencias.
La redacción de las consecuencias se debe registrar de la siguiente forma: Entonces (se proyecta este resultado).</t>
        </r>
      </text>
    </comment>
    <comment ref="I2" authorId="0" shapeId="0" xr:uid="{00000000-0006-0000-0100-000008000000}">
      <text>
        <r>
          <rPr>
            <sz val="11"/>
            <color theme="1"/>
            <rFont val="Calibri"/>
            <family val="2"/>
            <scheme val="minor"/>
          </rPr>
          <t>Probabilidad de ocurrencia. Poner el valor de la probabilidad de acuerdo con los parámetros establecidos.</t>
        </r>
      </text>
    </comment>
    <comment ref="J2" authorId="0" shapeId="0" xr:uid="{00000000-0006-0000-0100-000009000000}">
      <text>
        <r>
          <rPr>
            <sz val="11"/>
            <color theme="1"/>
            <rFont val="Calibri"/>
            <family val="2"/>
            <scheme val="minor"/>
          </rPr>
          <t xml:space="preserve">Costo de las consecuencias.
Poner el valor de la probabilidad de acuerdo con los parámetros establecidos.
</t>
        </r>
      </text>
    </comment>
    <comment ref="K2" authorId="0" shapeId="0" xr:uid="{00000000-0006-0000-0100-00000A000000}">
      <text>
        <r>
          <rPr>
            <sz val="11"/>
            <color theme="1"/>
            <rFont val="Calibri"/>
            <family val="2"/>
            <scheme val="minor"/>
          </rPr>
          <t xml:space="preserve">Se calcula (Prioridad*impacto)
</t>
        </r>
      </text>
    </comment>
    <comment ref="L2" authorId="0" shapeId="0" xr:uid="{00000000-0006-0000-0100-00000B000000}">
      <text>
        <r>
          <rPr>
            <sz val="11"/>
            <color theme="1"/>
            <rFont val="Calibri"/>
            <family val="2"/>
            <scheme val="minor"/>
          </rPr>
          <t>Determina el nivel aceptable de exposición al riesgo.
Se calcula usando la siguiente fórmula:
(fr/400)100. el valor es %.</t>
        </r>
      </text>
    </comment>
    <comment ref="M2" authorId="2" shapeId="0" xr:uid="{00000000-0006-0000-0100-00000C000000}">
      <text>
        <r>
          <rPr>
            <sz val="11"/>
            <color theme="1"/>
            <rFont val="Calibri"/>
            <family val="2"/>
            <scheme val="minor"/>
          </rPr>
          <t>Los valores se toman de la hoja "matriz de aceptabilidad" en la columna "Máximo"</t>
        </r>
      </text>
    </comment>
    <comment ref="N2" authorId="0" shapeId="0" xr:uid="{00000000-0006-0000-0100-00000D000000}">
      <text>
        <r>
          <rPr>
            <sz val="11"/>
            <color theme="1"/>
            <rFont val="Calibri"/>
            <family val="2"/>
            <scheme val="minor"/>
          </rPr>
          <t xml:space="preserve">Elegir una opción.
Transferir: se transfiere el riesgo a otras organizaciones mejor preparadas para enfrentarlo. Por ejemplo, un proveedor.
Reducir: reducir el impacto o la probabilidad, o ambas si se puede. Se tiene que generar un plan de mitigación y contingencia.
Aceptar: no se hacen actividades para mitigarlo. Se monitorea para evaluar que no cambie la probabilidad o el impacto. Se genera plan de contingencia.
Anular: elaborar un plan con las acciones para eliminar las causas que las provoca el riesgo. Se elabora plan de anulación y no se genera plan de contingencia.
</t>
        </r>
      </text>
    </comment>
    <comment ref="O2" authorId="0" shapeId="0" xr:uid="{00000000-0006-0000-0100-00000E000000}">
      <text>
        <r>
          <rPr>
            <sz val="11"/>
            <color theme="1"/>
            <rFont val="Calibri"/>
            <family val="2"/>
            <scheme val="minor"/>
          </rPr>
          <t>Establecer el tiempo estimado en que es probable que se presente el riesgo o la fase del proyecto en que se pueda presentar.</t>
        </r>
      </text>
    </comment>
    <comment ref="P2" authorId="0" shapeId="0" xr:uid="{00000000-0006-0000-0100-00000F000000}">
      <text>
        <r>
          <rPr>
            <sz val="11"/>
            <color theme="1"/>
            <rFont val="Calibri"/>
            <family val="2"/>
            <scheme val="minor"/>
          </rPr>
          <t>Registrar el ID de los riesgos relacionados. En caso de que no existan riesgos relacionados registrar N/A.</t>
        </r>
      </text>
    </comment>
    <comment ref="Q2" authorId="0" shapeId="0" xr:uid="{00000000-0006-0000-0100-000010000000}">
      <text>
        <r>
          <rPr>
            <sz val="11"/>
            <color theme="1"/>
            <rFont val="Calibri"/>
            <family val="2"/>
            <scheme val="minor"/>
          </rPr>
          <t>Un párrafo o dos que describa la estrategia del equipo para administrar el riesgo, en donde se incluyan las suposiciones consideradas.
En el caso de que la acción sea anular el riesgo se registra las actividades que se van a realizar para eliminar el riesgo, es decir, resolver las causas que provocan el riesgo.</t>
        </r>
      </text>
    </comment>
    <comment ref="R2" authorId="0" shapeId="0" xr:uid="{00000000-0006-0000-0100-000011000000}">
      <text>
        <r>
          <rPr>
            <sz val="11"/>
            <color theme="1"/>
            <rFont val="Calibri"/>
            <family val="2"/>
            <scheme val="minor"/>
          </rPr>
          <t>Una lista de las acciones que se realizará para administrar el riesgo. Estás acciones pueden estar en un documento por aparte o dentro del cronograma del proyecto, si es el caso poner el nombre del documento.</t>
        </r>
      </text>
    </comment>
    <comment ref="S2" authorId="0" shapeId="0" xr:uid="{00000000-0006-0000-0100-000012000000}">
      <text>
        <r>
          <rPr>
            <sz val="11"/>
            <color theme="1"/>
            <rFont val="Calibri"/>
            <family val="2"/>
            <scheme val="minor"/>
          </rPr>
          <t>Registrar las fechas de entrega de cada una de las acciones a realizar, si se encuentra dentro de otro documento o el cronograma del proyecto, registrar el nombre del documento.</t>
        </r>
      </text>
    </comment>
    <comment ref="T2" authorId="0" shapeId="0" xr:uid="{00000000-0006-0000-0100-000013000000}">
      <text>
        <r>
          <rPr>
            <sz val="11"/>
            <color theme="1"/>
            <rFont val="Calibri"/>
            <family val="2"/>
            <scheme val="minor"/>
          </rPr>
          <t>Las unidades de medición para determinar si funcionan las acciones planeadas para la administración del riesgo.</t>
        </r>
      </text>
    </comment>
    <comment ref="U2" authorId="0" shapeId="0" xr:uid="{00000000-0006-0000-0100-000014000000}">
      <text>
        <r>
          <rPr>
            <sz val="11"/>
            <color theme="1"/>
            <rFont val="Calibri"/>
            <family val="2"/>
            <scheme val="minor"/>
          </rPr>
          <t>Registrar el nombre y apellido del o  las personas asignadas para ejecutar cada acción.</t>
        </r>
      </text>
    </comment>
    <comment ref="V2" authorId="0" shapeId="0" xr:uid="{00000000-0006-0000-0100-000015000000}">
      <text>
        <r>
          <rPr>
            <sz val="11"/>
            <color theme="1"/>
            <rFont val="Calibri"/>
            <family val="2"/>
            <scheme val="minor"/>
          </rPr>
          <t>Un párrafo o dos que describa la estrategia del equipo en caso de que no funcionen las acciones planificadas para administrar el riesgo. El equipo ejecutaría la estrategia de contingencia del riesgo si se alcanzara su punto de activación.</t>
        </r>
      </text>
    </comment>
    <comment ref="W2" authorId="0" shapeId="0" xr:uid="{00000000-0006-0000-0100-000016000000}">
      <text>
        <r>
          <rPr>
            <sz val="11"/>
            <color theme="1"/>
            <rFont val="Calibri"/>
            <family val="2"/>
            <scheme val="minor"/>
          </rPr>
          <t>Establecer en qué momento se debe activar la estrategia de contingencia, por ejemplo: si la energía eléctrica no regresa en dos horas se activa el plan.</t>
        </r>
      </text>
    </comment>
    <comment ref="X2" authorId="0" shapeId="0" xr:uid="{00000000-0006-0000-0100-000017000000}">
      <text>
        <r>
          <rPr>
            <sz val="11"/>
            <color theme="1"/>
            <rFont val="Calibri"/>
            <family val="2"/>
            <scheme val="minor"/>
          </rPr>
          <t>Las unidades de medición para determinar si funcionan las acciones planeadas para la contingencia del riesgo. Por ejemplo: el tiempo de respuesta del proveedor de la planta eléctrica estaba planeado que sea en una hora. Se revisa si lo planeado vs lo real. Se registra también los resultados de los simulacros vs lo real, en caso de que se haya hecho simulacro.</t>
        </r>
      </text>
    </comment>
    <comment ref="Y2" authorId="0" shapeId="0" xr:uid="{00000000-0006-0000-0100-000018000000}">
      <text>
        <r>
          <rPr>
            <sz val="11"/>
            <color theme="1"/>
            <rFont val="Calibri"/>
            <family val="2"/>
            <scheme val="minor"/>
          </rPr>
          <t>Una lista de las acciones que se realizará para contener el riesgo. Estás acciones pueden estar en un documento por aparte o dentro del cronograma del proyecto, si es el caso poner el nombre del documento.</t>
        </r>
      </text>
    </comment>
    <comment ref="Z2" authorId="0" shapeId="0" xr:uid="{00000000-0006-0000-0100-000019000000}">
      <text>
        <r>
          <rPr>
            <sz val="11"/>
            <color theme="1"/>
            <rFont val="Calibri"/>
            <family val="2"/>
            <scheme val="minor"/>
          </rPr>
          <t>Registrar el nombre y apellido del responsable de activar el plan.</t>
        </r>
      </text>
    </comment>
    <comment ref="AA2" authorId="0" shapeId="0" xr:uid="{00000000-0006-0000-0100-00001A000000}">
      <text>
        <r>
          <rPr>
            <sz val="11"/>
            <color theme="1"/>
            <rFont val="Calibri"/>
            <family val="2"/>
            <scheme val="minor"/>
          </rPr>
          <t>Elegir una opción, los estados del riesgo son:
Vigente: riesgos que están latentes a que se presenten (están en el tiempo establecido en que se puede presentar) y se están monitoreando.
En gestión: se están ejecutando las acciones de administración de riegos- mitigación.
Activación contingencia: el riesgo se materializo, es decir, se presentó y se activa el plan de contingencia.
Eliminado: riesgos efectivamente fueron eliminados por las actividades que se realizaron para anular el riesgo.
Superado: paso el tiempo establecido para que el riesgo se pueda presentar, es decir, ya no está latente 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C4" authorId="0" shapeId="0" xr:uid="{00000000-0006-0000-0200-000001000000}">
      <text>
        <r>
          <rPr>
            <sz val="11"/>
            <color theme="1"/>
            <rFont val="Calibri"/>
            <family val="2"/>
            <scheme val="minor"/>
          </rPr>
          <t>los valores son números enteros y se van aumentando de uno en uno.</t>
        </r>
      </text>
    </comment>
    <comment ref="B5" authorId="0" shapeId="0" xr:uid="{00000000-0006-0000-0200-000002000000}">
      <text>
        <r>
          <rPr>
            <sz val="11"/>
            <color theme="1"/>
            <rFont val="Calibri"/>
            <family val="2"/>
            <scheme val="minor"/>
          </rPr>
          <t xml:space="preserve">Estos valores los definirá cada empresa.
</t>
        </r>
      </text>
    </comment>
    <comment ref="G5" authorId="0" shapeId="0" xr:uid="{00000000-0006-0000-0200-000003000000}">
      <text>
        <r>
          <rPr>
            <sz val="11"/>
            <color theme="1"/>
            <rFont val="Calibri"/>
            <family val="2"/>
            <scheme val="minor"/>
          </rPr>
          <t xml:space="preserve">Valor final, este no se modifica.
</t>
        </r>
      </text>
    </comment>
    <comment ref="M5" authorId="1" shapeId="0" xr:uid="{00000000-0006-0000-0200-000004000000}">
      <text>
        <r>
          <rPr>
            <sz val="11"/>
            <color theme="1"/>
            <rFont val="Calibri"/>
            <family val="2"/>
            <scheme val="minor"/>
          </rPr>
          <t>Estos valores afectan el resultado de los riesgos</t>
        </r>
      </text>
    </comment>
    <comment ref="D8" authorId="0" shapeId="0" xr:uid="{00000000-0006-0000-0200-000005000000}">
      <text>
        <r>
          <rPr>
            <sz val="11"/>
            <color theme="1"/>
            <rFont val="Calibri"/>
            <family val="2"/>
            <scheme val="minor"/>
          </rPr>
          <t>Valor inicial, este no se modifica.</t>
        </r>
      </text>
    </comment>
    <comment ref="D9" authorId="0" shapeId="0" xr:uid="{00000000-0006-0000-0200-000006000000}">
      <text>
        <r>
          <rPr>
            <sz val="11"/>
            <color theme="1"/>
            <rFont val="Calibri"/>
            <family val="2"/>
            <scheme val="minor"/>
          </rPr>
          <t>Valor inicial, este no se modifica.</t>
        </r>
      </text>
    </comment>
    <comment ref="G9" authorId="0" shapeId="0" xr:uid="{00000000-0006-0000-0200-000007000000}">
      <text>
        <r>
          <rPr>
            <sz val="11"/>
            <color theme="1"/>
            <rFont val="Calibri"/>
            <family val="2"/>
            <scheme val="minor"/>
          </rPr>
          <t>Estos valores se calcularán de acuerdo con la construcción de la matriz.
Es el valor máximo de impacto.</t>
        </r>
      </text>
    </comment>
    <comment ref="G10" authorId="0" shapeId="0" xr:uid="{00000000-0006-0000-0200-000008000000}">
      <text>
        <r>
          <rPr>
            <sz val="11"/>
            <color theme="1"/>
            <rFont val="Calibri"/>
            <family val="2"/>
            <scheme val="minor"/>
          </rPr>
          <t xml:space="preserve">Estos valores los definirá cada empresa.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A2" authorId="0" shapeId="0" xr:uid="{00000000-0006-0000-0300-000001000000}">
      <text>
        <r>
          <rPr>
            <sz val="11"/>
            <color theme="1"/>
            <rFont val="Calibri"/>
            <family val="2"/>
            <scheme val="minor"/>
          </rPr>
          <t>Fecha en que se identificó la oportunidad.</t>
        </r>
      </text>
    </comment>
    <comment ref="B2" authorId="0" shapeId="0" xr:uid="{00000000-0006-0000-0300-000002000000}">
      <text>
        <r>
          <rPr>
            <sz val="11"/>
            <color theme="1"/>
            <rFont val="Calibri"/>
            <family val="2"/>
            <scheme val="minor"/>
          </rPr>
          <t>ID de la oportunidad.</t>
        </r>
      </text>
    </comment>
    <comment ref="C2" authorId="0" shapeId="0" xr:uid="{00000000-0006-0000-0300-000003000000}">
      <text>
        <r>
          <rPr>
            <sz val="11"/>
            <color theme="1"/>
            <rFont val="Calibri"/>
            <family val="2"/>
            <scheme val="minor"/>
          </rPr>
          <t>Nombre corto de oportunidad.</t>
        </r>
      </text>
    </comment>
    <comment ref="D2" authorId="0" shapeId="0" xr:uid="{00000000-0006-0000-0300-000004000000}">
      <text>
        <r>
          <rPr>
            <sz val="11"/>
            <color theme="1"/>
            <rFont val="Calibri"/>
            <family val="2"/>
            <scheme val="minor"/>
          </rPr>
          <t xml:space="preserve">Condiciones que pueden ocasionar que se presenten los beneficios. </t>
        </r>
      </text>
    </comment>
    <comment ref="E2" authorId="1" shapeId="0" xr:uid="{00000000-0006-0000-0300-000005000000}">
      <text>
        <r>
          <rPr>
            <sz val="11"/>
            <color theme="1"/>
            <rFont val="Calibri"/>
            <family val="2"/>
            <scheme val="minor"/>
          </rPr>
          <t>Personas: Relacionado con las personas que realizan las actividades.
Métodos: Relacionado con las actividades y la forma en que se realizan.
Tecnología: Relacionado con todas las herramientas; documentos, software y hardware; que se utilizan.</t>
        </r>
      </text>
    </comment>
    <comment ref="F2" authorId="0" shapeId="0" xr:uid="{00000000-0006-0000-0300-000006000000}">
      <text>
        <r>
          <rPr>
            <sz val="11"/>
            <color theme="1"/>
            <rFont val="Calibri"/>
            <family val="2"/>
            <scheme val="minor"/>
          </rPr>
          <t>Descripción de los beneficios.</t>
        </r>
      </text>
    </comment>
    <comment ref="G2" authorId="0" shapeId="0" xr:uid="{00000000-0006-0000-0300-000007000000}">
      <text>
        <r>
          <rPr>
            <sz val="11"/>
            <color theme="1"/>
            <rFont val="Calibri"/>
            <family val="2"/>
            <scheme val="minor"/>
          </rPr>
          <t>La inversión es un estimado de $ en relación a lo que me cuesta ejecutar el plan de aprovechamiento.
RECUERDA QUE TODA ACCIÓN DENTRO DE LA EMPRESA SIGNIFICA UN COSTO</t>
        </r>
      </text>
    </comment>
    <comment ref="H2" authorId="0" shapeId="0" xr:uid="{00000000-0006-0000-0300-000008000000}">
      <text>
        <r>
          <rPr>
            <sz val="11"/>
            <color theme="1"/>
            <rFont val="Calibri"/>
            <family val="2"/>
            <scheme val="minor"/>
          </rPr>
          <t xml:space="preserve">Se calcula en relación a los beneficios
</t>
        </r>
      </text>
    </comment>
    <comment ref="J2" authorId="1" shapeId="0" xr:uid="{00000000-0006-0000-0300-000009000000}">
      <text>
        <r>
          <rPr>
            <sz val="11"/>
            <color theme="1"/>
            <rFont val="Calibri"/>
            <family val="2"/>
            <scheme val="minor"/>
          </rPr>
          <t>Cuando dos oportunidades tienen la misma prioridad, se atiende primero la de mayor ROI</t>
        </r>
      </text>
    </comment>
    <comment ref="L2" authorId="0" shapeId="0" xr:uid="{00000000-0006-0000-0300-00000A000000}">
      <text>
        <r>
          <rPr>
            <sz val="11"/>
            <color theme="1"/>
            <rFont val="Calibri"/>
            <family val="2"/>
            <scheme val="minor"/>
          </rPr>
          <t>Registrar las actividades de preparación para ejecutar las acciones para aprovechar la oportunidad.</t>
        </r>
      </text>
    </comment>
    <comment ref="M2" authorId="0" shapeId="0" xr:uid="{00000000-0006-0000-0300-00000B000000}">
      <text>
        <r>
          <rPr>
            <sz val="11"/>
            <color theme="1"/>
            <rFont val="Calibri"/>
            <family val="2"/>
            <scheme val="minor"/>
          </rPr>
          <t>Lista de las acciones necesarias para aprovechar la oportunidad.</t>
        </r>
      </text>
    </comment>
    <comment ref="N2" authorId="0" shapeId="0" xr:uid="{00000000-0006-0000-0300-00000C000000}">
      <text>
        <r>
          <rPr>
            <sz val="11"/>
            <color theme="1"/>
            <rFont val="Calibri"/>
            <family val="2"/>
            <scheme val="minor"/>
          </rPr>
          <t>Registrar el nombre y apellido de las personas asignadas para ejecutar cada acción.</t>
        </r>
      </text>
    </comment>
    <comment ref="O2" authorId="0" shapeId="0" xr:uid="{00000000-0006-0000-0300-00000D000000}">
      <text>
        <r>
          <rPr>
            <sz val="11"/>
            <color theme="1"/>
            <rFont val="Calibri"/>
            <family val="2"/>
            <scheme val="minor"/>
          </rPr>
          <t>Establecer el tiempo estimado para realizar las acciones y potencializar la oportunidad</t>
        </r>
      </text>
    </comment>
    <comment ref="P2" authorId="0" shapeId="0" xr:uid="{00000000-0006-0000-0300-00000E000000}">
      <text>
        <r>
          <rPr>
            <sz val="11"/>
            <color theme="1"/>
            <rFont val="Calibri"/>
            <family val="2"/>
            <scheme val="minor"/>
          </rPr>
          <t>Elegir una opción:
Aprovechada: se ejecutaron las acciones establecidas.
Vigente: la oportunidad esté dentro del tiempo que podría suceder.
En ejecución: se están ejecutando las acciones para aprovechar la oportunidad.
Cerrada: ya no esta vigente la oportunidad.</t>
        </r>
      </text>
    </comment>
    <comment ref="G3" authorId="0" shapeId="0" xr:uid="{00000000-0006-0000-0300-00000F000000}">
      <text>
        <r>
          <rPr>
            <sz val="11"/>
            <color theme="1"/>
            <rFont val="Calibri"/>
            <family val="2"/>
            <scheme val="minor"/>
          </rPr>
          <t>Nota del ejemplo: es $ del tiempo que se va a invertir en la capacitación</t>
        </r>
      </text>
    </comment>
    <comment ref="H4" authorId="0" shapeId="0" xr:uid="{00000000-0006-0000-0300-000010000000}">
      <text>
        <r>
          <rPr>
            <sz val="11"/>
            <color theme="1"/>
            <rFont val="Calibri"/>
            <family val="2"/>
            <scheme val="minor"/>
          </rPr>
          <t>Nota del ejemplo: de acuerdo con los beneficios, se calculó que se puede llegar a entregar 2 semanas antes, lo que representa la cantidad $ registrada.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H3" authorId="0" shapeId="0" xr:uid="{00000000-0006-0000-0400-000001000000}">
      <text>
        <r>
          <rPr>
            <sz val="11"/>
            <color theme="1"/>
            <rFont val="Calibri"/>
            <family val="2"/>
            <scheme val="minor"/>
          </rPr>
          <t xml:space="preserve">Se registran los rangos de costo $ que representa la pérdida si se </t>
        </r>
      </text>
    </comment>
    <comment ref="H4" authorId="0" shapeId="0" xr:uid="{00000000-0006-0000-0400-000002000000}">
      <text>
        <r>
          <rPr>
            <sz val="11"/>
            <color theme="1"/>
            <rFont val="Calibri"/>
            <family val="2"/>
            <scheme val="minor"/>
          </rPr>
          <t>se determinan los rangos de $ que esta dentro del margen estimado para riesgos</t>
        </r>
      </text>
    </comment>
    <comment ref="H5" authorId="0" shapeId="0" xr:uid="{00000000-0006-0000-0400-000003000000}">
      <text>
        <r>
          <rPr>
            <sz val="11"/>
            <color theme="1"/>
            <rFont val="Calibri"/>
            <family val="2"/>
            <scheme val="minor"/>
          </rPr>
          <t>se determinan los rangos de $ que representan la pérdida de la ganancia del proyecto</t>
        </r>
      </text>
    </comment>
    <comment ref="H6" authorId="0" shapeId="0" xr:uid="{00000000-0006-0000-0400-000004000000}">
      <text>
        <r>
          <rPr>
            <sz val="11"/>
            <color theme="1"/>
            <rFont val="Calibri"/>
            <family val="2"/>
            <scheme val="minor"/>
          </rPr>
          <t>se determinan los rangos de $ que representa la pérdida total del proyecto</t>
        </r>
      </text>
    </comment>
    <comment ref="H7" authorId="0" shapeId="0" xr:uid="{00000000-0006-0000-0400-000005000000}">
      <text>
        <r>
          <rPr>
            <sz val="11"/>
            <color theme="1"/>
            <rFont val="Calibri"/>
            <family val="2"/>
            <scheme val="minor"/>
          </rPr>
          <t>se determinan los rangos de $ que representa la pérdida mayor al costo total del proyecto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<sst xmlns="http://schemas.openxmlformats.org/spreadsheetml/2006/main" count="281" uniqueCount="199">
  <si>
    <t>Declaración del riesgo</t>
  </si>
  <si>
    <t>Análisis del riesgo</t>
  </si>
  <si>
    <t>Administración de riesgos</t>
  </si>
  <si>
    <t>Plan de contingencia</t>
  </si>
  <si>
    <t xml:space="preserve">ID </t>
  </si>
  <si>
    <t>Fecha de identificación</t>
  </si>
  <si>
    <t>Fuente</t>
  </si>
  <si>
    <t>Categoría</t>
  </si>
  <si>
    <t>Subcategoría</t>
  </si>
  <si>
    <t>Riesgo</t>
  </si>
  <si>
    <t>Condición</t>
  </si>
  <si>
    <t>Consecuencias</t>
  </si>
  <si>
    <t>Probabilidad</t>
  </si>
  <si>
    <t>Impacto</t>
  </si>
  <si>
    <t>Factor del riesgo</t>
  </si>
  <si>
    <t>Grado de vulnerabilidad</t>
  </si>
  <si>
    <t>Perfil del riesgo</t>
  </si>
  <si>
    <t>Acciones para afrontar al riesgo</t>
  </si>
  <si>
    <t>Tiempo estimado en que se puede presentar</t>
  </si>
  <si>
    <t>Riesgos relacionados</t>
  </si>
  <si>
    <t>Estrategia de mitigación del riesgo</t>
  </si>
  <si>
    <t>Acciones</t>
  </si>
  <si>
    <t>Fechas de entrega</t>
  </si>
  <si>
    <t>Unidad de medición</t>
  </si>
  <si>
    <t>Responsable</t>
  </si>
  <si>
    <t>Estrategia de contingencia del riesgo</t>
  </si>
  <si>
    <t>Valor de activación</t>
  </si>
  <si>
    <t>Unidades de medición</t>
  </si>
  <si>
    <t>Estado</t>
  </si>
  <si>
    <t>Tecnología</t>
  </si>
  <si>
    <t>Externo</t>
  </si>
  <si>
    <t>Subcontratistas y proveedores</t>
  </si>
  <si>
    <t>RI-01</t>
  </si>
  <si>
    <t>Dependencia de disponibilidad de servicios externos</t>
  </si>
  <si>
    <t>El módulo depende de la disponibilidad de los servicios de IMSS, ProceSAR, RENAPO y CNSF para completar cada trámite.</t>
  </si>
  <si>
    <t>Atrasos en la resolución de solicitudes de portabilidad y necesidad de reintentos manuales.</t>
  </si>
  <si>
    <t>Tolerable</t>
  </si>
  <si>
    <t>Reducir</t>
  </si>
  <si>
    <t>Durante todo el proyecto</t>
  </si>
  <si>
    <t>N/A</t>
  </si>
  <si>
    <t>Manejar de forma explícita y catalogada cada falla de comunicación (RNF-05), informando al usuario sin perder la información capturada.</t>
  </si>
  <si>
    <t>Catalogar los códigos de falla de cada servicio externo; documentar el procedimiento de reintento.</t>
  </si>
  <si>
    <t>Durante la fase de construcción</t>
  </si>
  <si>
    <t>Número de fallas de comunicación no catalogadas</t>
  </si>
  <si>
    <t>Carlos Quintero Nava</t>
  </si>
  <si>
    <t>Permitir el reintento manual de la operación una vez restablecido el servicio.</t>
  </si>
  <si>
    <t>Cuando un servicio externo reporta una interrupción mayor a 1 día hábil.</t>
  </si>
  <si>
    <t>Días de interrupción del servicio externo</t>
  </si>
  <si>
    <t>Escalar el incidente al área correspondiente del instituto externo.</t>
  </si>
  <si>
    <t>Vigente</t>
  </si>
  <si>
    <t>RI-02</t>
  </si>
  <si>
    <t>Personas</t>
  </si>
  <si>
    <t>Técnico</t>
  </si>
  <si>
    <t>Recursos</t>
  </si>
  <si>
    <t>Concentración del conocimiento técnico en un único recurso</t>
  </si>
  <si>
    <t>Carlos Quintero Nava es el único recurso técnico asignado al proyecto (líder técnico, analista, arquitecto y desarrollador).</t>
  </si>
  <si>
    <t>Atraso significativo del proyecto si el recurso no está disponible temporalmente.</t>
  </si>
  <si>
    <t>Documentar el conocimiento del proyecto en los productos de trabajo formales (FJL-F02 a FJL-F15) para reducir la dependencia de una sola persona.</t>
  </si>
  <si>
    <t>Mantener actualizada la documentación técnica del proyecto.</t>
  </si>
  <si>
    <t>Continuo durante el proyecto</t>
  </si>
  <si>
    <t>Documentos técnicos actualizados vs. entregados</t>
  </si>
  <si>
    <t>Asignar un recurso adicional según necesidad (rol Desarrollador — Por asignar).</t>
  </si>
  <si>
    <t>Cuando el recurso asignado no puede continuar con el proyecto.</t>
  </si>
  <si>
    <t>Días sin recurso técnico asignado</t>
  </si>
  <si>
    <t>Iniciar la asignación e incorporación de un recurso de respaldo.</t>
  </si>
  <si>
    <t>Oscar Vera</t>
  </si>
  <si>
    <t>RI-03</t>
  </si>
  <si>
    <t>Normativa</t>
  </si>
  <si>
    <t>Cambios normativos en materia de portabilidad de derechos entre institutos</t>
  </si>
  <si>
    <t>La normativa que rige la portabilidad de derechos pensionarios entre ISSSTE e IMSS puede actualizarse durante la ejecución del proyecto.</t>
  </si>
  <si>
    <t>Necesidad de ajustar las reglas de negocio y el catálogo de motivos de rechazo ya implementados.</t>
  </si>
  <si>
    <t>Aceptable</t>
  </si>
  <si>
    <t>Aceptar</t>
  </si>
  <si>
    <t>Mantener el catálogo de reglas de negocio (FJL-F10) versionado para facilitar su actualización.</t>
  </si>
  <si>
    <t>Revisar periódicamente con el área de Pensiones ISSSTE si hay cambios normativos previstos.</t>
  </si>
  <si>
    <t>Revisión trimestral</t>
  </si>
  <si>
    <t>Cambios normativos identificados vs. incorporados</t>
  </si>
  <si>
    <t>Miriam Ivonne Nuñez Zavala</t>
  </si>
  <si>
    <t>Actualizar el catálogo de reglas de negocio y desplegar una nueva versión del módulo.</t>
  </si>
  <si>
    <t>Cuando se publica un cambio normativo aplicable a la portabilidad.</t>
  </si>
  <si>
    <t>Días para incorporar el cambio normativo</t>
  </si>
  <si>
    <t>Analizar el impacto e incorporar el cambio en la siguiente actualización de la especificación.</t>
  </si>
  <si>
    <t>Alcance nivel proyecto</t>
  </si>
  <si>
    <t>Historial de versiones</t>
  </si>
  <si>
    <t>Fecha</t>
  </si>
  <si>
    <t>Versión</t>
  </si>
  <si>
    <t>Descripción</t>
  </si>
  <si>
    <t>Autor</t>
  </si>
  <si>
    <t>25/01/2026</t>
  </si>
  <si>
    <t>1.0</t>
  </si>
  <si>
    <t>Creación de la matriz de riesgos y oportunidades del proyecto Portabilidad de Derechos Pensionarios ISSSTE-IMSS.</t>
  </si>
  <si>
    <t>Carlos Quintero N.</t>
  </si>
  <si>
    <t>Eliminar si se cuenta con un sistema de versionado</t>
  </si>
  <si>
    <t>Vulnerabilidad (%)</t>
  </si>
  <si>
    <t>Constante</t>
  </si>
  <si>
    <t>Valores</t>
  </si>
  <si>
    <t>Rangos</t>
  </si>
  <si>
    <t>Mínimo</t>
  </si>
  <si>
    <t>Máximo</t>
  </si>
  <si>
    <t>Acción</t>
  </si>
  <si>
    <t>Estrategia</t>
  </si>
  <si>
    <t>Ocasional</t>
  </si>
  <si>
    <t>Vr &lt; 15</t>
  </si>
  <si>
    <t>Anular o aceptar</t>
  </si>
  <si>
    <t>Se crea plan de contingencia.</t>
  </si>
  <si>
    <t>Esporádico</t>
  </si>
  <si>
    <t>15 ≤ Vr &lt; 50</t>
  </si>
  <si>
    <t>Reducir o Transferir (si aplica)</t>
  </si>
  <si>
    <t>Se crean planes de mitigación y contingencia.</t>
  </si>
  <si>
    <t>Remoto</t>
  </si>
  <si>
    <t>Peligroso</t>
  </si>
  <si>
    <t>50 ≤ Vr &lt; 75</t>
  </si>
  <si>
    <t xml:space="preserve">Reducir o Transferir (si aplica) </t>
  </si>
  <si>
    <t>Inaceptable</t>
  </si>
  <si>
    <t>75 ≤ Vr</t>
  </si>
  <si>
    <t>Se actúa de inmediato y no puede existir el riesgo. 
Se crean planes de mitigación y contingencia.</t>
  </si>
  <si>
    <t>Insignificante</t>
  </si>
  <si>
    <t>Grave</t>
  </si>
  <si>
    <t>Crítico</t>
  </si>
  <si>
    <t>Catastrófico</t>
  </si>
  <si>
    <t>Declaración de la oportunidad</t>
  </si>
  <si>
    <t>Análisis</t>
  </si>
  <si>
    <t>Plan de aprovechamiento</t>
  </si>
  <si>
    <t>Status</t>
  </si>
  <si>
    <t>Identificador</t>
  </si>
  <si>
    <t>Oportunidad</t>
  </si>
  <si>
    <t>Beneficios</t>
  </si>
  <si>
    <t>Inversión</t>
  </si>
  <si>
    <t>Ganancia</t>
  </si>
  <si>
    <t>ROI</t>
  </si>
  <si>
    <t>Prioridad</t>
  </si>
  <si>
    <t>Actividades de preparación</t>
  </si>
  <si>
    <t>Tiempo estimado para la acción</t>
  </si>
  <si>
    <t xml:space="preserve">Resultados </t>
  </si>
  <si>
    <t xml:space="preserve">Tecnología </t>
  </si>
  <si>
    <t>Alto</t>
  </si>
  <si>
    <t>Aprovechar</t>
  </si>
  <si>
    <t>Cerrada</t>
  </si>
  <si>
    <t>OP-01</t>
  </si>
  <si>
    <t>Estandarización del proceso de gestión de requisitos y planeación</t>
  </si>
  <si>
    <t>La documentación generada para este proyecto (formatos y plantillas ya utilizados) puede convertirse en el estándar aplicable a futuros requerimientos similares.</t>
  </si>
  <si>
    <t>Métodos</t>
  </si>
  <si>
    <t>Reducción del tiempo de arranque de futuros requerimientos; mayor consistencia entre entregables.</t>
  </si>
  <si>
    <t>Alta</t>
  </si>
  <si>
    <t>Consolidar los formatos ya utilizados como plantillas oficiales de la organización.</t>
  </si>
  <si>
    <t>Definir qué futuros requerimientos serán candidatos a seguir este estándar.</t>
  </si>
  <si>
    <t>Continuo</t>
  </si>
  <si>
    <t>En ejecución</t>
  </si>
  <si>
    <t>OP-02</t>
  </si>
  <si>
    <t>Reutilización del catálogo único de reglas de negocio en futuras mejoras</t>
  </si>
  <si>
    <t>El catálogo de reglas de elegibilidad y motivos de rechazo (FJL-F10) ya desarrollado puede reutilizarse como base para futuras mejoras del sistema de Portabilidad.</t>
  </si>
  <si>
    <t>Menor esfuerzo de análisis en futuros requerimientos relacionados con elegibilidad.</t>
  </si>
  <si>
    <t>Media</t>
  </si>
  <si>
    <t>Mantener el catálogo versionado y documentado.</t>
  </si>
  <si>
    <t>Revisar el catálogo antes de iniciar cada nuevo requerimiento relacionado.</t>
  </si>
  <si>
    <t>RIESGOS</t>
  </si>
  <si>
    <t>Valor</t>
  </si>
  <si>
    <t>Nivel</t>
  </si>
  <si>
    <t>Puede suceder una vez en el proyecto</t>
  </si>
  <si>
    <t>menos de $30,000</t>
  </si>
  <si>
    <t>Puede suceder más de una vez en el proyecto pero es menos de una iteración</t>
  </si>
  <si>
    <t>Puede suceder una vez por iteración</t>
  </si>
  <si>
    <t>Recurrente</t>
  </si>
  <si>
    <t>Puede suceder más de una vez por iteración</t>
  </si>
  <si>
    <t xml:space="preserve">entre $500,000 y 1,000,000 </t>
  </si>
  <si>
    <t>OPORTUNIDADES</t>
  </si>
  <si>
    <t>ROI mayor a 2</t>
  </si>
  <si>
    <t>Medio</t>
  </si>
  <si>
    <t>ROI entre 1 y 2</t>
  </si>
  <si>
    <t>Bajo</t>
  </si>
  <si>
    <t>ROI menor a 1</t>
  </si>
  <si>
    <t>Riesgos</t>
  </si>
  <si>
    <t>Categoría y subcategorías</t>
  </si>
  <si>
    <t>*Son ejemplos, se podrán cambiar las categorías y subcategorías o agregar las que sean necesarias.</t>
  </si>
  <si>
    <t>Organizacionales</t>
  </si>
  <si>
    <t>Gestión</t>
  </si>
  <si>
    <t>Requisitos</t>
  </si>
  <si>
    <t>Estimación</t>
  </si>
  <si>
    <t>Transferir</t>
  </si>
  <si>
    <t>Financiación</t>
  </si>
  <si>
    <t>Planificación</t>
  </si>
  <si>
    <t>En gestión</t>
  </si>
  <si>
    <t>Complejidad en las interfaces</t>
  </si>
  <si>
    <t>Mercado</t>
  </si>
  <si>
    <t>Priorización</t>
  </si>
  <si>
    <t xml:space="preserve">Control </t>
  </si>
  <si>
    <t>Activación contingencia</t>
  </si>
  <si>
    <t>Rendimiento y fiabilidad</t>
  </si>
  <si>
    <t>Cliente</t>
  </si>
  <si>
    <t>Comunicación</t>
  </si>
  <si>
    <t>Anular</t>
  </si>
  <si>
    <t>Eliminado</t>
  </si>
  <si>
    <t>Calidad</t>
  </si>
  <si>
    <t>Condiciones climáticas</t>
  </si>
  <si>
    <t>Superado</t>
  </si>
  <si>
    <t>Categorias</t>
  </si>
  <si>
    <t>Aprovechada</t>
  </si>
  <si>
    <t>No aprovechar</t>
  </si>
  <si>
    <t>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</si>
</sst>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2">
    <font>
      <sz val="11"/>
      <color theme="1"/>
      <name val="Calibri"/>
      <family val="2"/>
      <scheme val="minor"/>
    </font>
    <font>
      <sz val="12"/>
      <name val="Calibri"/>
      <family val="2"/>
    </font>
    <font>
      <b/>
      <sz val="14"/>
      <color theme="1"/>
      <name val="Calibri"/>
      <family val="2"/>
      <scheme val="minor"/>
    </font>
    <font>
      <sz val="12"/>
      <name val="Calibri"/>
      <family val="2"/>
      <scheme val="minor"/>
    </font>
    <font>
      <b/>
      <sz val="12"/>
      <color theme="1"/>
      <name val="Calibri"/>
      <family val="2"/>
      <scheme val="minor"/>
    </font>
    <font>
      <b/>
      <sz val="26"/>
      <color theme="3" tint="0.14993743705557422"/>
      <name val="Calibri Light"/>
      <family val="2"/>
      <scheme val="major"/>
    </font>
    <font>
      <sz val="11"/>
      <color theme="1"/>
      <name val="Calibri"/>
      <family val="2"/>
      <scheme val="minor"/>
    </font>
    <font>
      <sz val="10"/>
      <name val="Arial"/>
      <family val="2"/>
    </font>
    <font>
      <sz val="8"/>
      <color theme="1"/>
      <name val="Calibri"/>
      <family val="2"/>
      <scheme val="minor"/>
    </font>
    <font>
      <sz val="12"/>
      <color theme="1"/>
      <name val="Calibri"/>
      <family val="2"/>
      <scheme val="minor"/>
    </font>
    <font>
      <sz val="11"/>
      <color theme="1"/>
      <name val="Calibri (Cuerpo)"/>
    </font>
    <font>
      <sz val="14"/>
      <color theme="1"/>
      <name val="Calibri"/>
      <family val="2"/>
      <scheme val="minor"/>
    </font>
    <font>
      <i/>
      <sz val="11"/>
      <color theme="1" tint="0.249977111117893"/>
      <name val="Calibri"/>
      <family val="2"/>
      <scheme val="minor"/>
    </font>
    <font>
      <b/>
      <sz val="14"/>
      <color theme="0"/>
      <name val="Calibri"/>
      <family val="2"/>
    </font>
    <font>
      <b/>
      <sz val="12"/>
      <color theme="0"/>
      <name val="Calibri"/>
      <family val="2"/>
      <scheme val="minor"/>
    </font>
    <font>
      <b/>
      <sz val="14"/>
      <color theme="0"/>
      <name val="Calibri"/>
      <family val="2"/>
      <scheme val="minor"/>
    </font>
    <font>
      <b/>
      <sz val="16"/>
      <color theme="0"/>
      <name val="Calibri"/>
      <family val="2"/>
      <scheme val="minor"/>
    </font>
    <font>
      <b/>
      <sz val="12"/>
      <name val="Calibri"/>
      <family val="2"/>
      <scheme val="minor"/>
    </font>
    <font>
      <sz val="9"/>
      <color theme="1"/>
      <name val="Calibri"/>
      <family val="2"/>
      <scheme val="minor"/>
    </font>
    <font>
      <sz val="11"/>
      <color rgb="FF000000"/>
      <name val="Calibri"/>
    </font>
    <font>
      <i/>
      <sz val="12"/>
      <name val="Calibri"/>
      <family val="2"/>
      <scheme val="minor"/>
    </font>
    <font>
      <sz val="12"/>
      <color rgb="FF000000"/>
      <name val="Calibri"/>
      <family val="2"/>
    </font>
  </fonts>
  <fills count="11">
    <fill>
      <patternFill patternType="none"/>
    </fill>
    <fill>
      <patternFill patternType="gray125"/>
    </fill>
    <fill>
      <patternFill patternType="solid">
        <fgColor rgb="FFC00000"/>
        <bgColor indexed="64"/>
      </patternFill>
    </fill>
    <fill>
      <patternFill patternType="solid">
        <fgColor theme="9"/>
        <bgColor indexed="64"/>
      </patternFill>
    </fill>
    <fill>
      <patternFill patternType="solid">
        <fgColor theme="7" tint="0.39997558519241921"/>
        <bgColor indexed="64"/>
      </patternFill>
    </fill>
    <fill>
      <patternFill patternType="solid">
        <fgColor theme="5"/>
        <bgColor indexed="64"/>
      </patternFill>
    </fill>
    <fill>
      <patternFill patternType="solid">
        <fgColor rgb="FFEE7D00"/>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0" tint="-4.9989318521683403E-2"/>
        <bgColor indexed="64"/>
      </patternFill>
    </fill>
  </fills>
  <borders count="26">
    <border>
      <left/>
      <right/>
      <top/>
      <bottom/>
      <diagonal/>
    </border>
    <border>
      <left/>
      <right style="medium">
        <color indexed="64"/>
      </right>
      <top style="thin">
        <color indexed="64"/>
      </top>
      <bottom/>
      <diagonal/>
    </border>
    <border>
      <left style="medium">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bottom style="medium">
        <color theme="4" tint="-0.499984740745262"/>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6">
    <xf numFmtId="0" fontId="0" fillId="0" borderId="0"/>
    <xf numFmtId="0" fontId="5" fillId="0" borderId="9"/>
    <xf numFmtId="0" fontId="6" fillId="0" borderId="0"/>
    <xf numFmtId="0" fontId="7" fillId="0" borderId="0"/>
    <xf numFmtId="44" fontId="6" fillId="0" borderId="0"/>
    <xf numFmtId="9" fontId="6" fillId="0" borderId="0"/>
  </cellStyleXfs>
  <cellXfs count="117">
    <xf numFmtId="0" fontId="0" fillId="0" borderId="0" xfId="0"/>
    <xf numFmtId="0" fontId="0" fillId="0" borderId="2" xfId="0" applyBorder="1"/>
    <xf numFmtId="0" fontId="0" fillId="0" borderId="0" xfId="0" applyAlignment="1">
      <alignment vertical="center"/>
    </xf>
    <xf numFmtId="0" fontId="0" fillId="0" borderId="0" xfId="0" applyAlignment="1">
      <alignment vertical="center" wrapText="1"/>
    </xf>
    <xf numFmtId="0" fontId="4" fillId="0" borderId="6" xfId="0" applyFont="1" applyBorder="1" applyAlignment="1">
      <alignment horizontal="center" vertical="center"/>
    </xf>
    <xf numFmtId="0" fontId="0" fillId="0" borderId="0" xfId="0" applyAlignment="1">
      <alignment horizontal="center"/>
    </xf>
    <xf numFmtId="0" fontId="0" fillId="0" borderId="6" xfId="0" applyBorder="1" applyAlignment="1">
      <alignment horizontal="center"/>
    </xf>
    <xf numFmtId="0" fontId="6" fillId="0" borderId="6" xfId="0" applyFont="1" applyBorder="1" applyAlignment="1">
      <alignment horizontal="center" vertical="center" wrapText="1"/>
    </xf>
    <xf numFmtId="0" fontId="6" fillId="0" borderId="6" xfId="0" applyFont="1" applyBorder="1" applyAlignment="1">
      <alignment horizontal="center"/>
    </xf>
    <xf numFmtId="0" fontId="0" fillId="0" borderId="11" xfId="0" applyBorder="1"/>
    <xf numFmtId="0" fontId="0" fillId="0" borderId="11" xfId="0" applyBorder="1" applyAlignment="1">
      <alignment vertical="top"/>
    </xf>
    <xf numFmtId="0" fontId="0" fillId="0" borderId="10" xfId="0" applyBorder="1" applyAlignment="1">
      <alignment vertical="top"/>
    </xf>
    <xf numFmtId="0" fontId="0" fillId="0" borderId="6" xfId="0" applyBorder="1" applyAlignment="1">
      <alignment horizontal="center" vertical="center"/>
    </xf>
    <xf numFmtId="0" fontId="0" fillId="0" borderId="6" xfId="0" applyBorder="1" applyAlignment="1">
      <alignment horizontal="center" vertical="center" wrapText="1"/>
    </xf>
    <xf numFmtId="0" fontId="3" fillId="0" borderId="0" xfId="0" applyFont="1"/>
    <xf numFmtId="2" fontId="0" fillId="3" borderId="6" xfId="0" applyNumberFormat="1" applyFill="1" applyBorder="1" applyAlignment="1">
      <alignment horizontal="center" vertical="center"/>
    </xf>
    <xf numFmtId="2" fontId="0" fillId="4" borderId="6" xfId="0" applyNumberFormat="1" applyFill="1" applyBorder="1" applyAlignment="1">
      <alignment horizontal="center" vertical="center"/>
    </xf>
    <xf numFmtId="2" fontId="0" fillId="5" borderId="6" xfId="0" applyNumberFormat="1" applyFill="1" applyBorder="1" applyAlignment="1">
      <alignment horizontal="center" vertical="center"/>
    </xf>
    <xf numFmtId="2" fontId="0" fillId="2" borderId="6" xfId="0" applyNumberFormat="1" applyFill="1" applyBorder="1" applyAlignment="1">
      <alignment horizontal="center" vertical="center"/>
    </xf>
    <xf numFmtId="0" fontId="0" fillId="3" borderId="6" xfId="0" applyFill="1" applyBorder="1" applyAlignment="1">
      <alignment horizontal="center"/>
    </xf>
    <xf numFmtId="0" fontId="0" fillId="0" borderId="0" xfId="0" applyAlignment="1">
      <alignment horizontal="left"/>
    </xf>
    <xf numFmtId="0" fontId="0" fillId="6" borderId="6" xfId="0" applyFill="1" applyBorder="1" applyAlignment="1">
      <alignment horizontal="center"/>
    </xf>
    <xf numFmtId="0" fontId="2" fillId="0" borderId="0" xfId="0" applyFont="1"/>
    <xf numFmtId="0" fontId="10" fillId="6" borderId="6" xfId="0" applyFont="1" applyFill="1" applyBorder="1" applyAlignment="1">
      <alignment horizontal="center"/>
    </xf>
    <xf numFmtId="0" fontId="10" fillId="3" borderId="6" xfId="0" applyFont="1" applyFill="1" applyBorder="1" applyAlignment="1">
      <alignment horizontal="center"/>
    </xf>
    <xf numFmtId="0" fontId="4" fillId="0" borderId="0" xfId="0" applyFont="1" applyAlignment="1">
      <alignment vertical="center" wrapText="1"/>
    </xf>
    <xf numFmtId="0" fontId="0" fillId="4" borderId="6" xfId="0" applyFill="1" applyBorder="1" applyAlignment="1">
      <alignment horizontal="center" vertical="center"/>
    </xf>
    <xf numFmtId="44" fontId="0" fillId="0" borderId="6" xfId="4" applyFont="1" applyBorder="1" applyAlignment="1">
      <alignment horizontal="center" vertical="center" wrapText="1"/>
    </xf>
    <xf numFmtId="0" fontId="0" fillId="2" borderId="6" xfId="0" applyFill="1" applyBorder="1" applyAlignment="1">
      <alignment horizontal="center" vertical="center"/>
    </xf>
    <xf numFmtId="0" fontId="6" fillId="0" borderId="0" xfId="0" applyFont="1" applyAlignment="1">
      <alignment horizontal="center" vertical="center"/>
    </xf>
    <xf numFmtId="0" fontId="10" fillId="4" borderId="6" xfId="0" applyFont="1" applyFill="1" applyBorder="1" applyAlignment="1">
      <alignment horizontal="center" vertical="center"/>
    </xf>
    <xf numFmtId="0" fontId="10" fillId="2" borderId="6" xfId="0" applyFont="1" applyFill="1" applyBorder="1" applyAlignment="1">
      <alignment horizontal="center" vertical="center"/>
    </xf>
    <xf numFmtId="0" fontId="11" fillId="0" borderId="0" xfId="0" applyFont="1" applyAlignment="1">
      <alignment horizontal="center"/>
    </xf>
    <xf numFmtId="44" fontId="12" fillId="0" borderId="6" xfId="4" applyFont="1" applyBorder="1" applyAlignment="1">
      <alignment horizontal="center" vertical="center" wrapText="1"/>
    </xf>
    <xf numFmtId="0" fontId="4" fillId="8" borderId="6" xfId="0" applyFont="1" applyFill="1" applyBorder="1" applyAlignment="1">
      <alignment horizontal="center" vertical="center"/>
    </xf>
    <xf numFmtId="0" fontId="4" fillId="8" borderId="6"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0" fillId="8" borderId="6" xfId="0" applyFill="1" applyBorder="1" applyAlignment="1">
      <alignment vertical="center" wrapText="1"/>
    </xf>
    <xf numFmtId="0" fontId="4" fillId="0" borderId="0" xfId="0" applyFont="1" applyAlignment="1">
      <alignment vertical="center"/>
    </xf>
    <xf numFmtId="0" fontId="0" fillId="0" borderId="0" xfId="0" applyAlignment="1">
      <alignment vertical="center" textRotation="255"/>
    </xf>
    <xf numFmtId="0" fontId="1" fillId="0" borderId="6" xfId="0" applyFont="1" applyBorder="1" applyAlignment="1">
      <alignment horizontal="center" vertical="center" wrapText="1"/>
    </xf>
    <xf numFmtId="0" fontId="13" fillId="9" borderId="6" xfId="0" applyFont="1" applyFill="1" applyBorder="1" applyAlignment="1">
      <alignment horizontal="center" vertical="center" wrapText="1"/>
    </xf>
    <xf numFmtId="0" fontId="4" fillId="0" borderId="21" xfId="0" applyFont="1" applyBorder="1" applyAlignment="1">
      <alignment vertical="center"/>
    </xf>
    <xf numFmtId="0" fontId="6" fillId="10" borderId="6" xfId="0" applyFont="1" applyFill="1" applyBorder="1" applyAlignment="1">
      <alignment horizontal="center" vertical="center" wrapText="1"/>
    </xf>
    <xf numFmtId="0" fontId="3" fillId="10" borderId="6" xfId="0" applyFont="1" applyFill="1" applyBorder="1" applyAlignment="1">
      <alignment horizontal="center" vertical="center"/>
    </xf>
    <xf numFmtId="0" fontId="0" fillId="10" borderId="6" xfId="0" applyFill="1" applyBorder="1" applyAlignment="1">
      <alignment vertical="center" wrapText="1"/>
    </xf>
    <xf numFmtId="0" fontId="0" fillId="10" borderId="6" xfId="0" applyFill="1" applyBorder="1" applyAlignment="1">
      <alignment horizontal="center" vertical="center"/>
    </xf>
    <xf numFmtId="0" fontId="0" fillId="10" borderId="0" xfId="0" applyFill="1" applyAlignment="1">
      <alignment horizontal="center" vertical="center"/>
    </xf>
    <xf numFmtId="0" fontId="4" fillId="8" borderId="12" xfId="0" applyFont="1" applyFill="1" applyBorder="1" applyAlignment="1">
      <alignment horizontal="center" vertical="center"/>
    </xf>
    <xf numFmtId="0" fontId="4" fillId="8" borderId="12" xfId="0" applyFont="1" applyFill="1" applyBorder="1" applyAlignment="1">
      <alignment horizontal="center" vertical="center" wrapText="1"/>
    </xf>
    <xf numFmtId="0" fontId="4" fillId="8" borderId="7" xfId="0" applyFont="1" applyFill="1" applyBorder="1" applyAlignment="1">
      <alignment horizontal="center" vertical="center"/>
    </xf>
    <xf numFmtId="0" fontId="4" fillId="8" borderId="13"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15" fillId="9" borderId="0" xfId="0" applyFont="1" applyFill="1" applyAlignment="1">
      <alignment horizontal="center"/>
    </xf>
    <xf numFmtId="0" fontId="0" fillId="8" borderId="6" xfId="0" applyFill="1" applyBorder="1"/>
    <xf numFmtId="0" fontId="3" fillId="8" borderId="6" xfId="0" applyFont="1" applyFill="1" applyBorder="1"/>
    <xf numFmtId="2" fontId="4" fillId="8" borderId="6" xfId="0" applyNumberFormat="1" applyFont="1" applyFill="1" applyBorder="1" applyAlignment="1">
      <alignment horizontal="center" vertical="center"/>
    </xf>
    <xf numFmtId="0" fontId="4" fillId="8" borderId="6" xfId="0" applyFont="1" applyFill="1" applyBorder="1" applyAlignment="1">
      <alignment horizontal="center"/>
    </xf>
    <xf numFmtId="0" fontId="4" fillId="8" borderId="18" xfId="0" applyFont="1" applyFill="1" applyBorder="1" applyAlignment="1">
      <alignment horizontal="center"/>
    </xf>
    <xf numFmtId="0" fontId="4" fillId="8" borderId="18" xfId="0" applyFont="1" applyFill="1" applyBorder="1"/>
    <xf numFmtId="0" fontId="4" fillId="8" borderId="19" xfId="0" applyFont="1" applyFill="1" applyBorder="1"/>
    <xf numFmtId="0" fontId="0" fillId="8" borderId="6" xfId="0" applyFill="1" applyBorder="1" applyAlignment="1">
      <alignment vertical="center"/>
    </xf>
    <xf numFmtId="0" fontId="17" fillId="8" borderId="8" xfId="0" applyFont="1" applyFill="1" applyBorder="1" applyAlignment="1">
      <alignment horizontal="center" vertical="center"/>
    </xf>
    <xf numFmtId="0" fontId="17" fillId="8" borderId="6" xfId="0" applyFont="1" applyFill="1" applyBorder="1" applyAlignment="1">
      <alignment horizontal="center" vertical="center"/>
    </xf>
    <xf numFmtId="0" fontId="17" fillId="8" borderId="6" xfId="0" applyFont="1" applyFill="1" applyBorder="1" applyAlignment="1">
      <alignment horizontal="center"/>
    </xf>
    <xf numFmtId="0" fontId="0" fillId="7" borderId="11" xfId="0" applyFill="1" applyBorder="1"/>
    <xf numFmtId="0" fontId="0" fillId="7" borderId="11" xfId="0" applyFill="1" applyBorder="1" applyAlignment="1">
      <alignment vertical="top"/>
    </xf>
    <xf numFmtId="0" fontId="0" fillId="7" borderId="10" xfId="0" applyFill="1" applyBorder="1"/>
    <xf numFmtId="0" fontId="6" fillId="0" borderId="12" xfId="0" applyFont="1" applyBorder="1" applyAlignment="1">
      <alignment horizontal="center" vertical="center" wrapText="1"/>
    </xf>
    <xf numFmtId="0" fontId="9" fillId="0" borderId="0" xfId="0" applyFont="1" applyAlignment="1">
      <alignment horizontal="center" vertical="center" textRotation="255"/>
    </xf>
    <xf numFmtId="1" fontId="19" fillId="0" borderId="6" xfId="5" applyNumberFormat="1" applyFont="1" applyBorder="1" applyAlignment="1">
      <alignment horizontal="center" vertical="center"/>
    </xf>
    <xf numFmtId="14" fontId="19" fillId="0" borderId="6" xfId="0" applyNumberFormat="1" applyFont="1" applyBorder="1" applyAlignment="1">
      <alignment horizontal="center" vertical="center"/>
    </xf>
    <xf numFmtId="0" fontId="19" fillId="0" borderId="6" xfId="0" applyFont="1" applyBorder="1" applyAlignment="1">
      <alignment horizontal="center" vertical="center"/>
    </xf>
    <xf numFmtId="0" fontId="19" fillId="0" borderId="6" xfId="0" applyFont="1" applyBorder="1" applyAlignment="1">
      <alignment horizontal="center" vertical="center" wrapText="1"/>
    </xf>
    <xf numFmtId="1" fontId="19" fillId="0" borderId="6" xfId="0" applyNumberFormat="1" applyFont="1" applyBorder="1" applyAlignment="1">
      <alignment horizontal="center" vertical="center"/>
    </xf>
    <xf numFmtId="0" fontId="19" fillId="0" borderId="6" xfId="0" applyFont="1" applyBorder="1" applyAlignment="1">
      <alignment horizontal="left" vertical="center" wrapText="1"/>
    </xf>
    <xf numFmtId="0" fontId="16" fillId="9" borderId="2" xfId="0" applyFont="1" applyFill="1" applyBorder="1" applyAlignment="1">
      <alignment horizontal="center" vertical="center"/>
    </xf>
    <xf numFmtId="0" fontId="0" fillId="0" borderId="0" xfId="0"/>
    <xf numFmtId="0" fontId="16" fillId="9" borderId="24" xfId="0" applyFont="1" applyFill="1" applyBorder="1" applyAlignment="1">
      <alignment horizontal="center" vertical="center"/>
    </xf>
    <xf numFmtId="0" fontId="0" fillId="0" borderId="14" xfId="0" applyBorder="1"/>
    <xf numFmtId="0" fontId="0" fillId="0" borderId="5" xfId="0" applyBorder="1"/>
    <xf numFmtId="0" fontId="16" fillId="9" borderId="25" xfId="0" applyFont="1" applyFill="1" applyBorder="1" applyAlignment="1">
      <alignment horizontal="center" vertical="center"/>
    </xf>
    <xf numFmtId="0" fontId="0" fillId="0" borderId="22" xfId="0" applyBorder="1"/>
    <xf numFmtId="0" fontId="16" fillId="9" borderId="22" xfId="0" applyFont="1" applyFill="1" applyBorder="1" applyAlignment="1">
      <alignment horizontal="center" vertical="center"/>
    </xf>
    <xf numFmtId="0" fontId="1" fillId="0" borderId="23" xfId="0" applyFont="1" applyBorder="1" applyAlignment="1">
      <alignment horizontal="center" vertical="center" wrapText="1"/>
    </xf>
    <xf numFmtId="0" fontId="0" fillId="0" borderId="1" xfId="0" applyBorder="1"/>
    <xf numFmtId="0" fontId="0" fillId="0" borderId="3" xfId="0" applyBorder="1"/>
    <xf numFmtId="0" fontId="0" fillId="0" borderId="4" xfId="0" applyBorder="1"/>
    <xf numFmtId="0" fontId="2" fillId="0" borderId="0" xfId="0" applyFont="1" applyAlignment="1">
      <alignment horizontal="center"/>
    </xf>
    <xf numFmtId="0" fontId="15" fillId="9" borderId="6" xfId="0" applyFont="1" applyFill="1" applyBorder="1" applyAlignment="1">
      <alignment horizontal="center"/>
    </xf>
    <xf numFmtId="0" fontId="0" fillId="0" borderId="19" xfId="0" applyBorder="1"/>
    <xf numFmtId="0" fontId="15" fillId="9" borderId="0" xfId="0" applyFont="1" applyFill="1" applyAlignment="1">
      <alignment horizontal="center"/>
    </xf>
    <xf numFmtId="0" fontId="0" fillId="0" borderId="8" xfId="0" applyBorder="1"/>
    <xf numFmtId="0" fontId="14" fillId="9" borderId="6" xfId="0" applyFont="1" applyFill="1" applyBorder="1" applyAlignment="1">
      <alignment horizontal="center" vertical="center"/>
    </xf>
    <xf numFmtId="0" fontId="0" fillId="0" borderId="11" xfId="0" applyBorder="1"/>
    <xf numFmtId="0" fontId="18" fillId="0" borderId="20" xfId="0" applyFont="1" applyBorder="1" applyAlignment="1">
      <alignment horizontal="center" vertical="center" textRotation="255"/>
    </xf>
    <xf numFmtId="0" fontId="0" fillId="0" borderId="20" xfId="0" applyBorder="1"/>
    <xf numFmtId="0" fontId="9" fillId="0" borderId="20" xfId="0" applyFont="1" applyBorder="1" applyAlignment="1">
      <alignment horizontal="center" vertical="center" textRotation="255"/>
    </xf>
    <xf numFmtId="0" fontId="0" fillId="0" borderId="8" xfId="0" applyBorder="1" applyAlignment="1">
      <alignment horizontal="center"/>
    </xf>
    <xf numFmtId="0" fontId="16" fillId="9" borderId="24" xfId="0" applyFont="1" applyFill="1" applyBorder="1" applyAlignment="1">
      <alignment horizontal="center"/>
    </xf>
    <xf numFmtId="0" fontId="15" fillId="9" borderId="8" xfId="0" applyFont="1" applyFill="1" applyBorder="1" applyAlignment="1">
      <alignment horizontal="center"/>
    </xf>
    <xf numFmtId="0" fontId="8" fillId="0" borderId="21" xfId="0" applyFont="1" applyBorder="1" applyAlignment="1">
      <alignment horizontal="center" vertical="center" wrapText="1"/>
    </xf>
    <xf numFmtId="0" fontId="0" fillId="0" borderId="21" xfId="0" applyBorder="1"/>
    <xf numFmtId="0" fontId="20" fillId="0" borderId="6" xfId="0" applyFont="1" applyBorder="1" applyAlignment="1">
      <alignment horizontal="center" vertical="center" wrapText="1"/>
    </xf>
    <xf numFmtId="0" fontId="14" fillId="9" borderId="13" xfId="0" applyFont="1" applyFill="1" applyBorder="1" applyAlignment="1">
      <alignment horizontal="center" vertical="center" wrapText="1"/>
    </xf>
    <xf numFmtId="0" fontId="9" fillId="0" borderId="8" xfId="0" applyFont="1" applyBorder="1"/>
    <xf numFmtId="0" fontId="9" fillId="0" borderId="17" xfId="0" applyFont="1" applyBorder="1"/>
    <xf numFmtId="0" fontId="14" fillId="9" borderId="16" xfId="0" applyFont="1" applyFill="1" applyBorder="1" applyAlignment="1">
      <alignment horizontal="center" vertical="center" wrapText="1"/>
    </xf>
    <xf numFmtId="0" fontId="14" fillId="9" borderId="8" xfId="0" applyFont="1" applyFill="1" applyBorder="1" applyAlignment="1">
      <alignment horizontal="center" vertical="center"/>
    </xf>
    <xf numFmtId="0" fontId="9" fillId="0" borderId="0" xfId="0" applyFont="1"/>
    <xf numFmtId="14" fontId="21" fillId="0" borderId="6" xfId="0" applyNumberFormat="1" applyFont="1" applyBorder="1" applyAlignment="1">
      <alignment horizontal="center" vertical="center" wrapText="1"/>
    </xf>
    <xf numFmtId="0" fontId="21" fillId="0" borderId="6" xfId="0" applyFont="1" applyBorder="1" applyAlignment="1">
      <alignment horizontal="center" vertical="center" wrapText="1"/>
    </xf>
    <xf numFmtId="0" fontId="21" fillId="0" borderId="6" xfId="0" applyFont="1" applyBorder="1" applyAlignment="1">
      <alignment horizontal="left" vertical="center" wrapText="1"/>
    </xf>
    <xf numFmtId="44" fontId="21" fillId="0" borderId="6" xfId="4" applyFont="1" applyBorder="1" applyAlignment="1">
      <alignment horizontal="center" vertical="center" wrapText="1"/>
    </xf>
    <xf numFmtId="0" fontId="21" fillId="0" borderId="0" xfId="0" applyFont="1" applyAlignment="1">
      <alignment horizontal="left" vertical="center"/>
    </xf>
    <xf numFmtId="0" fontId="21" fillId="0" borderId="6" xfId="0" applyFont="1" applyBorder="1" applyAlignment="1">
      <alignment horizontal="left" vertical="center"/>
    </xf>
  </cellXfs>
  <cellStyles count="6">
    <cellStyle name="Moneda" xfId="4" builtinId="4"/>
    <cellStyle name="Normal" xfId="0" builtinId="0"/>
    <cellStyle name="Normal 5 2" xfId="2" xr:uid="{00000000-0005-0000-0000-000002000000}"/>
    <cellStyle name="Normal 6" xfId="3" xr:uid="{00000000-0005-0000-0000-000003000000}"/>
    <cellStyle name="Porcentaje" xfId="5" builtinId="5"/>
    <cellStyle name="Title 2" xfId="1" xr:uid="{00000000-0005-0000-0000-000001000000}"/>
  </cellStyles>
  <dxfs count="25">
    <dxf>
      <fill>
        <patternFill>
          <bgColor theme="9" tint="-0.24994659260841701"/>
        </patternFill>
      </fill>
    </dxf>
    <dxf>
      <fill>
        <patternFill>
          <bgColor theme="7" tint="0.39994506668294322"/>
        </patternFill>
      </fill>
    </dxf>
    <dxf>
      <fill>
        <patternFill>
          <bgColor theme="5"/>
        </patternFill>
      </fill>
    </dxf>
    <dxf>
      <fill>
        <patternFill>
          <bgColor rgb="FFC00000"/>
        </patternFill>
      </fill>
    </dxf>
    <dxf>
      <alignment horizontal="general" vertical="top"/>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dxf>
    <dxf>
      <border outline="0">
        <bottom style="thin">
          <color indexed="64"/>
        </bottom>
      </border>
    </dxf>
    <dxf>
      <font>
        <b/>
        <strike val="0"/>
        <condense val="0"/>
        <extend val="0"/>
        <outline val="0"/>
        <shadow val="0"/>
        <vertAlign val="baseline"/>
        <sz val="12"/>
        <color auto="1"/>
        <name val="Calibri"/>
        <family val="2"/>
        <scheme val="minor"/>
      </font>
      <fill>
        <patternFill patternType="solid">
          <fgColor indexed="64"/>
          <bgColor theme="0" tint="-0.14999847407452621"/>
        </patternFill>
      </fill>
      <alignment horizontal="center" vertical="center"/>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2"/>
        <color auto="1"/>
        <name val="Calibri"/>
        <family val="2"/>
        <scheme val="minor"/>
      </font>
      <fill>
        <patternFill patternType="solid">
          <fgColor indexed="64"/>
          <bgColor theme="0" tint="-0.14999847407452621"/>
        </patternFill>
      </fill>
      <alignment horizontal="center" vertical="center"/>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2"/>
        <color auto="1"/>
        <name val="Calibri"/>
        <family val="2"/>
        <scheme val="minor"/>
      </font>
      <fill>
        <patternFill patternType="solid">
          <fgColor indexed="64"/>
          <bgColor theme="0" tint="-0.14999847407452621"/>
        </patternFill>
      </fill>
      <alignment horizontal="center" vertical="center"/>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2"/>
        <color auto="1"/>
        <name val="Calibri"/>
        <family val="2"/>
        <scheme val="minor"/>
      </font>
      <fill>
        <patternFill patternType="solid">
          <fgColor indexed="64"/>
          <bgColor theme="0" tint="-0.14999847407452621"/>
        </patternFill>
      </fill>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écnico" displayName="Técnico" ref="F3:F8" totalsRowShown="0" headerRowDxfId="24" headerRowBorderDxfId="23" tableBorderDxfId="22" totalsRowBorderDxfId="21">
  <autoFilter ref="F3:F8" xr:uid="{00000000-0009-0000-0100-000001000000}"/>
  <tableColumns count="1">
    <tableColumn id="1" xr3:uid="{00000000-0010-0000-0000-000001000000}" name="Técnico"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terno" displayName="Externo" ref="G3:G8" totalsRowShown="0" headerRowDxfId="19" headerRowBorderDxfId="18" tableBorderDxfId="17" totalsRowBorderDxfId="16">
  <autoFilter ref="G3:G8" xr:uid="{00000000-0009-0000-0100-000002000000}"/>
  <tableColumns count="1">
    <tableColumn id="1" xr3:uid="{00000000-0010-0000-0100-000001000000}" name="Externo"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rganizacionales" displayName="Organizacionales" ref="H3:H7" totalsRowShown="0" headerRowDxfId="14" headerRowBorderDxfId="13" tableBorderDxfId="12" totalsRowBorderDxfId="11">
  <autoFilter ref="H3:H7" xr:uid="{00000000-0009-0000-0100-000003000000}"/>
  <tableColumns count="1">
    <tableColumn id="1" xr3:uid="{00000000-0010-0000-0200-000001000000}" name="Organizacionales"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Gestión" displayName="Gestión" ref="I3:I7" totalsRowShown="0" headerRowDxfId="9" dataDxfId="7" headerRowBorderDxfId="8" tableBorderDxfId="6" totalsRowBorderDxfId="5">
  <autoFilter ref="I3:I7" xr:uid="{00000000-0009-0000-0100-000004000000}"/>
  <tableColumns count="1">
    <tableColumn id="1" xr3:uid="{00000000-0010-0000-0300-000001000000}" name="Gestión" dataDxfId="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D14"/>
  <sheetViews>
    <sheetView showGridLines="0" workbookViewId="0">
      <selection activeCell="A3" sqref="A3"/>
    </sheetView>
  </sheetViews>
  <sheetFormatPr baseColWidth="10" defaultColWidth="10.88671875" defaultRowHeight="14.4"/>
  <cols>
    <col min="1" max="1" width="20.33203125" bestFit="1" customWidth="1"/>
    <col min="2" max="2" width="21.44140625" customWidth="1"/>
    <col min="3" max="3" width="47.44140625" customWidth="1"/>
    <col min="4" max="4" width="26.44140625" customWidth="1"/>
  </cols>
  <sheetData>
    <row r="1" spans="1:4">
      <c r="A1" s="85" t="e" vm="1">
        <v>#VALUE!</v>
      </c>
      <c r="B1" s="86"/>
      <c r="C1" s="1"/>
    </row>
    <row r="2" spans="1:4" ht="59.25" customHeight="1" thickBot="1">
      <c r="A2" s="87"/>
      <c r="B2" s="88"/>
      <c r="C2" s="1"/>
    </row>
    <row r="4" spans="1:4">
      <c r="A4" t="s">
        <v>82</v>
      </c>
    </row>
    <row r="6" spans="1:4" ht="18" customHeight="1">
      <c r="A6" s="89" t="s">
        <v>83</v>
      </c>
      <c r="B6" s="78"/>
      <c r="C6" s="78"/>
      <c r="D6" s="78"/>
    </row>
    <row r="8" spans="1:4" ht="18" customHeight="1">
      <c r="A8" s="41" t="s">
        <v>84</v>
      </c>
      <c r="B8" s="41" t="s">
        <v>85</v>
      </c>
      <c r="C8" s="41" t="s">
        <v>86</v>
      </c>
      <c r="D8" s="41" t="s">
        <v>87</v>
      </c>
    </row>
    <row r="9" spans="1:4" ht="31.2" customHeight="1">
      <c r="A9" s="104" t="s">
        <v>88</v>
      </c>
      <c r="B9" s="104" t="s">
        <v>89</v>
      </c>
      <c r="C9" s="104" t="s">
        <v>90</v>
      </c>
      <c r="D9" s="104" t="s">
        <v>91</v>
      </c>
    </row>
    <row r="10" spans="1:4" ht="15.6" customHeight="1">
      <c r="A10" s="40"/>
      <c r="B10" s="40"/>
      <c r="C10" s="40"/>
      <c r="D10" s="40"/>
    </row>
    <row r="11" spans="1:4" ht="15.6" customHeight="1">
      <c r="A11" s="40"/>
      <c r="B11" s="40"/>
      <c r="C11" s="40"/>
      <c r="D11" s="40"/>
    </row>
    <row r="12" spans="1:4" ht="15.6" customHeight="1">
      <c r="A12" s="40"/>
      <c r="B12" s="40"/>
      <c r="C12" s="40"/>
      <c r="D12" s="40"/>
    </row>
    <row r="14" spans="1:4">
      <c r="A14" t="s">
        <v>92</v>
      </c>
    </row>
  </sheetData>
  <mergeCells count="2">
    <mergeCell ref="A1:B2"/>
    <mergeCell ref="A6:D6"/>
  </mergeCells>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pageSetUpPr fitToPage="1"/>
  </sheetPr>
  <dimension ref="A1:AA14"/>
  <sheetViews>
    <sheetView showGridLines="0" tabSelected="1" zoomScaleNormal="100" workbookViewId="0">
      <selection activeCell="A2" sqref="A2"/>
    </sheetView>
  </sheetViews>
  <sheetFormatPr baseColWidth="10" defaultColWidth="10.88671875" defaultRowHeight="14.4"/>
  <cols>
    <col min="2" max="3" width="16.44140625" customWidth="1"/>
    <col min="4" max="4" width="21.44140625" customWidth="1"/>
    <col min="5" max="5" width="31.88671875" customWidth="1"/>
    <col min="6" max="8" width="26.88671875" customWidth="1"/>
    <col min="9" max="9" width="22.109375" customWidth="1"/>
    <col min="10" max="10" width="21.44140625" customWidth="1"/>
    <col min="11" max="11" width="22.88671875" customWidth="1"/>
    <col min="12" max="12" width="18" customWidth="1"/>
    <col min="13" max="13" width="16" customWidth="1"/>
    <col min="14" max="14" width="19.109375" bestFit="1" customWidth="1"/>
    <col min="15" max="17" width="22.88671875" customWidth="1"/>
    <col min="18" max="18" width="76.44140625" customWidth="1"/>
    <col min="19" max="19" width="27" customWidth="1"/>
    <col min="20" max="24" width="22.88671875" customWidth="1"/>
    <col min="25" max="25" width="35.77734375" customWidth="1"/>
    <col min="26" max="26" width="26.33203125" customWidth="1"/>
    <col min="27" max="27" width="22.33203125" customWidth="1"/>
  </cols>
  <sheetData>
    <row r="1" spans="1:27" ht="21.6" customHeight="1" thickBot="1">
      <c r="A1" s="84" t="s">
        <v>0</v>
      </c>
      <c r="B1" s="78"/>
      <c r="C1" s="78"/>
      <c r="D1" s="78"/>
      <c r="E1" s="78"/>
      <c r="F1" s="78"/>
      <c r="G1" s="78"/>
      <c r="H1" s="83"/>
      <c r="I1" s="82" t="s">
        <v>1</v>
      </c>
      <c r="J1" s="78"/>
      <c r="K1" s="78"/>
      <c r="L1" s="78"/>
      <c r="M1" s="78"/>
      <c r="N1" s="78"/>
      <c r="O1" s="78"/>
      <c r="P1" s="83"/>
      <c r="Q1" s="79" t="s">
        <v>2</v>
      </c>
      <c r="R1" s="80"/>
      <c r="S1" s="80"/>
      <c r="T1" s="80"/>
      <c r="U1" s="81"/>
      <c r="V1" s="77" t="s">
        <v>3</v>
      </c>
      <c r="W1" s="78"/>
      <c r="X1" s="78"/>
      <c r="Y1" s="78"/>
      <c r="Z1" s="78"/>
      <c r="AA1" s="78"/>
    </row>
    <row r="2" spans="1:27" ht="46.8" customHeight="1">
      <c r="A2" s="48" t="s">
        <v>4</v>
      </c>
      <c r="B2" s="49" t="s">
        <v>5</v>
      </c>
      <c r="C2" s="49" t="s">
        <v>6</v>
      </c>
      <c r="D2" s="48" t="s">
        <v>7</v>
      </c>
      <c r="E2" s="49" t="s">
        <v>8</v>
      </c>
      <c r="F2" s="50" t="s">
        <v>9</v>
      </c>
      <c r="G2" s="50" t="s">
        <v>10</v>
      </c>
      <c r="H2" s="50" t="s">
        <v>11</v>
      </c>
      <c r="I2" s="50" t="s">
        <v>12</v>
      </c>
      <c r="J2" s="50" t="s">
        <v>13</v>
      </c>
      <c r="K2" s="51" t="s">
        <v>14</v>
      </c>
      <c r="L2" s="51" t="s">
        <v>15</v>
      </c>
      <c r="M2" s="35" t="s">
        <v>16</v>
      </c>
      <c r="N2" s="35" t="s">
        <v>17</v>
      </c>
      <c r="O2" s="35" t="s">
        <v>18</v>
      </c>
      <c r="P2" s="35" t="s">
        <v>19</v>
      </c>
      <c r="Q2" s="52" t="s">
        <v>20</v>
      </c>
      <c r="R2" s="50" t="s">
        <v>21</v>
      </c>
      <c r="S2" s="50" t="s">
        <v>22</v>
      </c>
      <c r="T2" s="50" t="s">
        <v>23</v>
      </c>
      <c r="U2" s="50" t="s">
        <v>24</v>
      </c>
      <c r="V2" s="53" t="s">
        <v>25</v>
      </c>
      <c r="W2" s="50" t="s">
        <v>26</v>
      </c>
      <c r="X2" s="53" t="s">
        <v>27</v>
      </c>
      <c r="Y2" s="50" t="s">
        <v>21</v>
      </c>
      <c r="Z2" s="50" t="s">
        <v>24</v>
      </c>
      <c r="AA2" s="35" t="s">
        <v>28</v>
      </c>
    </row>
    <row r="3" spans="1:27" ht="92.4" customHeight="1">
      <c r="A3" s="71" t="s">
        <v>32</v>
      </c>
      <c r="B3" s="72">
        <v>46047</v>
      </c>
      <c r="C3" s="73" t="s">
        <v>29</v>
      </c>
      <c r="D3" s="73" t="s">
        <v>30</v>
      </c>
      <c r="E3" s="73" t="s">
        <v>29</v>
      </c>
      <c r="F3" s="76" t="s">
        <v>33</v>
      </c>
      <c r="G3" s="76" t="s">
        <v>34</v>
      </c>
      <c r="H3" s="76" t="s">
        <v>35</v>
      </c>
      <c r="I3" s="73">
        <v>3</v>
      </c>
      <c r="J3" s="74">
        <v>30</v>
      </c>
      <c r="K3" s="73">
        <v>90</v>
      </c>
      <c r="L3" s="74">
        <v>22.5</v>
      </c>
      <c r="M3" s="74" t="s">
        <v>36</v>
      </c>
      <c r="N3" s="73" t="s">
        <v>37</v>
      </c>
      <c r="O3" s="74" t="s">
        <v>38</v>
      </c>
      <c r="P3" s="73" t="s">
        <v>39</v>
      </c>
      <c r="Q3" s="76" t="s">
        <v>40</v>
      </c>
      <c r="R3" s="74" t="s">
        <v>41</v>
      </c>
      <c r="S3" s="73" t="s">
        <v>42</v>
      </c>
      <c r="T3" s="74" t="s">
        <v>43</v>
      </c>
      <c r="U3" s="73" t="s">
        <v>44</v>
      </c>
      <c r="V3" s="76" t="s">
        <v>45</v>
      </c>
      <c r="W3" s="76" t="s">
        <v>46</v>
      </c>
      <c r="X3" s="74" t="s">
        <v>47</v>
      </c>
      <c r="Y3" s="76" t="s">
        <v>48</v>
      </c>
      <c r="Z3" s="73" t="s">
        <v>44</v>
      </c>
      <c r="AA3" s="74" t="s">
        <v>49</v>
      </c>
    </row>
    <row r="4" spans="1:27" ht="106.8" customHeight="1">
      <c r="A4" s="75" t="s">
        <v>50</v>
      </c>
      <c r="B4" s="72">
        <v>46047</v>
      </c>
      <c r="C4" s="73" t="s">
        <v>51</v>
      </c>
      <c r="D4" s="73" t="s">
        <v>52</v>
      </c>
      <c r="E4" s="73" t="s">
        <v>53</v>
      </c>
      <c r="F4" s="76" t="s">
        <v>54</v>
      </c>
      <c r="G4" s="76" t="s">
        <v>55</v>
      </c>
      <c r="H4" s="76" t="s">
        <v>56</v>
      </c>
      <c r="I4" s="73">
        <v>2</v>
      </c>
      <c r="J4" s="74">
        <v>70</v>
      </c>
      <c r="K4" s="73">
        <v>140</v>
      </c>
      <c r="L4" s="74">
        <v>35</v>
      </c>
      <c r="M4" s="74" t="s">
        <v>36</v>
      </c>
      <c r="N4" s="73" t="s">
        <v>37</v>
      </c>
      <c r="O4" s="74" t="s">
        <v>38</v>
      </c>
      <c r="P4" s="73" t="s">
        <v>39</v>
      </c>
      <c r="Q4" s="76" t="s">
        <v>57</v>
      </c>
      <c r="R4" s="74" t="s">
        <v>58</v>
      </c>
      <c r="S4" s="73" t="s">
        <v>59</v>
      </c>
      <c r="T4" s="74" t="s">
        <v>60</v>
      </c>
      <c r="U4" s="73" t="s">
        <v>44</v>
      </c>
      <c r="V4" s="76" t="s">
        <v>61</v>
      </c>
      <c r="W4" s="76" t="s">
        <v>62</v>
      </c>
      <c r="X4" s="74" t="s">
        <v>63</v>
      </c>
      <c r="Y4" s="76" t="s">
        <v>64</v>
      </c>
      <c r="Z4" s="73" t="s">
        <v>65</v>
      </c>
      <c r="AA4" s="74" t="s">
        <v>49</v>
      </c>
    </row>
    <row r="5" spans="1:27" ht="92.4" customHeight="1">
      <c r="A5" s="75" t="s">
        <v>66</v>
      </c>
      <c r="B5" s="72">
        <v>46047</v>
      </c>
      <c r="C5" s="73" t="s">
        <v>30</v>
      </c>
      <c r="D5" s="73" t="s">
        <v>30</v>
      </c>
      <c r="E5" s="73" t="s">
        <v>67</v>
      </c>
      <c r="F5" s="76" t="s">
        <v>68</v>
      </c>
      <c r="G5" s="76" t="s">
        <v>69</v>
      </c>
      <c r="H5" s="76" t="s">
        <v>70</v>
      </c>
      <c r="I5" s="73">
        <v>1</v>
      </c>
      <c r="J5" s="74">
        <v>30</v>
      </c>
      <c r="K5" s="73">
        <v>30</v>
      </c>
      <c r="L5" s="74">
        <v>7.5</v>
      </c>
      <c r="M5" s="74" t="s">
        <v>71</v>
      </c>
      <c r="N5" s="73" t="s">
        <v>72</v>
      </c>
      <c r="O5" s="74" t="s">
        <v>38</v>
      </c>
      <c r="P5" s="73" t="s">
        <v>39</v>
      </c>
      <c r="Q5" s="76" t="s">
        <v>73</v>
      </c>
      <c r="R5" s="74" t="s">
        <v>74</v>
      </c>
      <c r="S5" s="73" t="s">
        <v>75</v>
      </c>
      <c r="T5" s="74" t="s">
        <v>76</v>
      </c>
      <c r="U5" s="73" t="s">
        <v>77</v>
      </c>
      <c r="V5" s="76" t="s">
        <v>78</v>
      </c>
      <c r="W5" s="76" t="s">
        <v>79</v>
      </c>
      <c r="X5" s="74" t="s">
        <v>80</v>
      </c>
      <c r="Y5" s="76" t="s">
        <v>81</v>
      </c>
      <c r="Z5" s="73" t="s">
        <v>44</v>
      </c>
      <c r="AA5" s="74" t="s">
        <v>49</v>
      </c>
    </row>
    <row r="6" spans="1:27">
      <c r="D6" s="3"/>
      <c r="J6" s="3"/>
    </row>
    <row r="7" spans="1:27">
      <c r="D7" s="3"/>
      <c r="J7" s="3"/>
    </row>
    <row r="8" spans="1:27">
      <c r="D8" s="3"/>
      <c r="J8" s="3"/>
    </row>
    <row r="9" spans="1:27">
      <c r="D9" s="3"/>
      <c r="J9" s="3"/>
    </row>
    <row r="10" spans="1:27">
      <c r="D10" s="3"/>
      <c r="J10" s="3"/>
    </row>
    <row r="11" spans="1:27">
      <c r="D11" s="3"/>
      <c r="J11" s="3"/>
    </row>
    <row r="12" spans="1:27">
      <c r="D12" s="3"/>
      <c r="J12" s="3"/>
    </row>
    <row r="13" spans="1:27">
      <c r="D13" s="3"/>
      <c r="J13" s="3"/>
    </row>
    <row r="14" spans="1:27">
      <c r="D14" s="3"/>
      <c r="J14" s="3"/>
    </row>
  </sheetData>
  <mergeCells count="4">
    <mergeCell ref="V1:AA1"/>
    <mergeCell ref="Q1:U1"/>
    <mergeCell ref="I1:P1"/>
    <mergeCell ref="A1:H1"/>
  </mergeCells>
  <conditionalFormatting sqref="M3:M5">
    <cfRule type="cellIs" dxfId="3" priority="1" operator="equal">
      <formula>"Inaceptable"</formula>
    </cfRule>
    <cfRule type="cellIs" dxfId="2" priority="2" operator="equal">
      <formula>"Peligroso"</formula>
    </cfRule>
    <cfRule type="cellIs" dxfId="1" priority="3" operator="equal">
      <formula>"Tolerable"</formula>
    </cfRule>
    <cfRule type="cellIs" dxfId="0" priority="4" operator="equal">
      <formula>"Aceptable"</formula>
    </cfRule>
  </conditionalFormatting>
  <dataValidations count="1">
    <dataValidation type="list" allowBlank="1" showInputMessage="1" showErrorMessage="1" sqref="E3:E5" xr:uid="{00000000-0002-0000-0100-000000000000}">
      <formula1>INDIRECT(D3)</formula1>
    </dataValidation>
  </dataValidations>
  <pageMargins left="0.7" right="0.7" top="0.75" bottom="0.75" header="0.3" footer="0.3"/>
  <pageSetup paperSize="9" scale="18"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pageSetUpPr fitToPage="1"/>
  </sheetPr>
  <dimension ref="B1:O11"/>
  <sheetViews>
    <sheetView showGridLines="0" zoomScale="85" zoomScaleNormal="85" workbookViewId="0">
      <selection activeCell="B2" sqref="B2"/>
    </sheetView>
  </sheetViews>
  <sheetFormatPr baseColWidth="10" defaultColWidth="12.109375" defaultRowHeight="14.4"/>
  <cols>
    <col min="3" max="3" width="16.109375" customWidth="1"/>
    <col min="4" max="4" width="13.5546875" bestFit="1" customWidth="1"/>
    <col min="8" max="8" width="12.109375" customWidth="1"/>
    <col min="9" max="9" width="26.6640625" customWidth="1"/>
    <col min="10" max="11" width="27" customWidth="1"/>
    <col min="12" max="13" width="19.109375" customWidth="1"/>
    <col min="14" max="14" width="27.88671875" customWidth="1"/>
    <col min="15" max="15" width="52.109375" customWidth="1"/>
  </cols>
  <sheetData>
    <row r="1" spans="2:15" ht="18" customHeight="1">
      <c r="C1" s="22"/>
      <c r="D1" s="22"/>
      <c r="E1" s="22"/>
      <c r="F1" s="22"/>
      <c r="G1" s="22"/>
      <c r="H1" s="22"/>
    </row>
    <row r="4" spans="2:15" ht="18" customHeight="1">
      <c r="C4" s="54" t="s">
        <v>12</v>
      </c>
      <c r="J4" s="90" t="s">
        <v>93</v>
      </c>
      <c r="K4" s="91"/>
    </row>
    <row r="5" spans="2:15" ht="15.6" customHeight="1">
      <c r="B5" s="56" t="s">
        <v>94</v>
      </c>
      <c r="C5" s="34">
        <v>4</v>
      </c>
      <c r="D5" s="15">
        <f>D8*C5</f>
        <v>1</v>
      </c>
      <c r="E5" s="16">
        <f>E8*C5</f>
        <v>30</v>
      </c>
      <c r="F5" s="17">
        <f>F8*C5</f>
        <v>70</v>
      </c>
      <c r="G5" s="18">
        <v>100</v>
      </c>
      <c r="J5" s="58" t="s">
        <v>95</v>
      </c>
      <c r="K5" s="59" t="s">
        <v>96</v>
      </c>
      <c r="L5" s="60" t="s">
        <v>97</v>
      </c>
      <c r="M5" s="61" t="s">
        <v>98</v>
      </c>
      <c r="N5" s="58" t="s">
        <v>99</v>
      </c>
      <c r="O5" s="58" t="s">
        <v>100</v>
      </c>
    </row>
    <row r="6" spans="2:15" ht="15.6" customHeight="1">
      <c r="B6" s="56" t="s">
        <v>101</v>
      </c>
      <c r="C6" s="34">
        <v>3</v>
      </c>
      <c r="D6" s="15">
        <f>D8*C6</f>
        <v>0.75</v>
      </c>
      <c r="E6" s="16">
        <f>E8*C6</f>
        <v>22.5</v>
      </c>
      <c r="F6" s="17">
        <f>F8*C6</f>
        <v>52.5</v>
      </c>
      <c r="G6" s="18">
        <f>G8*C6</f>
        <v>75</v>
      </c>
      <c r="I6" s="20"/>
      <c r="J6" s="19" t="s">
        <v>71</v>
      </c>
      <c r="K6" s="24" t="s">
        <v>102</v>
      </c>
      <c r="L6" s="24">
        <v>0</v>
      </c>
      <c r="M6" s="24">
        <v>15</v>
      </c>
      <c r="N6" s="36" t="s">
        <v>103</v>
      </c>
      <c r="O6" s="62" t="s">
        <v>104</v>
      </c>
    </row>
    <row r="7" spans="2:15" ht="15.6" customHeight="1">
      <c r="B7" s="56" t="s">
        <v>105</v>
      </c>
      <c r="C7" s="34">
        <v>2</v>
      </c>
      <c r="D7" s="15">
        <f>D8*C7</f>
        <v>0.5</v>
      </c>
      <c r="E7" s="16">
        <f>E8*C7</f>
        <v>15</v>
      </c>
      <c r="F7" s="16">
        <f>F8*C7</f>
        <v>35</v>
      </c>
      <c r="G7" s="17">
        <f>G8*C7</f>
        <v>50</v>
      </c>
      <c r="J7" s="26" t="s">
        <v>36</v>
      </c>
      <c r="K7" s="30" t="s">
        <v>106</v>
      </c>
      <c r="L7" s="30">
        <v>15</v>
      </c>
      <c r="M7" s="30">
        <v>50</v>
      </c>
      <c r="N7" s="36" t="s">
        <v>107</v>
      </c>
      <c r="O7" s="37" t="s">
        <v>108</v>
      </c>
    </row>
    <row r="8" spans="2:15" ht="15.6" customHeight="1">
      <c r="B8" s="56" t="s">
        <v>109</v>
      </c>
      <c r="C8" s="34">
        <v>1</v>
      </c>
      <c r="D8" s="15">
        <v>0.25</v>
      </c>
      <c r="E8" s="15">
        <f>D8*E9</f>
        <v>7.5</v>
      </c>
      <c r="F8" s="16">
        <f>D8*F9</f>
        <v>17.5</v>
      </c>
      <c r="G8" s="16">
        <f>G5/C5</f>
        <v>25</v>
      </c>
      <c r="J8" s="21" t="s">
        <v>110</v>
      </c>
      <c r="K8" s="23" t="s">
        <v>111</v>
      </c>
      <c r="L8" s="23">
        <v>50</v>
      </c>
      <c r="M8" s="23">
        <v>75</v>
      </c>
      <c r="N8" s="36" t="s">
        <v>112</v>
      </c>
      <c r="O8" s="62" t="s">
        <v>108</v>
      </c>
    </row>
    <row r="9" spans="2:15" ht="14.7" customHeight="1">
      <c r="C9" s="14"/>
      <c r="D9" s="34">
        <v>1</v>
      </c>
      <c r="E9" s="34">
        <v>30</v>
      </c>
      <c r="F9" s="34">
        <v>70</v>
      </c>
      <c r="G9" s="57">
        <f>G5/D5</f>
        <v>100</v>
      </c>
      <c r="J9" s="28" t="s">
        <v>113</v>
      </c>
      <c r="K9" s="31" t="s">
        <v>114</v>
      </c>
      <c r="L9" s="31">
        <v>75</v>
      </c>
      <c r="M9" s="31">
        <v>100</v>
      </c>
      <c r="N9" s="36" t="s">
        <v>112</v>
      </c>
      <c r="O9" s="37" t="s">
        <v>115</v>
      </c>
    </row>
    <row r="10" spans="2:15">
      <c r="D10" s="55" t="s">
        <v>116</v>
      </c>
      <c r="E10" s="55" t="s">
        <v>117</v>
      </c>
      <c r="F10" s="55" t="s">
        <v>118</v>
      </c>
      <c r="G10" s="55" t="s">
        <v>119</v>
      </c>
    </row>
    <row r="11" spans="2:15" ht="18" customHeight="1">
      <c r="D11" s="92" t="s">
        <v>13</v>
      </c>
      <c r="E11" s="78"/>
      <c r="F11" s="78"/>
      <c r="G11" s="78"/>
    </row>
  </sheetData>
  <mergeCells count="2">
    <mergeCell ref="J4:K4"/>
    <mergeCell ref="D11:G11"/>
  </mergeCells>
  <pageMargins left="0.7" right="0.7" top="0.75" bottom="0.75" header="0.3" footer="0.3"/>
  <pageSetup paperSize="9" scale="43"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pageSetUpPr fitToPage="1"/>
  </sheetPr>
  <dimension ref="A1:Q4"/>
  <sheetViews>
    <sheetView showGridLines="0" zoomScale="70" zoomScaleNormal="70" workbookViewId="0">
      <selection activeCell="A2" sqref="A2"/>
    </sheetView>
  </sheetViews>
  <sheetFormatPr baseColWidth="10" defaultColWidth="11.5546875" defaultRowHeight="15.6"/>
  <cols>
    <col min="1" max="1" width="18.88671875" style="110" customWidth="1"/>
    <col min="2" max="2" width="15.33203125" style="110" customWidth="1"/>
    <col min="3" max="3" width="27" style="110" customWidth="1"/>
    <col min="4" max="5" width="40.5546875" style="110" customWidth="1"/>
    <col min="6" max="6" width="43.6640625" style="110" customWidth="1"/>
    <col min="7" max="10" width="20.88671875" style="110" customWidth="1"/>
    <col min="11" max="11" width="17" style="110" customWidth="1"/>
    <col min="12" max="12" width="33" style="110" customWidth="1"/>
    <col min="13" max="13" width="43.88671875" style="110" customWidth="1"/>
    <col min="14" max="14" width="32.44140625" style="110" customWidth="1"/>
    <col min="15" max="15" width="31.109375" style="110" customWidth="1"/>
    <col min="16" max="16" width="12.88671875" style="110" bestFit="1" customWidth="1"/>
    <col min="17" max="17" width="53.109375" style="110" customWidth="1"/>
    <col min="18" max="16384" width="11.5546875" style="110"/>
  </cols>
  <sheetData>
    <row r="1" spans="1:17" ht="26.55" customHeight="1">
      <c r="A1" s="105" t="s">
        <v>120</v>
      </c>
      <c r="B1" s="106"/>
      <c r="C1" s="106"/>
      <c r="D1" s="107"/>
      <c r="E1" s="108" t="s">
        <v>121</v>
      </c>
      <c r="F1" s="106"/>
      <c r="G1" s="106"/>
      <c r="H1" s="106"/>
      <c r="I1" s="106"/>
      <c r="J1" s="106"/>
      <c r="K1" s="106"/>
      <c r="L1" s="109" t="s">
        <v>122</v>
      </c>
      <c r="M1" s="106"/>
      <c r="N1" s="106"/>
      <c r="O1" s="106"/>
      <c r="P1" s="109" t="s">
        <v>123</v>
      </c>
      <c r="Q1" s="106"/>
    </row>
    <row r="2" spans="1:17" ht="31.2" customHeight="1">
      <c r="A2" s="35" t="s">
        <v>5</v>
      </c>
      <c r="B2" s="34" t="s">
        <v>124</v>
      </c>
      <c r="C2" s="34" t="s">
        <v>125</v>
      </c>
      <c r="D2" s="34" t="s">
        <v>86</v>
      </c>
      <c r="E2" s="34" t="s">
        <v>7</v>
      </c>
      <c r="F2" s="35" t="s">
        <v>126</v>
      </c>
      <c r="G2" s="35" t="s">
        <v>127</v>
      </c>
      <c r="H2" s="35" t="s">
        <v>128</v>
      </c>
      <c r="I2" s="35" t="s">
        <v>129</v>
      </c>
      <c r="J2" s="35" t="s">
        <v>130</v>
      </c>
      <c r="K2" s="35" t="s">
        <v>100</v>
      </c>
      <c r="L2" s="35" t="s">
        <v>131</v>
      </c>
      <c r="M2" s="35" t="s">
        <v>21</v>
      </c>
      <c r="N2" s="35" t="s">
        <v>24</v>
      </c>
      <c r="O2" s="35" t="s">
        <v>132</v>
      </c>
      <c r="P2" s="35" t="s">
        <v>28</v>
      </c>
      <c r="Q2" s="35" t="s">
        <v>133</v>
      </c>
    </row>
    <row r="3" spans="1:17" ht="103.2" customHeight="1">
      <c r="A3" s="111">
        <v>46047</v>
      </c>
      <c r="B3" s="112" t="s">
        <v>138</v>
      </c>
      <c r="C3" s="112" t="s">
        <v>139</v>
      </c>
      <c r="D3" s="112" t="s">
        <v>140</v>
      </c>
      <c r="E3" s="112" t="s">
        <v>141</v>
      </c>
      <c r="F3" s="113" t="s">
        <v>142</v>
      </c>
      <c r="G3" s="114">
        <v>3000</v>
      </c>
      <c r="H3" s="114">
        <v>8000</v>
      </c>
      <c r="I3" s="112">
        <f>(H3-G3)/G3</f>
        <v>1.6666666666666667</v>
      </c>
      <c r="J3" s="112" t="s">
        <v>143</v>
      </c>
      <c r="K3" s="112" t="s">
        <v>136</v>
      </c>
      <c r="L3" s="116" t="s">
        <v>144</v>
      </c>
      <c r="M3" s="113" t="s">
        <v>145</v>
      </c>
      <c r="N3" s="112" t="s">
        <v>44</v>
      </c>
      <c r="O3" s="112" t="s">
        <v>146</v>
      </c>
      <c r="P3" s="112" t="s">
        <v>147</v>
      </c>
      <c r="Q3" s="112"/>
    </row>
    <row r="4" spans="1:17" ht="103.2" customHeight="1">
      <c r="A4" s="111">
        <v>46047</v>
      </c>
      <c r="B4" s="112" t="s">
        <v>148</v>
      </c>
      <c r="C4" s="112" t="s">
        <v>149</v>
      </c>
      <c r="D4" s="112" t="s">
        <v>150</v>
      </c>
      <c r="E4" s="112" t="s">
        <v>29</v>
      </c>
      <c r="F4" s="113" t="s">
        <v>151</v>
      </c>
      <c r="G4" s="114">
        <v>20000</v>
      </c>
      <c r="H4" s="114">
        <v>90000</v>
      </c>
      <c r="I4" s="112">
        <f>(H4-G4)/G4</f>
        <v>3.5</v>
      </c>
      <c r="J4" s="112" t="s">
        <v>152</v>
      </c>
      <c r="K4" s="112" t="s">
        <v>136</v>
      </c>
      <c r="L4" s="115" t="s">
        <v>153</v>
      </c>
      <c r="M4" s="113" t="s">
        <v>154</v>
      </c>
      <c r="N4" s="112" t="s">
        <v>44</v>
      </c>
      <c r="O4" s="112" t="s">
        <v>146</v>
      </c>
      <c r="P4" s="112" t="s">
        <v>49</v>
      </c>
      <c r="Q4" s="112"/>
    </row>
  </sheetData>
  <mergeCells count="4">
    <mergeCell ref="L1:O1"/>
    <mergeCell ref="E1:K1"/>
    <mergeCell ref="A1:D1"/>
    <mergeCell ref="P1:Q1"/>
  </mergeCells>
  <pageMargins left="0.7" right="0.7" top="0.75" bottom="0.75" header="0.3" footer="0.3"/>
  <pageSetup scale="11"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pageSetUpPr fitToPage="1"/>
  </sheetPr>
  <dimension ref="A2:K18"/>
  <sheetViews>
    <sheetView showGridLines="0" zoomScale="115" zoomScaleNormal="115" workbookViewId="0"/>
  </sheetViews>
  <sheetFormatPr baseColWidth="10" defaultColWidth="12.109375" defaultRowHeight="14.4"/>
  <cols>
    <col min="3" max="3" width="16.88671875" customWidth="1"/>
    <col min="4" max="4" width="31.6640625" bestFit="1" customWidth="1"/>
    <col min="5" max="5" width="3.5546875" customWidth="1"/>
    <col min="7" max="7" width="13.5546875" bestFit="1" customWidth="1"/>
    <col min="8" max="8" width="22.5546875" customWidth="1"/>
    <col min="9" max="9" width="3.109375" customWidth="1"/>
    <col min="10" max="10" width="26.44140625" bestFit="1" customWidth="1"/>
    <col min="11" max="11" width="13.109375" customWidth="1"/>
    <col min="12" max="12" width="47.88671875" bestFit="1" customWidth="1"/>
    <col min="13" max="13" width="27.88671875" bestFit="1" customWidth="1"/>
    <col min="14" max="14" width="49.44140625" bestFit="1" customWidth="1"/>
  </cols>
  <sheetData>
    <row r="2" spans="1:11" ht="15.6" customHeight="1">
      <c r="A2" s="98" t="s">
        <v>155</v>
      </c>
      <c r="B2" s="94" t="s">
        <v>12</v>
      </c>
      <c r="C2" s="95"/>
      <c r="D2" s="91"/>
      <c r="F2" s="94" t="s">
        <v>13</v>
      </c>
      <c r="G2" s="95"/>
      <c r="H2" s="91"/>
    </row>
    <row r="3" spans="1:11" ht="15.6" customHeight="1">
      <c r="A3" s="97"/>
      <c r="B3" s="34" t="s">
        <v>156</v>
      </c>
      <c r="C3" s="34" t="s">
        <v>157</v>
      </c>
      <c r="D3" s="35" t="s">
        <v>86</v>
      </c>
      <c r="E3" s="25"/>
      <c r="F3" s="34" t="s">
        <v>156</v>
      </c>
      <c r="G3" s="34" t="s">
        <v>157</v>
      </c>
      <c r="H3" s="4" t="s">
        <v>86</v>
      </c>
    </row>
    <row r="4" spans="1:11" ht="28.8" customHeight="1">
      <c r="A4" s="97"/>
      <c r="B4" s="43">
        <v>1</v>
      </c>
      <c r="C4" s="44" t="s">
        <v>109</v>
      </c>
      <c r="D4" s="45" t="s">
        <v>158</v>
      </c>
      <c r="F4" s="46">
        <v>1</v>
      </c>
      <c r="G4" s="47" t="s">
        <v>116</v>
      </c>
      <c r="H4" s="33" t="s">
        <v>159</v>
      </c>
    </row>
    <row r="5" spans="1:11" ht="43.2" customHeight="1">
      <c r="A5" s="97"/>
      <c r="B5" s="43">
        <v>2</v>
      </c>
      <c r="C5" s="44" t="s">
        <v>105</v>
      </c>
      <c r="D5" s="45" t="s">
        <v>160</v>
      </c>
      <c r="F5" s="46">
        <v>30</v>
      </c>
      <c r="G5" s="46" t="s">
        <v>117</v>
      </c>
      <c r="H5" s="27"/>
    </row>
    <row r="6" spans="1:11" ht="30.6" customHeight="1">
      <c r="A6" s="97"/>
      <c r="B6" s="43">
        <v>3</v>
      </c>
      <c r="C6" s="44" t="s">
        <v>101</v>
      </c>
      <c r="D6" s="45" t="s">
        <v>161</v>
      </c>
      <c r="F6" s="46">
        <v>70</v>
      </c>
      <c r="G6" s="46" t="s">
        <v>118</v>
      </c>
      <c r="H6" s="27"/>
    </row>
    <row r="7" spans="1:11" ht="28.8" customHeight="1">
      <c r="A7" s="97"/>
      <c r="B7" s="43">
        <v>4</v>
      </c>
      <c r="C7" s="44" t="s">
        <v>162</v>
      </c>
      <c r="D7" s="45" t="s">
        <v>163</v>
      </c>
      <c r="F7" s="46">
        <v>100</v>
      </c>
      <c r="G7" s="46" t="s">
        <v>119</v>
      </c>
      <c r="H7" s="33" t="s">
        <v>164</v>
      </c>
    </row>
    <row r="8" spans="1:11" ht="15.6" customHeight="1">
      <c r="A8" s="70"/>
      <c r="B8" s="38"/>
      <c r="C8" s="38"/>
      <c r="D8" s="38"/>
      <c r="E8" s="38"/>
      <c r="F8" s="38"/>
      <c r="G8" s="38"/>
      <c r="H8" s="38"/>
      <c r="I8" s="38"/>
      <c r="J8" s="38"/>
    </row>
    <row r="9" spans="1:11">
      <c r="B9" s="99" t="s">
        <v>165</v>
      </c>
      <c r="C9" s="93"/>
      <c r="K9" s="29"/>
    </row>
    <row r="10" spans="1:11" ht="15.45" customHeight="1">
      <c r="A10" s="96"/>
      <c r="B10" s="94" t="s">
        <v>130</v>
      </c>
      <c r="C10" s="91"/>
      <c r="K10" s="29"/>
    </row>
    <row r="11" spans="1:11" ht="15.6" customHeight="1">
      <c r="A11" s="97"/>
      <c r="B11" s="34" t="s">
        <v>157</v>
      </c>
      <c r="C11" s="35" t="s">
        <v>86</v>
      </c>
      <c r="E11" s="38"/>
    </row>
    <row r="12" spans="1:11" ht="15.6" customHeight="1">
      <c r="A12" s="97"/>
      <c r="B12" s="44" t="s">
        <v>135</v>
      </c>
      <c r="C12" s="45" t="s">
        <v>166</v>
      </c>
      <c r="D12" s="42"/>
      <c r="E12" s="38"/>
    </row>
    <row r="13" spans="1:11" ht="15.6" customHeight="1">
      <c r="A13" s="97"/>
      <c r="B13" s="44" t="s">
        <v>167</v>
      </c>
      <c r="C13" s="45" t="s">
        <v>168</v>
      </c>
      <c r="D13" s="42"/>
      <c r="E13" s="38"/>
    </row>
    <row r="14" spans="1:11" ht="15.6" customHeight="1">
      <c r="A14" s="97"/>
      <c r="B14" s="44" t="s">
        <v>169</v>
      </c>
      <c r="C14" s="45" t="s">
        <v>170</v>
      </c>
      <c r="D14" s="38"/>
      <c r="E14" s="38"/>
      <c r="F14" s="38"/>
      <c r="G14" s="38"/>
      <c r="H14" s="38"/>
      <c r="I14" s="38"/>
      <c r="J14" s="38"/>
    </row>
    <row r="15" spans="1:11" ht="29.1" customHeight="1">
      <c r="A15" s="39"/>
      <c r="B15" s="38"/>
      <c r="C15" s="38"/>
      <c r="D15" s="38"/>
      <c r="E15" s="38"/>
      <c r="F15" s="38"/>
      <c r="G15" s="38"/>
    </row>
    <row r="16" spans="1:11" ht="14.7" customHeight="1">
      <c r="A16" s="39"/>
      <c r="B16" s="38"/>
      <c r="C16" s="38"/>
      <c r="D16" s="38"/>
      <c r="E16" s="38"/>
      <c r="F16" s="38"/>
      <c r="G16" s="38"/>
    </row>
    <row r="17" spans="1:10" ht="14.7" customHeight="1">
      <c r="A17" s="39"/>
      <c r="B17" s="39"/>
      <c r="C17" s="39"/>
      <c r="D17" s="39"/>
      <c r="E17" s="38"/>
      <c r="F17" s="38"/>
      <c r="G17" s="38"/>
      <c r="H17" s="38"/>
      <c r="I17" s="38"/>
      <c r="J17" s="38"/>
    </row>
    <row r="18" spans="1:10" ht="14.7" customHeight="1">
      <c r="D18" s="38"/>
      <c r="E18" s="38"/>
      <c r="F18" s="38"/>
      <c r="G18" s="38"/>
      <c r="H18" s="38"/>
      <c r="I18" s="38"/>
      <c r="J18" s="38"/>
    </row>
  </sheetData>
  <mergeCells count="6">
    <mergeCell ref="B2:D2"/>
    <mergeCell ref="A10:A14"/>
    <mergeCell ref="F2:H2"/>
    <mergeCell ref="B10:C10"/>
    <mergeCell ref="A2:A7"/>
    <mergeCell ref="B9:C9"/>
  </mergeCells>
  <pageMargins left="0.7" right="0.7" top="0.75" bottom="0.75" header="0.3" footer="0.3"/>
  <pageSetup paperSize="9" scale="96"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B1:O23"/>
  <sheetViews>
    <sheetView showGridLines="0" workbookViewId="0">
      <selection activeCell="F14" sqref="F14:F18"/>
    </sheetView>
  </sheetViews>
  <sheetFormatPr baseColWidth="10" defaultColWidth="12.109375" defaultRowHeight="14.4"/>
  <cols>
    <col min="1" max="1" width="1.88671875" customWidth="1"/>
    <col min="2" max="2" width="13.44140625" customWidth="1"/>
    <col min="3" max="3" width="1.88671875" customWidth="1"/>
    <col min="4" max="4" width="19.88671875" bestFit="1" customWidth="1"/>
    <col min="5" max="5" width="13.88671875" customWidth="1"/>
    <col min="6" max="6" width="25" bestFit="1" customWidth="1"/>
    <col min="7" max="7" width="25.88671875" customWidth="1"/>
    <col min="8" max="8" width="23.109375" bestFit="1" customWidth="1"/>
    <col min="9" max="9" width="24.109375" customWidth="1"/>
    <col min="10" max="10" width="1.88671875" customWidth="1"/>
    <col min="11" max="11" width="19.109375" customWidth="1"/>
    <col min="12" max="12" width="1.88671875" customWidth="1"/>
    <col min="13" max="13" width="21.6640625" bestFit="1" customWidth="1"/>
    <col min="14" max="14" width="1.88671875" customWidth="1"/>
  </cols>
  <sheetData>
    <row r="1" spans="2:15" ht="21.6" customHeight="1" thickBot="1">
      <c r="B1" s="100" t="s">
        <v>171</v>
      </c>
      <c r="C1" s="80"/>
      <c r="D1" s="80"/>
      <c r="E1" s="80"/>
      <c r="F1" s="80"/>
      <c r="G1" s="80"/>
      <c r="H1" s="80"/>
      <c r="I1" s="80"/>
      <c r="J1" s="80"/>
      <c r="K1" s="80"/>
      <c r="L1" s="80"/>
      <c r="M1" s="80"/>
      <c r="N1" s="80"/>
      <c r="O1" s="81"/>
    </row>
    <row r="2" spans="2:15" ht="18" customHeight="1">
      <c r="F2" s="101" t="s">
        <v>172</v>
      </c>
      <c r="G2" s="93"/>
      <c r="H2" s="93"/>
      <c r="I2" s="93"/>
    </row>
    <row r="3" spans="2:15" ht="64.2" customHeight="1">
      <c r="B3" s="34" t="s">
        <v>6</v>
      </c>
      <c r="D3" s="34" t="s">
        <v>7</v>
      </c>
      <c r="E3" s="102" t="s">
        <v>173</v>
      </c>
      <c r="F3" s="63" t="s">
        <v>52</v>
      </c>
      <c r="G3" s="63" t="s">
        <v>30</v>
      </c>
      <c r="H3" s="63" t="s">
        <v>174</v>
      </c>
      <c r="I3" s="63" t="s">
        <v>175</v>
      </c>
      <c r="J3" s="2"/>
      <c r="K3" s="35" t="s">
        <v>17</v>
      </c>
      <c r="M3" s="64" t="s">
        <v>28</v>
      </c>
    </row>
    <row r="4" spans="2:15">
      <c r="B4" s="7" t="s">
        <v>51</v>
      </c>
      <c r="D4" s="6" t="s">
        <v>52</v>
      </c>
      <c r="E4" s="103"/>
      <c r="F4" s="66" t="s">
        <v>176</v>
      </c>
      <c r="G4" s="66" t="s">
        <v>31</v>
      </c>
      <c r="H4" s="66" t="s">
        <v>53</v>
      </c>
      <c r="I4" s="67" t="s">
        <v>177</v>
      </c>
      <c r="J4" s="5"/>
      <c r="K4" s="7" t="s">
        <v>178</v>
      </c>
      <c r="M4" s="6" t="s">
        <v>49</v>
      </c>
    </row>
    <row r="5" spans="2:15">
      <c r="B5" s="7" t="s">
        <v>141</v>
      </c>
      <c r="D5" s="6" t="s">
        <v>30</v>
      </c>
      <c r="E5" s="103"/>
      <c r="F5" s="9" t="s">
        <v>29</v>
      </c>
      <c r="G5" s="9" t="s">
        <v>67</v>
      </c>
      <c r="H5" s="9" t="s">
        <v>179</v>
      </c>
      <c r="I5" s="10" t="s">
        <v>180</v>
      </c>
      <c r="J5" s="5"/>
      <c r="K5" s="8" t="s">
        <v>37</v>
      </c>
      <c r="M5" s="6" t="s">
        <v>181</v>
      </c>
    </row>
    <row r="6" spans="2:15">
      <c r="B6" s="69" t="s">
        <v>29</v>
      </c>
      <c r="D6" s="6" t="s">
        <v>174</v>
      </c>
      <c r="E6" s="103"/>
      <c r="F6" s="66" t="s">
        <v>182</v>
      </c>
      <c r="G6" s="66" t="s">
        <v>183</v>
      </c>
      <c r="H6" s="68" t="s">
        <v>184</v>
      </c>
      <c r="I6" s="67" t="s">
        <v>185</v>
      </c>
      <c r="J6" s="5"/>
      <c r="K6" s="8" t="s">
        <v>72</v>
      </c>
      <c r="M6" s="6" t="s">
        <v>186</v>
      </c>
    </row>
    <row r="7" spans="2:15">
      <c r="B7" s="13" t="s">
        <v>30</v>
      </c>
      <c r="D7" s="6" t="s">
        <v>175</v>
      </c>
      <c r="E7" s="103"/>
      <c r="F7" s="9" t="s">
        <v>187</v>
      </c>
      <c r="G7" s="9" t="s">
        <v>188</v>
      </c>
      <c r="H7" s="9"/>
      <c r="I7" s="11" t="s">
        <v>189</v>
      </c>
      <c r="J7" s="5"/>
      <c r="K7" s="8" t="s">
        <v>190</v>
      </c>
      <c r="M7" s="6" t="s">
        <v>191</v>
      </c>
    </row>
    <row r="8" spans="2:15">
      <c r="B8" s="5"/>
      <c r="F8" s="68" t="s">
        <v>192</v>
      </c>
      <c r="G8" s="68" t="s">
        <v>193</v>
      </c>
      <c r="J8" s="5"/>
      <c r="K8" s="5"/>
      <c r="M8" s="6" t="s">
        <v>194</v>
      </c>
    </row>
    <row r="11" spans="2:15" ht="15" customHeight="1" thickBot="1"/>
    <row r="12" spans="2:15" ht="21.6" customHeight="1" thickBot="1">
      <c r="B12" s="100" t="s">
        <v>125</v>
      </c>
      <c r="C12" s="80"/>
      <c r="D12" s="80"/>
      <c r="E12" s="80"/>
      <c r="F12" s="80"/>
      <c r="G12" s="80"/>
      <c r="H12" s="80"/>
      <c r="I12" s="80"/>
      <c r="J12" s="80"/>
      <c r="K12" s="80"/>
      <c r="L12" s="80"/>
      <c r="M12" s="80"/>
      <c r="N12" s="80"/>
      <c r="O12" s="81"/>
    </row>
    <row r="13" spans="2:15" ht="17.7" customHeight="1">
      <c r="B13" s="32"/>
      <c r="C13" s="32"/>
      <c r="D13" s="32"/>
      <c r="E13" s="32"/>
      <c r="F13" s="32"/>
      <c r="G13" s="32"/>
      <c r="H13" s="32"/>
      <c r="I13" s="32"/>
      <c r="J13" s="32"/>
      <c r="K13" s="32"/>
      <c r="L13" s="32"/>
      <c r="M13" s="32"/>
      <c r="N13" s="32"/>
      <c r="O13" s="32"/>
    </row>
    <row r="14" spans="2:15" ht="15.6" customHeight="1">
      <c r="B14" s="65" t="s">
        <v>100</v>
      </c>
      <c r="D14" s="65" t="s">
        <v>28</v>
      </c>
      <c r="F14" s="34" t="s">
        <v>195</v>
      </c>
    </row>
    <row r="15" spans="2:15">
      <c r="B15" s="6" t="s">
        <v>136</v>
      </c>
      <c r="D15" s="13" t="s">
        <v>196</v>
      </c>
      <c r="F15" s="12" t="s">
        <v>51</v>
      </c>
    </row>
    <row r="16" spans="2:15">
      <c r="B16" s="6" t="s">
        <v>197</v>
      </c>
      <c r="D16" s="6" t="s">
        <v>49</v>
      </c>
      <c r="F16" s="12" t="s">
        <v>134</v>
      </c>
    </row>
    <row r="17" spans="2:6">
      <c r="D17" s="6" t="s">
        <v>147</v>
      </c>
      <c r="F17" s="12" t="s">
        <v>141</v>
      </c>
    </row>
    <row r="18" spans="2:6">
      <c r="D18" s="6" t="s">
        <v>137</v>
      </c>
    </row>
    <row r="20" spans="2:6">
      <c r="B20" t="s">
        <v>130</v>
      </c>
    </row>
    <row r="21" spans="2:6">
      <c r="B21" t="s">
        <v>143</v>
      </c>
    </row>
    <row r="22" spans="2:6">
      <c r="B22" t="s">
        <v>152</v>
      </c>
    </row>
    <row r="23" spans="2:6">
      <c r="B23" t="s">
        <v>198</v>
      </c>
    </row>
  </sheetData>
  <mergeCells count="4">
    <mergeCell ref="B12:O12"/>
    <mergeCell ref="B1:O1"/>
    <mergeCell ref="F2:I2"/>
    <mergeCell ref="E3:E7"/>
  </mergeCells>
  <pageMargins left="0.7" right="0.7" top="0.75" bottom="0.75" header="0.3" footer="0.3"/>
  <pageSetup paperSize="9" orientation="portrait"/>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Información del documento</vt:lpstr>
      <vt:lpstr>1.-Riesgos</vt:lpstr>
      <vt:lpstr>1.2.-Matriz de aceptabilidad</vt:lpstr>
      <vt:lpstr>2.-Oportunidades</vt:lpstr>
      <vt:lpstr>2.2.-Parámetros</vt:lpstr>
      <vt:lpstr>Listas</vt:lpstr>
      <vt:lpstr>Estado</vt:lpstr>
      <vt:lpstr>Estrategia</vt:lpstr>
      <vt:lpstr>Prioridad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2024-07-12T17:23:43Z</cp:lastPrinted>
  <dcterms:created xsi:type="dcterms:W3CDTF">2019-08-08T21:59:40Z</dcterms:created>
  <dcterms:modified xsi:type="dcterms:W3CDTF">2026-10-01T07:38:32Z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y fmtid="{D5CDD505-2E9C-101B-9397-08002B2CF9AE}" pid="4" name="Email">
    <vt:lpwstr>carlos.quintero@4js.com</vt:lpwstr>
  </property>
</Properties>
</file>