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fe16623fd29a4f/Documents/05_/15_4Js Oct 05/APPRAISAL PACKAGE/"/>
    </mc:Choice>
  </mc:AlternateContent>
  <xr:revisionPtr revIDLastSave="318" documentId="13_ncr:1_{DA38AC96-4EEA-49F9-8008-3F6A72C32F8C}" xr6:coauthVersionLast="47" xr6:coauthVersionMax="47" xr10:uidLastSave="{504C852E-1CAA-4996-BB59-A793CD400F8B}"/>
  <bookViews>
    <workbookView xWindow="-110" yWindow="-110" windowWidth="19420" windowHeight="10300" tabRatio="755" xr2:uid="{5E5BB932-02A1-4B2A-BCFA-BB5B0CD41B6D}"/>
  </bookViews>
  <sheets>
    <sheet name="Sche" sheetId="20" r:id="rId1"/>
    <sheet name="MTs" sheetId="8" r:id="rId2"/>
    <sheet name="projects" sheetId="13" r:id="rId3"/>
    <sheet name="participants" sheetId="9" r:id="rId4"/>
    <sheet name="checklist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0" l="1"/>
  <c r="F2" i="20" s="1"/>
  <c r="H2" i="20" s="1"/>
  <c r="J2" i="20" s="1"/>
  <c r="C25" i="8" l="1"/>
  <c r="B26" i="8"/>
  <c r="C2" i="9"/>
  <c r="R37" i="20"/>
  <c r="C7" i="9"/>
  <c r="B4" i="8" l="1"/>
  <c r="H20" i="8" l="1"/>
  <c r="G20" i="8"/>
  <c r="T37" i="20" l="1"/>
  <c r="S37" i="20"/>
  <c r="Q37" i="20"/>
  <c r="N13" i="20"/>
  <c r="N8" i="20"/>
  <c r="N5" i="20"/>
  <c r="B8" i="8"/>
  <c r="B5" i="8"/>
  <c r="C23" i="8"/>
  <c r="C21" i="8"/>
  <c r="C22" i="8"/>
  <c r="B21" i="8"/>
  <c r="Q39" i="20" l="1"/>
  <c r="N19" i="20"/>
  <c r="N10" i="20"/>
  <c r="C21" i="9"/>
  <c r="C19" i="9"/>
  <c r="C14" i="9"/>
  <c r="C10" i="9"/>
  <c r="M13" i="20" s="1"/>
  <c r="C22" i="9"/>
  <c r="C20" i="9"/>
  <c r="C13" i="9"/>
  <c r="C33" i="9"/>
  <c r="C32" i="9"/>
  <c r="C31" i="9"/>
  <c r="C30" i="9"/>
  <c r="C29" i="9"/>
  <c r="C28" i="9"/>
  <c r="C26" i="9"/>
  <c r="C27" i="9"/>
  <c r="C25" i="9"/>
  <c r="C24" i="9"/>
  <c r="C23" i="9"/>
  <c r="C15" i="9"/>
  <c r="C18" i="9"/>
  <c r="C16" i="9"/>
  <c r="M19" i="20" s="1"/>
  <c r="C9" i="9"/>
  <c r="M10" i="20"/>
  <c r="C5" i="9"/>
  <c r="C17" i="9"/>
  <c r="B22" i="8"/>
  <c r="M18" i="20" l="1"/>
  <c r="M30" i="20"/>
  <c r="M33" i="20"/>
  <c r="M16" i="20"/>
  <c r="M17" i="20"/>
  <c r="M12" i="20"/>
  <c r="M26" i="20"/>
  <c r="M29" i="20"/>
  <c r="M34" i="20"/>
  <c r="M23" i="20"/>
  <c r="M22" i="20"/>
  <c r="M20" i="20"/>
  <c r="M27" i="20"/>
  <c r="M31" i="20"/>
  <c r="M35" i="20"/>
  <c r="M25" i="20"/>
  <c r="M24" i="20"/>
  <c r="M8" i="20"/>
  <c r="M21" i="20"/>
  <c r="M28" i="20"/>
  <c r="M32" i="20"/>
  <c r="M36" i="20"/>
  <c r="N12" i="20"/>
  <c r="N16" i="20"/>
  <c r="M5" i="20"/>
  <c r="N22" i="20"/>
  <c r="N34" i="20"/>
  <c r="B2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Sánchez</author>
  </authors>
  <commentList>
    <comment ref="G20" authorId="0" shapeId="0" xr:uid="{33A00398-9F7A-4649-AB7F-B53BFCDAB6AF}">
      <text>
        <r>
          <rPr>
            <b/>
            <sz val="9"/>
            <color indexed="81"/>
            <rFont val="Tahoma"/>
            <family val="2"/>
          </rPr>
          <t>Jesús Sánchez:</t>
        </r>
        <r>
          <rPr>
            <sz val="9"/>
            <color indexed="81"/>
            <rFont val="Tahoma"/>
            <family val="2"/>
          </rPr>
          <t xml:space="preserve">
marzo 1992 a 
marzo 2024
</t>
        </r>
      </text>
    </comment>
    <comment ref="H20" authorId="0" shapeId="0" xr:uid="{82F6F5EF-F110-4223-82AA-6F07483ABA52}">
      <text>
        <r>
          <rPr>
            <b/>
            <sz val="9"/>
            <color indexed="81"/>
            <rFont val="Tahoma"/>
            <family val="2"/>
          </rPr>
          <t>Jesús Sánchez:</t>
        </r>
        <r>
          <rPr>
            <sz val="9"/>
            <color indexed="81"/>
            <rFont val="Tahoma"/>
            <family val="2"/>
          </rPr>
          <t xml:space="preserve">
ene 1993 a
ene 2024
</t>
        </r>
      </text>
    </comment>
    <comment ref="I20" authorId="0" shapeId="0" xr:uid="{A78D6D6B-F1BA-4001-A924-1318F3964791}">
      <text>
        <r>
          <rPr>
            <b/>
            <sz val="9"/>
            <color indexed="81"/>
            <rFont val="Tahoma"/>
            <family val="2"/>
          </rPr>
          <t>Jesús Sánchez:</t>
        </r>
        <r>
          <rPr>
            <sz val="9"/>
            <color indexed="81"/>
            <rFont val="Tahoma"/>
            <family val="2"/>
          </rPr>
          <t xml:space="preserve">
ene 2011 a
ene 2021
</t>
        </r>
      </text>
    </comment>
  </commentList>
</comments>
</file>

<file path=xl/sharedStrings.xml><?xml version="1.0" encoding="utf-8"?>
<sst xmlns="http://schemas.openxmlformats.org/spreadsheetml/2006/main" count="554" uniqueCount="217">
  <si>
    <t>Date</t>
  </si>
  <si>
    <t>Connection Test</t>
  </si>
  <si>
    <t>Appraisal participants briefing</t>
  </si>
  <si>
    <t>Mini-Teams debrief</t>
  </si>
  <si>
    <t>Evidence Review &amp; Preliminary Findings</t>
  </si>
  <si>
    <t>Break</t>
  </si>
  <si>
    <t>Lunch</t>
  </si>
  <si>
    <t>Follow-up 1</t>
  </si>
  <si>
    <t>Human Resources 
(OT)</t>
  </si>
  <si>
    <t>ROLE/ACTIVITY</t>
  </si>
  <si>
    <t>PARTICIPANTS</t>
  </si>
  <si>
    <t>DAY</t>
  </si>
  <si>
    <t>HOUR</t>
  </si>
  <si>
    <t>PROJECT</t>
  </si>
  <si>
    <t>All participants + sponsor</t>
  </si>
  <si>
    <t>See schedule</t>
  </si>
  <si>
    <t>ALL</t>
  </si>
  <si>
    <t>ATMs</t>
  </si>
  <si>
    <t>ATM</t>
  </si>
  <si>
    <t>EGP</t>
  </si>
  <si>
    <t xml:space="preserve">OT </t>
  </si>
  <si>
    <t>CM</t>
  </si>
  <si>
    <t>Sr. Management</t>
  </si>
  <si>
    <t>Requirements</t>
  </si>
  <si>
    <t>PMO</t>
  </si>
  <si>
    <t>FAR 01</t>
  </si>
  <si>
    <t>FAR 02</t>
  </si>
  <si>
    <t>P1</t>
  </si>
  <si>
    <t>P3</t>
  </si>
  <si>
    <t>P2</t>
  </si>
  <si>
    <t>MT1</t>
  </si>
  <si>
    <t>Participants</t>
  </si>
  <si>
    <t>PAs assigned</t>
  </si>
  <si>
    <t>MT2</t>
  </si>
  <si>
    <t>Contingency block</t>
  </si>
  <si>
    <t>Review Evidence and Team Training</t>
  </si>
  <si>
    <t>OT</t>
  </si>
  <si>
    <t>EPG</t>
  </si>
  <si>
    <t>Participant's Full Name (required)</t>
  </si>
  <si>
    <t>Participant's Role (required)</t>
  </si>
  <si>
    <t>Function (required)</t>
  </si>
  <si>
    <t>Organizational 
Affiliation</t>
  </si>
  <si>
    <t>Years of Development Domain Experience</t>
  </si>
  <si>
    <t>Years of Management Experience</t>
  </si>
  <si>
    <t xml:space="preserve">Team Member
Name </t>
  </si>
  <si>
    <t>Jesus Sanchez</t>
  </si>
  <si>
    <t>QA(Quality Assurance)</t>
  </si>
  <si>
    <t>GOV, II</t>
  </si>
  <si>
    <t>Name</t>
  </si>
  <si>
    <t>Field Experience</t>
  </si>
  <si>
    <t>Management Experience</t>
  </si>
  <si>
    <t>High Maturity Experience</t>
  </si>
  <si>
    <t>Appraisal Responsibilities</t>
  </si>
  <si>
    <t>Jesús Sánchez</t>
  </si>
  <si>
    <t>SLA</t>
  </si>
  <si>
    <t>V2.0</t>
  </si>
  <si>
    <t>CMMI DEV</t>
  </si>
  <si>
    <t>RDM</t>
  </si>
  <si>
    <t>OU Coordinator</t>
  </si>
  <si>
    <t> Type of Domain Experience</t>
  </si>
  <si>
    <t>Specific Responsibilities</t>
  </si>
  <si>
    <t>PM</t>
  </si>
  <si>
    <t>Sponsor</t>
  </si>
  <si>
    <t>Done</t>
  </si>
  <si>
    <t xml:space="preserve">Script </t>
  </si>
  <si>
    <t>Set of documents in each ATM</t>
  </si>
  <si>
    <t>Performance report</t>
  </si>
  <si>
    <t>Findings template</t>
  </si>
  <si>
    <t xml:space="preserve">Checklist conduct appraisal </t>
  </si>
  <si>
    <t>Sign Sponsor, ATMs and Interpreter CONFIDENTIALITY AND NON-ATTRIBUTION in CAS</t>
  </si>
  <si>
    <t>Participants and projects marked in blue in this schedule will be the minimum sample review for appraisal per SAMPLING APPROVAL</t>
  </si>
  <si>
    <t>PA</t>
    <phoneticPr fontId="21" type="noConversion"/>
  </si>
  <si>
    <t>SM</t>
  </si>
  <si>
    <t>OU</t>
  </si>
  <si>
    <t>Train ATM: concepts</t>
  </si>
  <si>
    <t>Train ATM: caracterization and ratings</t>
  </si>
  <si>
    <t>P3</t>
    <phoneticPr fontId="20" type="noConversion"/>
  </si>
  <si>
    <t>PI</t>
  </si>
  <si>
    <t xml:space="preserve">ATM pictures in CAS and sponosor verify identity. </t>
  </si>
  <si>
    <t>Project planning and management</t>
  </si>
  <si>
    <t>Process quality assurance and improvement</t>
  </si>
  <si>
    <t>Management experience (including team lead)</t>
  </si>
  <si>
    <t>Measurement &amp; Analysis</t>
  </si>
  <si>
    <t>Quantitative management (e.g., Six Sigma)</t>
  </si>
  <si>
    <t>Requirements specification</t>
  </si>
  <si>
    <t>Design Engineering</t>
  </si>
  <si>
    <t>Project Management.</t>
  </si>
  <si>
    <t>Test Engineering.</t>
  </si>
  <si>
    <t>QA 
(Quality Assurance)</t>
  </si>
  <si>
    <t>RDM 
(Requirements)</t>
  </si>
  <si>
    <t>PA</t>
  </si>
  <si>
    <t>Schedule</t>
  </si>
  <si>
    <r>
      <rPr>
        <b/>
        <sz val="12"/>
        <color theme="1"/>
        <rFont val="Calibri"/>
        <family val="2"/>
        <scheme val="minor"/>
      </rPr>
      <t>Strengths</t>
    </r>
    <r>
      <rPr>
        <sz val="11"/>
        <color theme="1"/>
        <rFont val="Calibri"/>
        <family val="2"/>
        <scheme val="minor"/>
      </rPr>
      <t xml:space="preserve"> - A type of preliminary or final finding, which is an exemplary or noteworthy implementation of a process that meets the intent and value of a CMMI model practice.</t>
    </r>
  </si>
  <si>
    <t>Briefing &amp; Final Findings</t>
  </si>
  <si>
    <t>des</t>
  </si>
  <si>
    <t>Root Cause analysis specialist</t>
  </si>
  <si>
    <t>dev</t>
  </si>
  <si>
    <t>test</t>
  </si>
  <si>
    <t>PAD, PCM, CAR, MPM, MC, RDM, VV, GOV, II</t>
  </si>
  <si>
    <t>FAR01 ENGINEERING</t>
  </si>
  <si>
    <t>FAR02 TESTING</t>
  </si>
  <si>
    <t>Test conection</t>
  </si>
  <si>
    <t>Findings Consolidation</t>
  </si>
  <si>
    <t>Important Notes:</t>
  </si>
  <si>
    <t>*Sponsor must attend the opening briefing and the final presentation</t>
  </si>
  <si>
    <t>The Appraisal must be executed according to this plan and schedule approved by the sponsor.</t>
  </si>
  <si>
    <t>If determined there are feasibility concerns, ATL must discuss with the appraisal sponsor and keep the appraisal plan and schedule updated.</t>
  </si>
  <si>
    <t>High Maturity Concepts</t>
  </si>
  <si>
    <t xml:space="preserve">Check the license </t>
  </si>
  <si>
    <t>Ensure that all Appraisal Team Members (ATMs) have access to a licensed current version of the CMMI model.</t>
  </si>
  <si>
    <r>
      <rPr>
        <b/>
        <sz val="12"/>
        <color theme="1"/>
        <rFont val="Calibri"/>
        <family val="2"/>
        <scheme val="minor"/>
      </rPr>
      <t>Weaknesses</t>
    </r>
    <r>
      <rPr>
        <sz val="11"/>
        <color theme="1"/>
        <rFont val="Calibri"/>
        <family val="2"/>
        <scheme val="minor"/>
      </rPr>
      <t xml:space="preserve"> - A type of preliminary or final finding, which is an ineffective, or lack of, implementation of one or more processes meet the intent and value of a practice based on verified OE, and applicable across the project(s) and organizational support functions or OU as a whole.</t>
    </r>
  </si>
  <si>
    <t xml:space="preserve">Participant's Full Name (required)
</t>
  </si>
  <si>
    <t>Engineer</t>
  </si>
  <si>
    <t>Tester</t>
  </si>
  <si>
    <t>Review Findings Consolidation</t>
  </si>
  <si>
    <t>Preliminary Findings &amp; Performance Report Review</t>
  </si>
  <si>
    <t>Requirement</t>
  </si>
  <si>
    <t xml:space="preserve">Requirement </t>
  </si>
  <si>
    <t>Designer</t>
  </si>
  <si>
    <t>SM
GOV, II</t>
  </si>
  <si>
    <t>PI, TS</t>
  </si>
  <si>
    <t>Independent consultant</t>
  </si>
  <si>
    <t xml:space="preserve"> </t>
  </si>
  <si>
    <t>Preliminary Findings</t>
  </si>
  <si>
    <t>QA</t>
  </si>
  <si>
    <t>TS, DAR</t>
  </si>
  <si>
    <t>VV, PR</t>
  </si>
  <si>
    <t>Configuration Manager 
(CM)</t>
  </si>
  <si>
    <t>Subgroup</t>
  </si>
  <si>
    <t>Project</t>
  </si>
  <si>
    <t>EDP
Engineering and Developing Products</t>
  </si>
  <si>
    <t>ENQ
Ensuring Quality</t>
  </si>
  <si>
    <t>IMP
Improving Performance</t>
  </si>
  <si>
    <t>MBR
Managing Business Resilience</t>
  </si>
  <si>
    <t>MWF
Managing the Workforce</t>
  </si>
  <si>
    <t>PMW
Planning and Managing Work</t>
  </si>
  <si>
    <t>SI
Supporting Implementation</t>
  </si>
  <si>
    <t>PI
Product Integration</t>
  </si>
  <si>
    <t>TS
Technical Solution</t>
  </si>
  <si>
    <t>PQA
Process Quality Assurance</t>
  </si>
  <si>
    <t>PR
Peer Reviews</t>
  </si>
  <si>
    <t>RDM
Requirements Development and Management</t>
  </si>
  <si>
    <t>VV
Verification and Validation</t>
  </si>
  <si>
    <t>MPM
Managing Performance and Measurement</t>
  </si>
  <si>
    <t>PAD
Process Asset Development</t>
  </si>
  <si>
    <t>PCM
Process Management</t>
  </si>
  <si>
    <t>RSK
Risk and Opportunity Management</t>
  </si>
  <si>
    <t>OT
Organizational Training</t>
  </si>
  <si>
    <t>EST
Estimating</t>
  </si>
  <si>
    <t>MC
Monitor and Control</t>
  </si>
  <si>
    <t>PLAN
Planning</t>
  </si>
  <si>
    <t>CAR
Causal Analysis and Resolution</t>
  </si>
  <si>
    <t>CM
Configuration Management</t>
  </si>
  <si>
    <t>DAR
Decision Analysis and Resolution</t>
  </si>
  <si>
    <t>SG1</t>
  </si>
  <si>
    <t>SE</t>
  </si>
  <si>
    <t>ADD</t>
  </si>
  <si>
    <t>RS</t>
  </si>
  <si>
    <t>SI</t>
  </si>
  <si>
    <t>CM Staff</t>
  </si>
  <si>
    <t>EPG Staff</t>
  </si>
  <si>
    <t>OT Staff</t>
  </si>
  <si>
    <t>QA Staff</t>
  </si>
  <si>
    <t>Researcher</t>
  </si>
  <si>
    <t>RDM, VV</t>
  </si>
  <si>
    <r>
      <rPr>
        <b/>
        <sz val="11"/>
        <color rgb="FF000000"/>
        <rFont val="Calibri  "/>
      </rPr>
      <t xml:space="preserve">Improvement Opportunity </t>
    </r>
    <r>
      <rPr>
        <sz val="11"/>
        <color rgb="FF000000"/>
        <rFont val="Calibri  "/>
      </rPr>
      <t>- A type of preliminary or Final Findings about a particular process that meets the intent and value of a model practice but represents an opportunity where the process could be improved to provide more value.</t>
    </r>
  </si>
  <si>
    <t>GOV 2.1, 2.4, 3.1, 3.2</t>
  </si>
  <si>
    <t>SG2</t>
  </si>
  <si>
    <t xml:space="preserve">Team Planning
</t>
  </si>
  <si>
    <t>TS</t>
  </si>
  <si>
    <t>Final Findings &amp; Performance Report presentation.</t>
  </si>
  <si>
    <t>Characterize and Create Preliminary Findings</t>
  </si>
  <si>
    <t>Finalize Findings and Ratings</t>
  </si>
  <si>
    <t>GOV, II, MPM, PCM, PAD, PQA</t>
  </si>
  <si>
    <t>OT, EST, PLAN, MC, RSK, CAR, DAR</t>
  </si>
  <si>
    <t>CM, RDM, TS, PI, PR, VV</t>
  </si>
  <si>
    <t>EPG
PAD, PCM, MPM</t>
  </si>
  <si>
    <t>QA
(PQA)</t>
  </si>
  <si>
    <t xml:space="preserve">II 2.2, 3.1, 3.2, 3.3, </t>
  </si>
  <si>
    <t>MPM 2.1, 3.3, 2.3, 2.4, 3.5</t>
  </si>
  <si>
    <t>PCM 3.1, 3.2, 2.1,3.5, 3.6</t>
  </si>
  <si>
    <t>PAD 3.2, 2.2, 3.3, 2.3, 3.4, 3.6</t>
  </si>
  <si>
    <t>PQA 2.1, 2.2, 3.1, 2.3, 2.4</t>
  </si>
  <si>
    <t>PQA</t>
  </si>
  <si>
    <t>EST, PLAN, MC, RSK, CAR</t>
  </si>
  <si>
    <t>P1, P2, P3</t>
  </si>
  <si>
    <t xml:space="preserve">preguntas </t>
  </si>
  <si>
    <t>Follow-up 2</t>
  </si>
  <si>
    <t>PCM, PAD, MPM</t>
  </si>
  <si>
    <t>Developer</t>
  </si>
  <si>
    <t xml:space="preserve">Requirement , </t>
  </si>
  <si>
    <t>PI, PR</t>
  </si>
  <si>
    <t>FAR 01
(DAR, TS, PI)</t>
  </si>
  <si>
    <t>P1- Portability ISSSTE (Required Project)</t>
  </si>
  <si>
    <t>P2- Improvements to TG7</t>
  </si>
  <si>
    <t>Oscar Vera</t>
  </si>
  <si>
    <t>Ana L. Fragoso C.</t>
  </si>
  <si>
    <t>Miguel A. López H.</t>
  </si>
  <si>
    <t xml:space="preserve">P2 </t>
  </si>
  <si>
    <t>Florencia Vitale</t>
  </si>
  <si>
    <t>PM1
 (RDM, RSK, CAR)</t>
  </si>
  <si>
    <t>Carlos Quintero N.</t>
  </si>
  <si>
    <t xml:space="preserve"> P2</t>
  </si>
  <si>
    <t>Rodolfo Hernandez</t>
  </si>
  <si>
    <t>FAR 02
(VV, PR,)</t>
  </si>
  <si>
    <t xml:space="preserve">MPM, </t>
  </si>
  <si>
    <t>Karen Ailine Espinoza</t>
  </si>
  <si>
    <t>Luis Erick Rodríguez</t>
  </si>
  <si>
    <t>RSK, CAR, DAR</t>
  </si>
  <si>
    <t>EST, PLAN, MC</t>
  </si>
  <si>
    <t xml:space="preserve">PI, </t>
  </si>
  <si>
    <t>Appraisal team will work according to the schedule. All Virtual activities are scheduled to consider a timeframe that goes from 10:00 AM to 6:00 PM, considering 1-2 hours for lunch and breaks for refresh. If necessary the ATM must work late if any contingencies arise.</t>
  </si>
  <si>
    <t>PM2
 (EST, PLAN, MC,)</t>
  </si>
  <si>
    <t>Four J's Development Tools Latinoamérica.</t>
  </si>
  <si>
    <t xml:space="preserve">Luis Erick Rodríguez </t>
  </si>
  <si>
    <t>Rodolfo Alfonso Hernández</t>
  </si>
  <si>
    <t>PCM, PAD,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</si>
</sst>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57">
    <font>
      <sz val="11"/>
      <color theme="1"/>
      <name val="Calibri"/>
      <family val="2"/>
      <scheme val="minor"/>
    </font>
    <font>
      <b/>
      <sz val="8"/>
      <color theme="1"/>
      <name val="Trebuchet MS"/>
      <family val="2"/>
    </font>
    <font>
      <sz val="10"/>
      <name val="Arial"/>
      <family val="2"/>
    </font>
    <font>
      <b/>
      <sz val="8"/>
      <name val="Trebuchet MS"/>
      <family val="2"/>
    </font>
    <font>
      <sz val="8"/>
      <color theme="1"/>
      <name val="Trebuchet MS"/>
      <family val="2"/>
    </font>
    <font>
      <b/>
      <sz val="8"/>
      <color rgb="FF000000"/>
      <name val="Trebuchet MS"/>
      <family val="2"/>
    </font>
    <font>
      <b/>
      <sz val="8"/>
      <color rgb="FFFFFFFF"/>
      <name val="Trebuchet MS"/>
      <family val="2"/>
    </font>
    <font>
      <b/>
      <sz val="8"/>
      <color indexed="9"/>
      <name val="Trebuchet MS"/>
      <family val="2"/>
    </font>
    <font>
      <b/>
      <sz val="10"/>
      <name val="Arial"/>
      <family val="2"/>
    </font>
    <font>
      <sz val="9"/>
      <color theme="1"/>
      <name val="Trebuchet MS"/>
      <family val="2"/>
    </font>
    <font>
      <sz val="9"/>
      <name val="Trebuchet MS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3F444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363639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rgb="FF36363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0"/>
      <name val="Trebuchet MS"/>
      <family val="2"/>
    </font>
    <font>
      <b/>
      <sz val="11"/>
      <color rgb="FF000000"/>
      <name val="Maiandra GD"/>
      <family val="2"/>
    </font>
    <font>
      <sz val="10"/>
      <color rgb="FF000000"/>
      <name val="Calibri"/>
      <family val="2"/>
      <scheme val="minor"/>
    </font>
    <font>
      <sz val="12"/>
      <name val="新細明體"/>
      <charset val="136"/>
    </font>
    <font>
      <sz val="11"/>
      <color theme="1"/>
      <name val="Calibri"/>
      <family val="2"/>
      <scheme val="minor"/>
    </font>
    <font>
      <sz val="11"/>
      <color theme="1"/>
      <name val="Maiandra GD"/>
      <family val="2"/>
    </font>
    <font>
      <sz val="12"/>
      <color theme="1"/>
      <name val="Aptos"/>
      <family val="2"/>
    </font>
    <font>
      <sz val="11"/>
      <color theme="1"/>
      <name val="Maiandra GD"/>
      <family val="2"/>
    </font>
    <font>
      <b/>
      <sz val="11"/>
      <color rgb="FF000000"/>
      <name val="Calibri  "/>
    </font>
    <font>
      <sz val="11"/>
      <color rgb="FF000000"/>
      <name val="Calibri  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9BF8E"/>
        <bgColor indexed="64"/>
      </patternFill>
    </fill>
    <fill>
      <patternFill patternType="solid">
        <fgColor rgb="FF528C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69D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63639"/>
      </patternFill>
    </fill>
    <fill>
      <patternFill patternType="solid">
        <fgColor rgb="FFF58220"/>
      </patternFill>
    </fill>
    <fill>
      <patternFill patternType="solid">
        <fgColor rgb="FFFFFFFF"/>
      </patternFill>
    </fill>
    <fill>
      <patternFill patternType="solid">
        <fgColor rgb="FF3F4444"/>
      </patternFill>
    </fill>
    <fill>
      <patternFill patternType="solid">
        <fgColor rgb="FFD3D3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1C165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rgb="FFFFFFFF"/>
      </left>
      <right style="thin">
        <color rgb="FF363639"/>
      </right>
      <top style="thick">
        <color rgb="FFFFFFFF"/>
      </top>
      <bottom style="thin">
        <color rgb="FF363639"/>
      </bottom>
      <diagonal/>
    </border>
    <border>
      <left style="thin">
        <color rgb="FF363639"/>
      </left>
      <right style="thick">
        <color rgb="FFFFFFFF"/>
      </right>
      <top style="thick">
        <color rgb="FFFFFFFF"/>
      </top>
      <bottom style="thin">
        <color rgb="FF363639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n">
        <color rgb="FF363639"/>
      </right>
      <top style="thin">
        <color rgb="FF363639"/>
      </top>
      <bottom style="thin">
        <color rgb="FF363639"/>
      </bottom>
      <diagonal/>
    </border>
    <border>
      <left style="thin">
        <color rgb="FF363639"/>
      </left>
      <right style="thick">
        <color rgb="FFFFFFFF"/>
      </right>
      <top style="thin">
        <color rgb="FF363639"/>
      </top>
      <bottom style="thin">
        <color rgb="FF36363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rgb="FFFFFFFF"/>
      </left>
      <right style="thin">
        <color rgb="FF363639"/>
      </right>
      <top style="thin">
        <color rgb="FF363639"/>
      </top>
      <bottom style="thick">
        <color rgb="FFFFFFFF"/>
      </bottom>
      <diagonal/>
    </border>
    <border>
      <left style="thin">
        <color rgb="FF363639"/>
      </left>
      <right style="thick">
        <color rgb="FFFFFFFF"/>
      </right>
      <top style="thin">
        <color rgb="FF363639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17" fillId="0" borderId="0" applyBorder="0"/>
    <xf numFmtId="0" fontId="46" fillId="0" borderId="0" applyBorder="0">
      <alignment vertical="center"/>
    </xf>
  </cellStyleXfs>
  <cellXfs count="2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 shrinkToFit="1"/>
    </xf>
    <xf numFmtId="15" fontId="3" fillId="0" borderId="0" xfId="1" applyNumberFormat="1" applyFont="1" applyAlignment="1">
      <alignment horizontal="center" vertical="center" wrapText="1"/>
    </xf>
    <xf numFmtId="0" fontId="9" fillId="12" borderId="2" xfId="0" applyFont="1" applyFill="1" applyBorder="1" applyAlignment="1">
      <alignment horizontal="center"/>
    </xf>
    <xf numFmtId="15" fontId="10" fillId="12" borderId="2" xfId="1" applyNumberFormat="1" applyFont="1" applyFill="1" applyBorder="1" applyAlignment="1">
      <alignment horizontal="center" vertical="center" wrapText="1"/>
    </xf>
    <xf numFmtId="20" fontId="10" fillId="12" borderId="2" xfId="1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vertical="center"/>
    </xf>
    <xf numFmtId="0" fontId="0" fillId="0" borderId="2" xfId="0" applyBorder="1"/>
    <xf numFmtId="0" fontId="11" fillId="0" borderId="2" xfId="0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vertical="center"/>
    </xf>
    <xf numFmtId="0" fontId="9" fillId="12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20" fontId="27" fillId="12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0" fillId="15" borderId="17" xfId="0" applyFont="1" applyFill="1" applyBorder="1" applyAlignment="1">
      <alignment horizontal="center" vertical="center"/>
    </xf>
    <xf numFmtId="0" fontId="30" fillId="17" borderId="17" xfId="0" applyFont="1" applyFill="1" applyBorder="1" applyAlignment="1">
      <alignment horizontal="center" vertical="center"/>
    </xf>
    <xf numFmtId="0" fontId="25" fillId="0" borderId="0" xfId="0" applyFont="1"/>
    <xf numFmtId="0" fontId="32" fillId="0" borderId="0" xfId="0" applyFont="1"/>
    <xf numFmtId="0" fontId="31" fillId="16" borderId="17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0" fontId="23" fillId="0" borderId="2" xfId="0" applyFont="1" applyBorder="1"/>
    <xf numFmtId="0" fontId="39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9" borderId="12" xfId="0" applyFill="1" applyBorder="1" applyAlignment="1">
      <alignment vertical="center" wrapText="1"/>
    </xf>
    <xf numFmtId="0" fontId="0" fillId="5" borderId="12" xfId="0" applyFill="1" applyBorder="1" applyAlignment="1">
      <alignment wrapText="1"/>
    </xf>
    <xf numFmtId="0" fontId="23" fillId="0" borderId="2" xfId="0" applyFont="1" applyBorder="1" applyAlignment="1">
      <alignment vertical="center"/>
    </xf>
    <xf numFmtId="0" fontId="33" fillId="0" borderId="3" xfId="0" applyFont="1" applyBorder="1" applyAlignment="1">
      <alignment horizontal="left" vertical="center" wrapText="1"/>
    </xf>
    <xf numFmtId="0" fontId="29" fillId="14" borderId="15" xfId="0" applyFont="1" applyFill="1" applyBorder="1" applyAlignment="1">
      <alignment horizontal="left" vertical="center" indent="1"/>
    </xf>
    <xf numFmtId="0" fontId="29" fillId="14" borderId="16" xfId="0" applyFont="1" applyFill="1" applyBorder="1" applyAlignment="1">
      <alignment horizontal="left" vertical="center" indent="1"/>
    </xf>
    <xf numFmtId="0" fontId="29" fillId="14" borderId="18" xfId="0" applyFont="1" applyFill="1" applyBorder="1" applyAlignment="1">
      <alignment horizontal="left" vertical="center" indent="1"/>
    </xf>
    <xf numFmtId="0" fontId="29" fillId="14" borderId="19" xfId="0" applyFont="1" applyFill="1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11" fillId="11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0" fontId="42" fillId="0" borderId="2" xfId="0" applyFont="1" applyBorder="1" applyAlignment="1">
      <alignment horizontal="left" vertical="top"/>
    </xf>
    <xf numFmtId="0" fontId="42" fillId="0" borderId="2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24" xfId="0" applyFont="1" applyBorder="1" applyAlignment="1">
      <alignment horizontal="left" vertical="top"/>
    </xf>
    <xf numFmtId="0" fontId="0" fillId="0" borderId="7" xfId="0" applyBorder="1"/>
    <xf numFmtId="0" fontId="42" fillId="0" borderId="25" xfId="0" applyFont="1" applyBorder="1" applyAlignment="1">
      <alignment horizontal="left" vertical="top"/>
    </xf>
    <xf numFmtId="0" fontId="42" fillId="0" borderId="26" xfId="0" applyFont="1" applyBorder="1" applyAlignment="1">
      <alignment horizontal="left" vertical="top"/>
    </xf>
    <xf numFmtId="0" fontId="42" fillId="0" borderId="27" xfId="0" applyFont="1" applyBorder="1" applyAlignment="1">
      <alignment horizontal="left" vertical="top"/>
    </xf>
    <xf numFmtId="0" fontId="42" fillId="0" borderId="4" xfId="0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30" fillId="21" borderId="17" xfId="0" applyFont="1" applyFill="1" applyBorder="1" applyAlignment="1">
      <alignment horizontal="center" vertical="center"/>
    </xf>
    <xf numFmtId="0" fontId="25" fillId="0" borderId="0" xfId="0" applyFont="1" applyAlignment="1">
      <alignment vertical="top" wrapText="1"/>
    </xf>
    <xf numFmtId="0" fontId="3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wrapText="1"/>
    </xf>
    <xf numFmtId="0" fontId="0" fillId="0" borderId="5" xfId="0" applyBorder="1" applyAlignment="1">
      <alignment horizontal="center"/>
    </xf>
    <xf numFmtId="0" fontId="44" fillId="18" borderId="0" xfId="0" applyFont="1" applyFill="1" applyAlignment="1">
      <alignment horizontal="left" vertical="center" wrapText="1"/>
    </xf>
    <xf numFmtId="0" fontId="44" fillId="18" borderId="0" xfId="0" applyFont="1" applyFill="1" applyAlignment="1">
      <alignment horizontal="center" vertical="center" wrapText="1"/>
    </xf>
    <xf numFmtId="20" fontId="27" fillId="0" borderId="2" xfId="1" applyNumberFormat="1" applyFont="1" applyBorder="1" applyAlignment="1">
      <alignment horizontal="center" vertical="center" wrapText="1"/>
    </xf>
    <xf numFmtId="20" fontId="10" fillId="0" borderId="2" xfId="1" applyNumberFormat="1" applyFont="1" applyBorder="1" applyAlignment="1">
      <alignment horizontal="center" vertical="center" wrapText="1"/>
    </xf>
    <xf numFmtId="15" fontId="10" fillId="0" borderId="2" xfId="1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/>
    </xf>
    <xf numFmtId="0" fontId="45" fillId="0" borderId="2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/>
    <xf numFmtId="0" fontId="25" fillId="0" borderId="2" xfId="0" applyFont="1" applyBorder="1" applyAlignment="1">
      <alignment horizontal="center" wrapText="1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1" fillId="0" borderId="2" xfId="0" applyFont="1" applyBorder="1" applyAlignment="1">
      <alignment vertical="center"/>
    </xf>
    <xf numFmtId="0" fontId="40" fillId="18" borderId="0" xfId="0" applyFont="1" applyFill="1" applyAlignment="1">
      <alignment horizontal="center" vertical="center" wrapText="1"/>
    </xf>
    <xf numFmtId="0" fontId="23" fillId="0" borderId="2" xfId="0" applyFont="1" applyBorder="1" applyAlignment="1">
      <alignment horizontal="left"/>
    </xf>
    <xf numFmtId="0" fontId="23" fillId="0" borderId="6" xfId="3" applyFont="1" applyBorder="1" applyAlignment="1">
      <alignment horizontal="center" vertical="center" wrapText="1" shrinkToFit="1"/>
    </xf>
    <xf numFmtId="0" fontId="0" fillId="0" borderId="2" xfId="0" applyBorder="1" applyAlignment="1">
      <alignment vertical="center" wrapText="1"/>
    </xf>
    <xf numFmtId="0" fontId="49" fillId="0" borderId="0" xfId="0" applyFont="1"/>
    <xf numFmtId="0" fontId="11" fillId="0" borderId="2" xfId="0" applyFont="1" applyBorder="1"/>
    <xf numFmtId="0" fontId="11" fillId="13" borderId="2" xfId="0" applyFont="1" applyFill="1" applyBorder="1" applyAlignment="1" applyProtection="1">
      <alignment horizontal="left" vertical="center" wrapText="1"/>
      <protection locked="0"/>
    </xf>
    <xf numFmtId="0" fontId="0" fillId="13" borderId="0" xfId="0" applyFill="1"/>
    <xf numFmtId="0" fontId="52" fillId="0" borderId="12" xfId="0" applyFont="1" applyBorder="1" applyAlignment="1">
      <alignment horizontal="justify" vertical="center" readingOrder="1"/>
    </xf>
    <xf numFmtId="0" fontId="25" fillId="0" borderId="0" xfId="0" applyFont="1" applyAlignment="1">
      <alignment wrapText="1"/>
    </xf>
    <xf numFmtId="0" fontId="45" fillId="0" borderId="5" xfId="0" applyFont="1" applyBorder="1" applyAlignment="1">
      <alignment wrapText="1"/>
    </xf>
    <xf numFmtId="0" fontId="45" fillId="0" borderId="0" xfId="0" applyFont="1" applyAlignment="1">
      <alignment wrapText="1"/>
    </xf>
    <xf numFmtId="0" fontId="0" fillId="0" borderId="41" xfId="0" applyBorder="1" applyAlignment="1">
      <alignment horizontal="left" vertical="center" indent="1"/>
    </xf>
    <xf numFmtId="0" fontId="0" fillId="0" borderId="42" xfId="0" applyBorder="1" applyAlignment="1">
      <alignment horizontal="left" vertical="center" indent="1"/>
    </xf>
    <xf numFmtId="0" fontId="53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 indent="1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7" borderId="39" xfId="0" applyFont="1" applyFill="1" applyBorder="1" applyAlignment="1">
      <alignment vertical="center" wrapText="1"/>
    </xf>
    <xf numFmtId="20" fontId="4" fillId="0" borderId="7" xfId="0" applyNumberFormat="1" applyFont="1" applyBorder="1" applyAlignment="1">
      <alignment horizontal="center" vertical="center" wrapText="1"/>
    </xf>
    <xf numFmtId="0" fontId="54" fillId="0" borderId="43" xfId="0" applyFont="1" applyBorder="1" applyAlignment="1">
      <alignment horizontal="center" vertical="center"/>
    </xf>
    <xf numFmtId="0" fontId="47" fillId="0" borderId="2" xfId="0" applyFont="1" applyBorder="1" applyAlignment="1">
      <alignment vertical="center"/>
    </xf>
    <xf numFmtId="0" fontId="9" fillId="0" borderId="2" xfId="0" applyFont="1" applyBorder="1"/>
    <xf numFmtId="0" fontId="42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45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0" fontId="29" fillId="14" borderId="17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4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5" fillId="0" borderId="2" xfId="0" applyFont="1" applyBorder="1" applyAlignment="1">
      <alignment wrapText="1"/>
    </xf>
    <xf numFmtId="0" fontId="55" fillId="0" borderId="0" xfId="0" applyFont="1"/>
    <xf numFmtId="0" fontId="23" fillId="0" borderId="2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/>
    </xf>
    <xf numFmtId="0" fontId="23" fillId="0" borderId="2" xfId="2" applyFont="1" applyBorder="1" applyAlignment="1" applyProtection="1">
      <alignment horizontal="left" vertical="center"/>
      <protection locked="0"/>
    </xf>
    <xf numFmtId="0" fontId="47" fillId="0" borderId="2" xfId="0" applyFont="1" applyBorder="1"/>
    <xf numFmtId="0" fontId="50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/>
    </xf>
    <xf numFmtId="0" fontId="12" fillId="0" borderId="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top"/>
    </xf>
    <xf numFmtId="20" fontId="27" fillId="0" borderId="7" xfId="1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left" vertical="top"/>
    </xf>
    <xf numFmtId="0" fontId="12" fillId="0" borderId="26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/>
    </xf>
    <xf numFmtId="0" fontId="12" fillId="13" borderId="2" xfId="0" applyFont="1" applyFill="1" applyBorder="1" applyAlignment="1">
      <alignment horizontal="left" vertical="center" wrapText="1"/>
    </xf>
    <xf numFmtId="20" fontId="27" fillId="13" borderId="2" xfId="1" applyNumberFormat="1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left" vertical="top"/>
    </xf>
    <xf numFmtId="0" fontId="25" fillId="13" borderId="0" xfId="0" applyFont="1" applyFill="1" applyAlignment="1">
      <alignment vertical="top" wrapText="1"/>
    </xf>
    <xf numFmtId="0" fontId="12" fillId="13" borderId="25" xfId="0" applyFont="1" applyFill="1" applyBorder="1" applyAlignment="1">
      <alignment horizontal="left" vertical="top"/>
    </xf>
    <xf numFmtId="20" fontId="27" fillId="13" borderId="7" xfId="1" applyNumberFormat="1" applyFont="1" applyFill="1" applyBorder="1" applyAlignment="1">
      <alignment horizontal="center" vertical="center" wrapText="1"/>
    </xf>
    <xf numFmtId="0" fontId="12" fillId="13" borderId="24" xfId="0" applyFont="1" applyFill="1" applyBorder="1" applyAlignment="1">
      <alignment horizontal="left" vertical="top"/>
    </xf>
    <xf numFmtId="0" fontId="0" fillId="13" borderId="2" xfId="0" applyFill="1" applyBorder="1"/>
    <xf numFmtId="0" fontId="56" fillId="0" borderId="2" xfId="0" applyFont="1" applyBorder="1"/>
    <xf numFmtId="0" fontId="11" fillId="0" borderId="2" xfId="0" applyFont="1" applyBorder="1" applyAlignment="1">
      <alignment wrapText="1"/>
    </xf>
    <xf numFmtId="0" fontId="25" fillId="0" borderId="2" xfId="0" applyFont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wrapText="1" shrinkToFit="1"/>
    </xf>
    <xf numFmtId="0" fontId="5" fillId="5" borderId="39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9" borderId="39" xfId="0" applyFont="1" applyFill="1" applyBorder="1" applyAlignment="1">
      <alignment horizontal="center" vertical="center" wrapText="1"/>
    </xf>
    <xf numFmtId="0" fontId="6" fillId="9" borderId="40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0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7" borderId="39" xfId="0" applyFont="1" applyFill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40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20" fontId="10" fillId="0" borderId="10" xfId="1" applyNumberFormat="1" applyFont="1" applyBorder="1" applyAlignment="1">
      <alignment horizontal="center" vertical="center" wrapText="1"/>
    </xf>
    <xf numFmtId="20" fontId="10" fillId="0" borderId="11" xfId="1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15" fontId="10" fillId="0" borderId="24" xfId="1" applyNumberFormat="1" applyFont="1" applyBorder="1" applyAlignment="1">
      <alignment horizontal="center" vertical="center" wrapText="1"/>
    </xf>
    <xf numFmtId="15" fontId="10" fillId="0" borderId="25" xfId="1" applyNumberFormat="1" applyFont="1" applyBorder="1" applyAlignment="1">
      <alignment horizontal="center" vertical="center" wrapText="1"/>
    </xf>
    <xf numFmtId="15" fontId="10" fillId="0" borderId="26" xfId="1" applyNumberFormat="1" applyFont="1" applyBorder="1" applyAlignment="1">
      <alignment horizontal="center" vertical="center" wrapText="1"/>
    </xf>
    <xf numFmtId="20" fontId="10" fillId="0" borderId="24" xfId="1" applyNumberFormat="1" applyFont="1" applyBorder="1" applyAlignment="1">
      <alignment horizontal="center" vertical="center" wrapText="1"/>
    </xf>
    <xf numFmtId="20" fontId="10" fillId="0" borderId="25" xfId="1" applyNumberFormat="1" applyFont="1" applyBorder="1" applyAlignment="1">
      <alignment horizontal="center" vertical="center" wrapText="1"/>
    </xf>
    <xf numFmtId="20" fontId="10" fillId="0" borderId="26" xfId="1" applyNumberFormat="1" applyFont="1" applyBorder="1" applyAlignment="1">
      <alignment horizontal="center" vertical="center" wrapText="1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3" xfId="1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5" fontId="10" fillId="0" borderId="2" xfId="1" applyNumberFormat="1" applyFont="1" applyBorder="1" applyAlignment="1">
      <alignment horizontal="center" vertical="center" wrapText="1"/>
    </xf>
    <xf numFmtId="164" fontId="43" fillId="20" borderId="39" xfId="1" applyNumberFormat="1" applyFont="1" applyFill="1" applyBorder="1" applyAlignment="1">
      <alignment horizontal="center" vertical="center" wrapText="1"/>
    </xf>
    <xf numFmtId="164" fontId="43" fillId="20" borderId="40" xfId="1" applyNumberFormat="1" applyFont="1" applyFill="1" applyBorder="1" applyAlignment="1">
      <alignment horizontal="center" vertical="center" wrapText="1"/>
    </xf>
    <xf numFmtId="0" fontId="0" fillId="13" borderId="13" xfId="0" applyFill="1" applyBorder="1" applyAlignment="1">
      <alignment horizontal="left" vertical="center" wrapText="1"/>
    </xf>
    <xf numFmtId="0" fontId="0" fillId="13" borderId="20" xfId="0" applyFill="1" applyBorder="1" applyAlignment="1">
      <alignment horizontal="left" vertical="center" wrapText="1"/>
    </xf>
    <xf numFmtId="0" fontId="0" fillId="13" borderId="14" xfId="0" applyFill="1" applyBorder="1" applyAlignment="1">
      <alignment horizontal="left" vertical="center" wrapText="1"/>
    </xf>
    <xf numFmtId="0" fontId="0" fillId="13" borderId="21" xfId="0" applyFill="1" applyBorder="1" applyAlignment="1">
      <alignment horizontal="left" vertical="center" wrapText="1"/>
    </xf>
    <xf numFmtId="0" fontId="0" fillId="13" borderId="22" xfId="0" applyFill="1" applyBorder="1" applyAlignment="1">
      <alignment horizontal="left" vertical="center" wrapText="1"/>
    </xf>
    <xf numFmtId="0" fontId="0" fillId="13" borderId="23" xfId="0" applyFill="1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5" fontId="11" fillId="0" borderId="10" xfId="0" applyNumberFormat="1" applyFont="1" applyBorder="1" applyAlignment="1">
      <alignment horizontal="center" vertical="center"/>
    </xf>
    <xf numFmtId="15" fontId="11" fillId="0" borderId="11" xfId="0" applyNumberFormat="1" applyFont="1" applyBorder="1" applyAlignment="1">
      <alignment horizontal="center" vertical="center"/>
    </xf>
    <xf numFmtId="15" fontId="10" fillId="0" borderId="3" xfId="1" applyNumberFormat="1" applyFont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center" vertical="center" wrapText="1"/>
    </xf>
    <xf numFmtId="0" fontId="6" fillId="8" borderId="40" xfId="0" applyFont="1" applyFill="1" applyBorder="1" applyAlignment="1">
      <alignment horizontal="center" vertical="center" wrapText="1"/>
    </xf>
    <xf numFmtId="20" fontId="27" fillId="0" borderId="2" xfId="1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0" fontId="37" fillId="0" borderId="3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17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20" fontId="4" fillId="5" borderId="7" xfId="0" applyNumberFormat="1" applyFont="1" applyFill="1" applyBorder="1" applyAlignment="1">
      <alignment horizontal="center" vertical="center" wrapText="1"/>
    </xf>
  </cellXfs>
  <cellStyles count="4">
    <cellStyle name="Excel Built-in Normal" xfId="1" xr:uid="{890D41B4-8C25-4B57-8D3A-96FEEE8AC527}"/>
    <cellStyle name="Normal" xfId="0" builtinId="0"/>
    <cellStyle name="一般 3" xfId="3" xr:uid="{C6010855-9A02-4563-AC3A-07928BF7F85D}"/>
    <cellStyle name="常规 2" xfId="2" xr:uid="{4EC4B979-028D-494C-BCA8-5569CFBE9F6E}"/>
  </cellStyles>
  <dxfs count="3">
    <dxf>
      <font>
        <color rgb="FF3F4444"/>
      </font>
      <fill>
        <patternFill patternType="solid">
          <fgColor auto="1"/>
          <bgColor rgb="FFE5E1E6"/>
        </patternFill>
      </fill>
    </dxf>
    <dxf>
      <font>
        <color rgb="FFFFFFFF"/>
      </font>
      <fill>
        <patternFill patternType="solid">
          <fgColor auto="1"/>
          <bgColor rgb="FF3F4444"/>
        </patternFill>
      </fill>
    </dxf>
    <dxf>
      <font>
        <color rgb="FF3F4444"/>
      </font>
      <fill>
        <patternFill patternType="solid">
          <fgColor auto="1"/>
          <bgColor rgb="FFFFFFFF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8B46-10FB-48D4-84CD-F1B912519C97}">
  <dimension ref="A1:U49"/>
  <sheetViews>
    <sheetView tabSelected="1" zoomScale="90" zoomScaleNormal="90"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M49" sqref="M49"/>
    </sheetView>
  </sheetViews>
  <sheetFormatPr defaultRowHeight="14.5"/>
  <cols>
    <col min="1" max="1" width="5" bestFit="1" customWidth="1"/>
    <col min="2" max="2" width="12.81640625" customWidth="1"/>
    <col min="3" max="3" width="5" bestFit="1" customWidth="1"/>
    <col min="4" max="4" width="12.54296875" customWidth="1"/>
    <col min="5" max="5" width="5" bestFit="1" customWidth="1"/>
    <col min="6" max="6" width="12.81640625" customWidth="1"/>
    <col min="7" max="7" width="6" customWidth="1"/>
    <col min="8" max="8" width="12.54296875" customWidth="1"/>
    <col min="9" max="9" width="5" bestFit="1" customWidth="1"/>
    <col min="10" max="10" width="12.7265625" customWidth="1"/>
    <col min="11" max="11" width="4.7265625" customWidth="1"/>
    <col min="12" max="12" width="15.7265625" customWidth="1"/>
    <col min="13" max="13" width="27.54296875" customWidth="1"/>
    <col min="14" max="14" width="14.81640625" customWidth="1"/>
    <col min="15" max="15" width="10.54296875" customWidth="1"/>
    <col min="16" max="16" width="8" bestFit="1" customWidth="1"/>
    <col min="17" max="17" width="3.26953125" customWidth="1"/>
    <col min="18" max="20" width="3.1796875" customWidth="1"/>
    <col min="21" max="21" width="4.7265625" customWidth="1"/>
    <col min="22" max="22" width="8.81640625" customWidth="1"/>
  </cols>
  <sheetData>
    <row r="1" spans="1:21">
      <c r="B1" s="1" t="s">
        <v>0</v>
      </c>
      <c r="C1" s="2"/>
      <c r="D1" s="1" t="s">
        <v>0</v>
      </c>
      <c r="E1" s="2"/>
      <c r="F1" s="1" t="s">
        <v>0</v>
      </c>
      <c r="H1" s="1" t="s">
        <v>0</v>
      </c>
      <c r="I1" s="2"/>
      <c r="J1" s="1" t="s">
        <v>0</v>
      </c>
      <c r="L1" s="16" t="s">
        <v>9</v>
      </c>
      <c r="M1" s="16" t="s">
        <v>10</v>
      </c>
      <c r="N1" s="16" t="s">
        <v>11</v>
      </c>
      <c r="O1" s="16" t="s">
        <v>12</v>
      </c>
      <c r="P1" s="17" t="s">
        <v>13</v>
      </c>
    </row>
    <row r="2" spans="1:21">
      <c r="A2" s="2"/>
      <c r="B2" s="3">
        <v>46300</v>
      </c>
      <c r="C2" s="2"/>
      <c r="D2" s="3">
        <f>B2+1</f>
        <v>46301</v>
      </c>
      <c r="E2" s="2"/>
      <c r="F2" s="3">
        <f>D2+1</f>
        <v>46302</v>
      </c>
      <c r="H2" s="3">
        <f>F2+1</f>
        <v>46303</v>
      </c>
      <c r="I2" s="2"/>
      <c r="J2" s="3">
        <f>H2+1</f>
        <v>46304</v>
      </c>
      <c r="L2" s="18"/>
      <c r="M2" s="4"/>
      <c r="N2" s="5"/>
      <c r="O2" s="6"/>
      <c r="P2" s="6"/>
    </row>
    <row r="3" spans="1:21" ht="27" customHeight="1">
      <c r="A3" s="108">
        <v>0.37152777777777801</v>
      </c>
      <c r="B3" s="106" t="s">
        <v>1</v>
      </c>
      <c r="C3" s="108">
        <v>0.37152777777777801</v>
      </c>
      <c r="D3" s="106" t="s">
        <v>1</v>
      </c>
      <c r="E3" s="108">
        <v>0.37152777777777801</v>
      </c>
      <c r="F3" s="106" t="s">
        <v>1</v>
      </c>
      <c r="G3" s="108">
        <v>0.37152777777777801</v>
      </c>
      <c r="H3" s="106" t="s">
        <v>1</v>
      </c>
      <c r="I3" s="108">
        <v>0.37152777777777801</v>
      </c>
      <c r="J3" s="106" t="s">
        <v>1</v>
      </c>
      <c r="L3" s="19" t="s">
        <v>93</v>
      </c>
      <c r="M3" s="7" t="s">
        <v>14</v>
      </c>
      <c r="N3" s="75"/>
      <c r="O3" s="74" t="s">
        <v>15</v>
      </c>
      <c r="P3" s="73" t="s">
        <v>16</v>
      </c>
      <c r="R3" t="s">
        <v>122</v>
      </c>
    </row>
    <row r="4" spans="1:21" ht="27.75" customHeight="1">
      <c r="A4" s="108">
        <v>0.375</v>
      </c>
      <c r="B4" s="145" t="s">
        <v>2</v>
      </c>
      <c r="C4" s="108">
        <v>0.375</v>
      </c>
      <c r="D4" s="147" t="s">
        <v>168</v>
      </c>
      <c r="E4" s="108">
        <v>0.375</v>
      </c>
      <c r="F4" s="147" t="s">
        <v>168</v>
      </c>
      <c r="G4" s="108">
        <v>0.375</v>
      </c>
      <c r="H4" s="147" t="s">
        <v>168</v>
      </c>
      <c r="I4" s="108">
        <v>0.375</v>
      </c>
      <c r="J4" s="147" t="s">
        <v>168</v>
      </c>
      <c r="L4" s="18" t="s">
        <v>3</v>
      </c>
      <c r="M4" s="4" t="s">
        <v>17</v>
      </c>
      <c r="N4" s="5"/>
      <c r="O4" s="6" t="s">
        <v>15</v>
      </c>
      <c r="P4" s="26" t="s">
        <v>18</v>
      </c>
      <c r="R4" t="s">
        <v>27</v>
      </c>
      <c r="S4" t="s">
        <v>29</v>
      </c>
      <c r="T4" t="s">
        <v>28</v>
      </c>
    </row>
    <row r="5" spans="1:21" ht="21" customHeight="1">
      <c r="A5" s="108">
        <v>0.38541666666666669</v>
      </c>
      <c r="B5" s="145"/>
      <c r="C5" s="108">
        <v>0.38541666666666669</v>
      </c>
      <c r="D5" s="147"/>
      <c r="E5" s="108">
        <v>0.38541666666666669</v>
      </c>
      <c r="F5" s="147"/>
      <c r="G5" s="108">
        <v>0.38541666666666669</v>
      </c>
      <c r="H5" s="147"/>
      <c r="I5" s="108">
        <v>0.38541666666666669</v>
      </c>
      <c r="J5" s="147"/>
      <c r="L5" s="221" t="s">
        <v>37</v>
      </c>
      <c r="M5" s="92" t="str">
        <f>participants!C2</f>
        <v>Ana L. Fragoso C.</v>
      </c>
      <c r="N5" s="194">
        <f>B2</f>
        <v>46300</v>
      </c>
      <c r="O5" s="190" t="s">
        <v>15</v>
      </c>
      <c r="P5" s="220" t="s">
        <v>16</v>
      </c>
      <c r="Q5" s="93">
        <v>1</v>
      </c>
    </row>
    <row r="6" spans="1:21" ht="22.5" customHeight="1">
      <c r="A6" s="108">
        <v>0.39583333333333331</v>
      </c>
      <c r="B6" s="146" t="s">
        <v>35</v>
      </c>
      <c r="C6" s="108">
        <v>0.39583333333333331</v>
      </c>
      <c r="D6" s="157" t="s">
        <v>8</v>
      </c>
      <c r="E6" s="108">
        <v>0.39583333333333331</v>
      </c>
      <c r="F6" s="161" t="s">
        <v>127</v>
      </c>
      <c r="G6" s="108">
        <v>0.39583333333333331</v>
      </c>
      <c r="H6" s="195" t="s">
        <v>102</v>
      </c>
      <c r="I6" s="108">
        <v>0.39583333333333331</v>
      </c>
      <c r="J6" s="159" t="s">
        <v>115</v>
      </c>
      <c r="L6" s="222"/>
      <c r="M6" s="141" t="s">
        <v>206</v>
      </c>
      <c r="N6" s="194"/>
      <c r="O6" s="190"/>
      <c r="P6" s="220"/>
      <c r="Q6" s="93">
        <v>1</v>
      </c>
    </row>
    <row r="7" spans="1:21" ht="15.75" customHeight="1">
      <c r="A7" s="108">
        <v>0.40625</v>
      </c>
      <c r="B7" s="146"/>
      <c r="C7" s="108">
        <v>0.40625</v>
      </c>
      <c r="D7" s="158"/>
      <c r="E7" s="108">
        <v>0.40625</v>
      </c>
      <c r="F7" s="162"/>
      <c r="G7" s="108">
        <v>0.40625</v>
      </c>
      <c r="H7" s="196"/>
      <c r="I7" s="108">
        <v>0.40625</v>
      </c>
      <c r="J7" s="160"/>
      <c r="L7" s="15"/>
      <c r="M7" s="11"/>
      <c r="N7" s="75"/>
      <c r="O7" s="190"/>
      <c r="P7" s="220"/>
    </row>
    <row r="8" spans="1:21" ht="15.75" customHeight="1">
      <c r="A8" s="108">
        <v>0.41666666666666669</v>
      </c>
      <c r="B8" s="146"/>
      <c r="C8" s="108">
        <v>0.41666666666666669</v>
      </c>
      <c r="D8" s="158"/>
      <c r="E8" s="108">
        <v>0.41666666666666669</v>
      </c>
      <c r="F8" s="162"/>
      <c r="G8" s="108">
        <v>0.41666666666666669</v>
      </c>
      <c r="H8" s="196"/>
      <c r="I8" s="108">
        <v>0.41666666666666669</v>
      </c>
      <c r="J8" s="160"/>
      <c r="L8" s="221" t="s">
        <v>46</v>
      </c>
      <c r="M8" s="92" t="str">
        <f>participants!C5</f>
        <v>Luis Erick Rodríguez</v>
      </c>
      <c r="N8" s="194">
        <f>B2</f>
        <v>46300</v>
      </c>
      <c r="O8" s="190" t="s">
        <v>15</v>
      </c>
      <c r="P8" s="220" t="s">
        <v>16</v>
      </c>
      <c r="Q8" s="93">
        <v>1</v>
      </c>
      <c r="T8" s="31"/>
    </row>
    <row r="9" spans="1:21" ht="15.75" customHeight="1">
      <c r="A9" s="108">
        <v>0.42708333333333331</v>
      </c>
      <c r="B9" s="146"/>
      <c r="C9" s="108">
        <v>0.42708333333333331</v>
      </c>
      <c r="D9" s="158"/>
      <c r="E9" s="108">
        <v>0.42708333333333331</v>
      </c>
      <c r="F9" s="162"/>
      <c r="G9" s="108">
        <v>0.42708333333333331</v>
      </c>
      <c r="H9" s="196"/>
      <c r="I9" s="108">
        <v>0.42708333333333331</v>
      </c>
      <c r="J9" s="160"/>
      <c r="L9" s="222"/>
      <c r="M9" s="91"/>
      <c r="N9" s="194"/>
      <c r="O9" s="190"/>
      <c r="P9" s="220"/>
    </row>
    <row r="10" spans="1:21" ht="15.75" customHeight="1">
      <c r="A10" s="108">
        <v>0.4375</v>
      </c>
      <c r="B10" s="161" t="s">
        <v>119</v>
      </c>
      <c r="C10" s="108">
        <v>0.4375</v>
      </c>
      <c r="D10" s="146" t="s">
        <v>35</v>
      </c>
      <c r="E10" s="108">
        <v>0.4375</v>
      </c>
      <c r="F10" s="146" t="s">
        <v>35</v>
      </c>
      <c r="G10" s="108">
        <v>0.4375</v>
      </c>
      <c r="H10" s="196"/>
      <c r="I10" s="108">
        <v>0.4375</v>
      </c>
      <c r="J10" s="160"/>
      <c r="L10" s="192" t="s">
        <v>20</v>
      </c>
      <c r="M10" s="92" t="str">
        <f>participants!C7</f>
        <v>Florencia Vitale</v>
      </c>
      <c r="N10" s="194">
        <f>D2</f>
        <v>46301</v>
      </c>
      <c r="O10" s="190" t="s">
        <v>15</v>
      </c>
      <c r="P10" s="220" t="s">
        <v>16</v>
      </c>
      <c r="Q10" s="93">
        <v>1</v>
      </c>
    </row>
    <row r="11" spans="1:21" ht="15.75" customHeight="1">
      <c r="A11" s="108">
        <v>0.44791666666666669</v>
      </c>
      <c r="B11" s="162"/>
      <c r="C11" s="108">
        <v>0.44791666666666669</v>
      </c>
      <c r="D11" s="146"/>
      <c r="E11" s="108">
        <v>0.44791666666666669</v>
      </c>
      <c r="F11" s="146"/>
      <c r="G11" s="108">
        <v>0.44791666666666669</v>
      </c>
      <c r="H11" s="196"/>
      <c r="I11" s="244">
        <v>0.44791666666666669</v>
      </c>
      <c r="J11" s="156" t="s">
        <v>123</v>
      </c>
      <c r="L11" s="193"/>
      <c r="M11" s="112"/>
      <c r="N11" s="194"/>
      <c r="O11" s="190"/>
      <c r="P11" s="220"/>
    </row>
    <row r="12" spans="1:21" ht="18.75" customHeight="1">
      <c r="A12" s="108">
        <v>0.45833333333333331</v>
      </c>
      <c r="B12" s="162"/>
      <c r="C12" s="108">
        <v>0.45833333333333331</v>
      </c>
      <c r="D12" s="146"/>
      <c r="E12" s="108">
        <v>0.45833333333333331</v>
      </c>
      <c r="F12" s="146"/>
      <c r="G12" s="108">
        <v>0.45833333333333331</v>
      </c>
      <c r="H12" s="196"/>
      <c r="I12" s="108">
        <v>0.45833333333333331</v>
      </c>
      <c r="J12" s="156"/>
      <c r="L12" s="8" t="s">
        <v>21</v>
      </c>
      <c r="M12" s="92" t="str">
        <f>participants!C9</f>
        <v>Carlos Quintero N.</v>
      </c>
      <c r="N12" s="75">
        <f>F2</f>
        <v>46302</v>
      </c>
      <c r="O12" s="74" t="s">
        <v>15</v>
      </c>
      <c r="P12" s="73" t="s">
        <v>16</v>
      </c>
      <c r="Q12" s="93">
        <v>1</v>
      </c>
      <c r="S12" s="121"/>
      <c r="T12" s="121"/>
      <c r="U12" s="121"/>
    </row>
    <row r="13" spans="1:21" ht="19.5" customHeight="1">
      <c r="A13" s="108">
        <v>0.46875</v>
      </c>
      <c r="B13" s="163"/>
      <c r="C13" s="108">
        <v>0.46875</v>
      </c>
      <c r="D13" s="146"/>
      <c r="E13" s="108">
        <v>0.46875</v>
      </c>
      <c r="F13" s="146"/>
      <c r="G13" s="108">
        <v>0.46875</v>
      </c>
      <c r="H13" s="196"/>
      <c r="I13" s="108">
        <v>0.46875</v>
      </c>
      <c r="J13" s="164" t="s">
        <v>187</v>
      </c>
      <c r="L13" s="221" t="s">
        <v>22</v>
      </c>
      <c r="M13" s="92" t="str">
        <f>participants!C10</f>
        <v>Oscar Vera</v>
      </c>
      <c r="N13" s="194">
        <f>B2</f>
        <v>46300</v>
      </c>
      <c r="O13" s="190" t="s">
        <v>15</v>
      </c>
      <c r="P13" s="220" t="s">
        <v>16</v>
      </c>
      <c r="Q13" s="93">
        <v>1</v>
      </c>
    </row>
    <row r="14" spans="1:21" ht="15.75" customHeight="1">
      <c r="A14" s="108">
        <v>0.47916666666666669</v>
      </c>
      <c r="B14" s="105" t="s">
        <v>5</v>
      </c>
      <c r="C14" s="108">
        <v>0.47916666666666669</v>
      </c>
      <c r="D14" s="166" t="s">
        <v>212</v>
      </c>
      <c r="E14" s="108">
        <v>0.47916666666666669</v>
      </c>
      <c r="F14" s="166" t="s">
        <v>204</v>
      </c>
      <c r="G14" s="108">
        <v>0.47916666666666669</v>
      </c>
      <c r="H14" s="215" t="s">
        <v>114</v>
      </c>
      <c r="I14" s="108">
        <v>0.47916666666666669</v>
      </c>
      <c r="J14" s="165"/>
      <c r="L14" s="223"/>
      <c r="M14" s="91"/>
      <c r="N14" s="194"/>
      <c r="O14" s="190"/>
      <c r="P14" s="220"/>
      <c r="R14" s="66"/>
      <c r="S14" s="66"/>
      <c r="T14" s="66"/>
      <c r="U14" s="66"/>
    </row>
    <row r="15" spans="1:21" ht="15.75" customHeight="1">
      <c r="A15" s="108">
        <v>0.48958333333333331</v>
      </c>
      <c r="B15" s="161" t="s">
        <v>176</v>
      </c>
      <c r="C15" s="108">
        <v>0.48958333333333331</v>
      </c>
      <c r="D15" s="166"/>
      <c r="E15" s="108">
        <v>0.48958333333333331</v>
      </c>
      <c r="F15" s="166"/>
      <c r="G15" s="108">
        <v>0.48958333333333331</v>
      </c>
      <c r="H15" s="216"/>
      <c r="I15" s="108">
        <v>0.48958333333333331</v>
      </c>
      <c r="J15" s="218" t="s">
        <v>172</v>
      </c>
      <c r="L15" s="222"/>
      <c r="M15" s="111"/>
      <c r="N15" s="194"/>
      <c r="O15" s="190"/>
      <c r="P15" s="220"/>
      <c r="R15" s="66"/>
      <c r="S15" s="66"/>
      <c r="T15" s="66"/>
      <c r="U15" s="66"/>
    </row>
    <row r="16" spans="1:21" ht="15.75" customHeight="1">
      <c r="A16" s="108">
        <v>0.5</v>
      </c>
      <c r="B16" s="162"/>
      <c r="C16" s="108">
        <v>0.5</v>
      </c>
      <c r="D16" s="166"/>
      <c r="E16" s="108">
        <v>0.5</v>
      </c>
      <c r="F16" s="166"/>
      <c r="G16" s="108">
        <v>0.5</v>
      </c>
      <c r="H16" s="216"/>
      <c r="I16" s="108">
        <v>0.5</v>
      </c>
      <c r="J16" s="219"/>
      <c r="L16" s="209" t="s">
        <v>23</v>
      </c>
      <c r="M16" s="136" t="str">
        <f>participants!C13</f>
        <v>Carlos Quintero N.</v>
      </c>
      <c r="N16" s="194">
        <f>F2</f>
        <v>46302</v>
      </c>
      <c r="O16" s="190" t="s">
        <v>15</v>
      </c>
      <c r="P16" s="73" t="s">
        <v>27</v>
      </c>
      <c r="R16" s="137">
        <v>0</v>
      </c>
    </row>
    <row r="17" spans="1:19" ht="15.75" customHeight="1">
      <c r="A17" s="108">
        <v>0.51041666666666663</v>
      </c>
      <c r="B17" s="162"/>
      <c r="C17" s="108">
        <v>0.51041666666666663</v>
      </c>
      <c r="D17" s="166"/>
      <c r="E17" s="108">
        <v>0.51041666666666663</v>
      </c>
      <c r="F17" s="166"/>
      <c r="G17" s="108">
        <v>0.51041666666666663</v>
      </c>
      <c r="H17" s="216"/>
      <c r="I17" s="108">
        <v>0.51041666666666663</v>
      </c>
      <c r="J17" s="219"/>
      <c r="L17" s="209"/>
      <c r="M17" s="12">
        <f>participants!C14</f>
        <v>0</v>
      </c>
      <c r="N17" s="194"/>
      <c r="O17" s="190"/>
      <c r="P17" s="73" t="s">
        <v>29</v>
      </c>
    </row>
    <row r="18" spans="1:19">
      <c r="A18" s="108">
        <v>0.52083333333333337</v>
      </c>
      <c r="B18" s="163"/>
      <c r="C18" s="108">
        <v>0.52083333333333337</v>
      </c>
      <c r="D18" s="166"/>
      <c r="E18" s="108">
        <v>0.52083333333333337</v>
      </c>
      <c r="F18" s="166"/>
      <c r="G18" s="108">
        <v>0.52083333333333337</v>
      </c>
      <c r="H18" s="216"/>
      <c r="I18" s="108">
        <v>0.52083333333333337</v>
      </c>
      <c r="J18" s="219"/>
      <c r="L18" s="209"/>
      <c r="M18" s="12">
        <f>participants!C15</f>
        <v>0</v>
      </c>
      <c r="N18" s="194"/>
      <c r="O18" s="190"/>
      <c r="P18" s="127" t="s">
        <v>28</v>
      </c>
    </row>
    <row r="19" spans="1:19" ht="23.25" customHeight="1">
      <c r="A19" s="108">
        <v>0.53125</v>
      </c>
      <c r="B19" s="105" t="s">
        <v>5</v>
      </c>
      <c r="C19" s="108">
        <v>0.53125</v>
      </c>
      <c r="D19" s="166"/>
      <c r="E19" s="108">
        <v>0.53125</v>
      </c>
      <c r="F19" s="105" t="s">
        <v>5</v>
      </c>
      <c r="G19" s="108">
        <v>0.53125</v>
      </c>
      <c r="H19" s="107" t="s">
        <v>7</v>
      </c>
      <c r="I19" s="108">
        <v>0.53125</v>
      </c>
      <c r="J19" s="219"/>
      <c r="L19" s="209" t="s">
        <v>61</v>
      </c>
      <c r="M19" s="134" t="str">
        <f>participants!C16</f>
        <v>Carlos Quintero N.</v>
      </c>
      <c r="N19" s="194">
        <f>D2</f>
        <v>46301</v>
      </c>
      <c r="O19" s="190" t="s">
        <v>15</v>
      </c>
      <c r="P19" s="135" t="s">
        <v>27</v>
      </c>
      <c r="R19" s="93">
        <v>0</v>
      </c>
    </row>
    <row r="20" spans="1:19" ht="19.5" customHeight="1">
      <c r="A20" s="108">
        <v>0.54166666666666696</v>
      </c>
      <c r="B20" s="161" t="s">
        <v>177</v>
      </c>
      <c r="C20" s="108">
        <v>0.54166666666666696</v>
      </c>
      <c r="D20" s="105" t="s">
        <v>5</v>
      </c>
      <c r="E20" s="108">
        <v>0.54166666666666696</v>
      </c>
      <c r="F20" s="166" t="s">
        <v>192</v>
      </c>
      <c r="G20" s="244">
        <v>0.54166666666666696</v>
      </c>
      <c r="H20" s="173" t="s">
        <v>171</v>
      </c>
      <c r="I20" s="244">
        <v>0.54166666666666696</v>
      </c>
      <c r="J20" s="171" t="s">
        <v>170</v>
      </c>
      <c r="L20" s="209"/>
      <c r="M20" s="134" t="str">
        <f>participants!C17</f>
        <v>Miguel A. López H.</v>
      </c>
      <c r="N20" s="194"/>
      <c r="O20" s="190"/>
      <c r="P20" s="135" t="s">
        <v>29</v>
      </c>
      <c r="S20" s="93">
        <v>1</v>
      </c>
    </row>
    <row r="21" spans="1:19" ht="15.75" customHeight="1" thickBot="1">
      <c r="A21" s="108">
        <v>0.55208333333333304</v>
      </c>
      <c r="B21" s="172"/>
      <c r="C21" s="108">
        <v>0.55208333333333304</v>
      </c>
      <c r="D21" s="157" t="s">
        <v>200</v>
      </c>
      <c r="E21" s="108">
        <v>0.55208333333333304</v>
      </c>
      <c r="F21" s="166"/>
      <c r="G21" s="108">
        <v>0.55208333333333304</v>
      </c>
      <c r="H21" s="174"/>
      <c r="I21" s="108">
        <v>0.55208333333333304</v>
      </c>
      <c r="J21" s="171"/>
      <c r="L21" s="192"/>
      <c r="M21" s="128">
        <f>participants!C18</f>
        <v>0</v>
      </c>
      <c r="N21" s="214"/>
      <c r="O21" s="191"/>
      <c r="P21" s="127" t="s">
        <v>28</v>
      </c>
    </row>
    <row r="22" spans="1:19" ht="15.75" customHeight="1">
      <c r="A22" s="108">
        <v>0.5625</v>
      </c>
      <c r="B22" s="172"/>
      <c r="C22" s="108">
        <v>0.5625</v>
      </c>
      <c r="D22" s="158"/>
      <c r="E22" s="108">
        <v>0.5625</v>
      </c>
      <c r="F22" s="166"/>
      <c r="G22" s="108">
        <v>0.5625</v>
      </c>
      <c r="H22" s="174"/>
      <c r="I22" s="108">
        <v>0.5625</v>
      </c>
      <c r="J22" s="171"/>
      <c r="K22" t="s">
        <v>94</v>
      </c>
      <c r="L22" s="210" t="s">
        <v>99</v>
      </c>
      <c r="M22" s="129">
        <f>participants!C19</f>
        <v>0</v>
      </c>
      <c r="N22" s="212">
        <f>F2</f>
        <v>46302</v>
      </c>
      <c r="O22" s="179" t="s">
        <v>15</v>
      </c>
      <c r="P22" s="130" t="s">
        <v>27</v>
      </c>
    </row>
    <row r="23" spans="1:19" ht="15.75" customHeight="1">
      <c r="A23" s="108">
        <v>0.57291666666666596</v>
      </c>
      <c r="B23" s="172"/>
      <c r="C23" s="108">
        <v>0.57291666666666596</v>
      </c>
      <c r="D23" s="158"/>
      <c r="E23" s="108">
        <v>0.57291666666666596</v>
      </c>
      <c r="F23" s="166"/>
      <c r="G23" s="108">
        <v>0.57291666666666596</v>
      </c>
      <c r="H23" s="174"/>
      <c r="I23" s="108">
        <v>0.57291666666666596</v>
      </c>
      <c r="J23" s="171"/>
      <c r="K23" t="s">
        <v>94</v>
      </c>
      <c r="L23" s="211"/>
      <c r="M23" s="138" t="str">
        <f>participants!C20</f>
        <v>Miguel A. López H.</v>
      </c>
      <c r="N23" s="213"/>
      <c r="O23" s="180"/>
      <c r="P23" s="139" t="s">
        <v>202</v>
      </c>
      <c r="S23" s="93">
        <v>0</v>
      </c>
    </row>
    <row r="24" spans="1:19" ht="15.75" customHeight="1" thickBot="1">
      <c r="A24" s="108">
        <v>0.58333333333333304</v>
      </c>
      <c r="B24" s="148" t="s">
        <v>6</v>
      </c>
      <c r="C24" s="108">
        <v>0.58333333333333304</v>
      </c>
      <c r="D24" s="158"/>
      <c r="E24" s="108">
        <v>0.58333333333333304</v>
      </c>
      <c r="F24" s="166"/>
      <c r="G24" s="108">
        <v>0.58333333333333304</v>
      </c>
      <c r="H24" s="174"/>
      <c r="I24" s="108">
        <v>0.58333333333333304</v>
      </c>
      <c r="J24" s="169" t="s">
        <v>6</v>
      </c>
      <c r="K24" t="s">
        <v>94</v>
      </c>
      <c r="L24" s="211"/>
      <c r="M24" s="132">
        <f>participants!C21</f>
        <v>0</v>
      </c>
      <c r="N24" s="213"/>
      <c r="O24" s="180"/>
      <c r="P24" s="130" t="s">
        <v>28</v>
      </c>
    </row>
    <row r="25" spans="1:19" ht="15.75" customHeight="1">
      <c r="A25" s="108">
        <v>0.59375</v>
      </c>
      <c r="B25" s="149"/>
      <c r="C25" s="108">
        <v>0.59375</v>
      </c>
      <c r="D25" s="158"/>
      <c r="E25" s="108">
        <v>0.59375</v>
      </c>
      <c r="F25" s="166"/>
      <c r="G25" s="108">
        <v>0.59375</v>
      </c>
      <c r="H25" s="174"/>
      <c r="I25" s="108">
        <v>0.59375</v>
      </c>
      <c r="J25" s="169"/>
      <c r="K25" t="s">
        <v>96</v>
      </c>
      <c r="L25" s="211"/>
      <c r="M25" s="129">
        <f>participants!C22</f>
        <v>0</v>
      </c>
      <c r="N25" s="213"/>
      <c r="O25" s="180"/>
      <c r="P25" s="130" t="s">
        <v>27</v>
      </c>
    </row>
    <row r="26" spans="1:19" ht="15.75" customHeight="1">
      <c r="A26" s="108">
        <v>0.60416666666666596</v>
      </c>
      <c r="B26" s="149"/>
      <c r="C26" s="108">
        <v>0.60416666666666596</v>
      </c>
      <c r="D26" s="158"/>
      <c r="E26" s="108">
        <v>0.60416666666666596</v>
      </c>
      <c r="F26" s="145" t="s">
        <v>6</v>
      </c>
      <c r="G26" s="108">
        <v>0.60416666666666596</v>
      </c>
      <c r="H26" s="174"/>
      <c r="I26" s="108">
        <v>0.60416666666666596</v>
      </c>
      <c r="J26" s="169"/>
      <c r="K26" t="s">
        <v>96</v>
      </c>
      <c r="L26" s="211"/>
      <c r="M26" s="131">
        <f>participants!C23</f>
        <v>0</v>
      </c>
      <c r="N26" s="213"/>
      <c r="O26" s="180"/>
      <c r="P26" s="130" t="s">
        <v>27</v>
      </c>
    </row>
    <row r="27" spans="1:19" ht="15.75" customHeight="1" thickBot="1">
      <c r="A27" s="108">
        <v>0.61458333333333304</v>
      </c>
      <c r="B27" s="149"/>
      <c r="C27" s="108">
        <v>0.61458333333333304</v>
      </c>
      <c r="D27" s="145" t="s">
        <v>6</v>
      </c>
      <c r="E27" s="108">
        <v>0.61458333333333304</v>
      </c>
      <c r="F27" s="145"/>
      <c r="G27" s="108">
        <v>0.61458333333333304</v>
      </c>
      <c r="H27" s="175"/>
      <c r="I27" s="108">
        <v>0.61458333333333304</v>
      </c>
      <c r="J27" s="169"/>
      <c r="K27" t="s">
        <v>96</v>
      </c>
      <c r="L27" s="211"/>
      <c r="M27" s="133">
        <f>participants!C24</f>
        <v>0</v>
      </c>
      <c r="N27" s="213"/>
      <c r="O27" s="180"/>
      <c r="P27" s="130" t="s">
        <v>27</v>
      </c>
    </row>
    <row r="28" spans="1:19" ht="15.75" customHeight="1">
      <c r="A28" s="108">
        <v>0.625</v>
      </c>
      <c r="B28" s="149"/>
      <c r="C28" s="108">
        <v>0.625</v>
      </c>
      <c r="D28" s="145"/>
      <c r="E28" s="108">
        <v>0.625</v>
      </c>
      <c r="F28" s="145"/>
      <c r="G28" s="108">
        <v>0.625</v>
      </c>
      <c r="H28" s="145" t="s">
        <v>6</v>
      </c>
      <c r="I28" s="108">
        <v>0.625</v>
      </c>
      <c r="J28" s="170"/>
      <c r="K28" t="s">
        <v>96</v>
      </c>
      <c r="L28" s="211"/>
      <c r="M28" s="129">
        <f>participants!C25</f>
        <v>0</v>
      </c>
      <c r="N28" s="213"/>
      <c r="O28" s="180"/>
      <c r="P28" s="130" t="s">
        <v>29</v>
      </c>
    </row>
    <row r="29" spans="1:19" ht="15.75" customHeight="1">
      <c r="A29" s="108">
        <v>0.63541666666666596</v>
      </c>
      <c r="B29" s="149"/>
      <c r="C29" s="108">
        <v>0.63541666666666596</v>
      </c>
      <c r="D29" s="145"/>
      <c r="E29" s="108">
        <v>0.63541666666666596</v>
      </c>
      <c r="F29" s="145"/>
      <c r="G29" s="108">
        <v>0.63541666666666596</v>
      </c>
      <c r="H29" s="145"/>
      <c r="I29" s="108">
        <v>0.63541666666666596</v>
      </c>
      <c r="J29" s="176" t="s">
        <v>34</v>
      </c>
      <c r="K29" t="s">
        <v>96</v>
      </c>
      <c r="L29" s="211"/>
      <c r="M29" s="138" t="str">
        <f>participants!C26</f>
        <v>Miguel A. López H.</v>
      </c>
      <c r="N29" s="213"/>
      <c r="O29" s="180"/>
      <c r="P29" s="139" t="s">
        <v>29</v>
      </c>
      <c r="S29" s="93">
        <v>0</v>
      </c>
    </row>
    <row r="30" spans="1:19" ht="15.75" customHeight="1" thickBot="1">
      <c r="A30" s="108">
        <v>0.64583333333333304</v>
      </c>
      <c r="B30" s="215" t="s">
        <v>4</v>
      </c>
      <c r="C30" s="108">
        <v>0.64583333333333304</v>
      </c>
      <c r="D30" s="145"/>
      <c r="E30" s="108">
        <v>0.64583333333333304</v>
      </c>
      <c r="F30" s="145"/>
      <c r="G30" s="108">
        <v>0.64583333333333304</v>
      </c>
      <c r="H30" s="145"/>
      <c r="I30" s="108">
        <v>0.64583333333333304</v>
      </c>
      <c r="J30" s="177"/>
      <c r="K30" t="s">
        <v>96</v>
      </c>
      <c r="L30" s="211"/>
      <c r="M30" s="133">
        <f>participants!C27</f>
        <v>0</v>
      </c>
      <c r="N30" s="213"/>
      <c r="O30" s="180"/>
      <c r="P30" s="130" t="s">
        <v>29</v>
      </c>
    </row>
    <row r="31" spans="1:19" ht="15.75" customHeight="1">
      <c r="A31" s="108">
        <v>0.656249999999999</v>
      </c>
      <c r="B31" s="216"/>
      <c r="C31" s="108">
        <v>0.656249999999999</v>
      </c>
      <c r="D31" s="145"/>
      <c r="E31" s="108">
        <v>0.656249999999999</v>
      </c>
      <c r="F31" s="145"/>
      <c r="G31" s="108">
        <v>0.656249999999999</v>
      </c>
      <c r="H31" s="145"/>
      <c r="I31" s="108">
        <v>0.656249999999999</v>
      </c>
      <c r="J31" s="177"/>
      <c r="L31" s="211"/>
      <c r="M31" s="129">
        <f>participants!C28</f>
        <v>0</v>
      </c>
      <c r="N31" s="213"/>
      <c r="O31" s="180"/>
      <c r="P31" s="130" t="s">
        <v>28</v>
      </c>
      <c r="R31">
        <v>0</v>
      </c>
    </row>
    <row r="32" spans="1:19" ht="15.75" customHeight="1">
      <c r="A32" s="108">
        <v>0.66666666666666596</v>
      </c>
      <c r="B32" s="216"/>
      <c r="C32" s="108">
        <v>0.66666666666666596</v>
      </c>
      <c r="D32" s="145"/>
      <c r="E32" s="108">
        <v>0.66666666666666596</v>
      </c>
      <c r="F32" s="215" t="s">
        <v>4</v>
      </c>
      <c r="G32" s="108">
        <v>0.66666666666666596</v>
      </c>
      <c r="H32" s="145"/>
      <c r="I32" s="108">
        <v>0.66666666666666596</v>
      </c>
      <c r="J32" s="177"/>
      <c r="L32" s="211"/>
      <c r="M32" s="131">
        <f>participants!C29</f>
        <v>0</v>
      </c>
      <c r="N32" s="213"/>
      <c r="O32" s="180"/>
      <c r="P32" s="130" t="s">
        <v>28</v>
      </c>
      <c r="R32">
        <v>0</v>
      </c>
    </row>
    <row r="33" spans="1:21" ht="15.75" customHeight="1" thickBot="1">
      <c r="A33" s="108">
        <v>0.67708333333333304</v>
      </c>
      <c r="B33" s="216"/>
      <c r="C33" s="108">
        <v>0.67708333333333304</v>
      </c>
      <c r="D33" s="167" t="s">
        <v>4</v>
      </c>
      <c r="E33" s="108">
        <v>0.67708333333333304</v>
      </c>
      <c r="F33" s="216"/>
      <c r="G33" s="108">
        <v>0.67708333333333304</v>
      </c>
      <c r="H33" s="145"/>
      <c r="I33" s="108">
        <v>0.67708333333333304</v>
      </c>
      <c r="J33" s="178"/>
      <c r="L33" s="211"/>
      <c r="M33" s="133">
        <f>participants!C30</f>
        <v>0</v>
      </c>
      <c r="N33" s="213"/>
      <c r="O33" s="180"/>
      <c r="P33" s="130" t="s">
        <v>28</v>
      </c>
    </row>
    <row r="34" spans="1:21" ht="15.75" customHeight="1">
      <c r="A34" s="108">
        <v>0.687499999999999</v>
      </c>
      <c r="B34" s="216"/>
      <c r="C34" s="108">
        <v>0.687499999999999</v>
      </c>
      <c r="D34" s="168"/>
      <c r="E34" s="108">
        <v>0.687499999999999</v>
      </c>
      <c r="F34" s="216"/>
      <c r="G34" s="108">
        <v>0.687499999999999</v>
      </c>
      <c r="H34" s="176" t="s">
        <v>34</v>
      </c>
      <c r="I34" s="108">
        <v>0.687499999999999</v>
      </c>
      <c r="K34" t="s">
        <v>97</v>
      </c>
      <c r="L34" s="181" t="s">
        <v>100</v>
      </c>
      <c r="M34" s="140" t="str">
        <f>participants!C31</f>
        <v>Rodolfo Hernandez</v>
      </c>
      <c r="N34" s="184">
        <f>F2</f>
        <v>46302</v>
      </c>
      <c r="O34" s="187" t="s">
        <v>15</v>
      </c>
      <c r="P34" s="139" t="s">
        <v>27</v>
      </c>
      <c r="R34" s="93">
        <v>1</v>
      </c>
    </row>
    <row r="35" spans="1:21" ht="15.75" customHeight="1">
      <c r="A35" s="108">
        <v>0.69791666666666596</v>
      </c>
      <c r="B35" s="216"/>
      <c r="C35" s="108">
        <v>0.69791666666666596</v>
      </c>
      <c r="D35" s="168"/>
      <c r="E35" s="108">
        <v>0.69791666666666596</v>
      </c>
      <c r="F35" s="216"/>
      <c r="G35" s="108">
        <v>0.69791666666666596</v>
      </c>
      <c r="H35" s="177"/>
      <c r="I35" s="108">
        <v>0.69791666666666596</v>
      </c>
      <c r="K35" t="s">
        <v>97</v>
      </c>
      <c r="L35" s="182"/>
      <c r="M35" s="131">
        <f>participants!C32</f>
        <v>0</v>
      </c>
      <c r="N35" s="185"/>
      <c r="O35" s="188"/>
      <c r="P35" s="130" t="s">
        <v>28</v>
      </c>
    </row>
    <row r="36" spans="1:21" ht="15.75" customHeight="1" thickBot="1">
      <c r="A36" s="108">
        <v>0.70833333333333304</v>
      </c>
      <c r="B36" s="217"/>
      <c r="C36" s="108">
        <v>0.70833333333333304</v>
      </c>
      <c r="D36" s="168"/>
      <c r="E36" s="108">
        <v>0.70833333333333304</v>
      </c>
      <c r="F36" s="216"/>
      <c r="G36" s="108">
        <v>0.70833333333333304</v>
      </c>
      <c r="H36" s="177"/>
      <c r="I36" s="108">
        <v>0.70833333333333304</v>
      </c>
      <c r="K36" t="s">
        <v>97</v>
      </c>
      <c r="L36" s="183"/>
      <c r="M36" s="132">
        <f>participants!C33</f>
        <v>0</v>
      </c>
      <c r="N36" s="186"/>
      <c r="O36" s="189"/>
      <c r="P36" s="130" t="s">
        <v>28</v>
      </c>
    </row>
    <row r="37" spans="1:21" ht="15" thickBot="1">
      <c r="M37" s="25"/>
      <c r="Q37" s="27">
        <f>SUM(Q5:Q36)</f>
        <v>6</v>
      </c>
      <c r="R37" s="27">
        <f>SUM(R5:R36)</f>
        <v>1</v>
      </c>
      <c r="S37" s="27">
        <f>SUM(S5:S36)</f>
        <v>1</v>
      </c>
      <c r="T37" s="27">
        <f>SUM(T5:T36)</f>
        <v>0</v>
      </c>
      <c r="U37" s="27"/>
    </row>
    <row r="38" spans="1:21">
      <c r="M38" s="197" t="s">
        <v>70</v>
      </c>
      <c r="N38" s="198"/>
      <c r="Q38" s="27"/>
      <c r="R38" s="28" t="s">
        <v>27</v>
      </c>
      <c r="S38" s="28" t="s">
        <v>29</v>
      </c>
      <c r="T38" s="28" t="s">
        <v>28</v>
      </c>
      <c r="U38" s="28"/>
    </row>
    <row r="39" spans="1:21">
      <c r="M39" s="199"/>
      <c r="N39" s="200"/>
      <c r="Q39">
        <f>SUM(Q37:U37)</f>
        <v>8</v>
      </c>
    </row>
    <row r="40" spans="1:21" ht="15" thickBot="1">
      <c r="M40" s="201"/>
      <c r="N40" s="202"/>
    </row>
    <row r="43" spans="1:21" ht="15" thickBot="1">
      <c r="B43" s="32" t="s">
        <v>103</v>
      </c>
      <c r="L43" s="64" t="s">
        <v>104</v>
      </c>
    </row>
    <row r="44" spans="1:21" ht="15" thickBot="1">
      <c r="B44" s="203" t="s">
        <v>105</v>
      </c>
      <c r="C44" s="204"/>
      <c r="D44" s="204"/>
      <c r="E44" s="204"/>
      <c r="F44" s="204"/>
      <c r="G44" s="204"/>
      <c r="H44" s="204"/>
      <c r="I44" s="204"/>
      <c r="J44" s="205"/>
    </row>
    <row r="45" spans="1:21">
      <c r="B45" s="150" t="s">
        <v>211</v>
      </c>
      <c r="C45" s="151"/>
      <c r="D45" s="151"/>
      <c r="E45" s="151"/>
      <c r="F45" s="151"/>
      <c r="G45" s="151"/>
      <c r="H45" s="151"/>
      <c r="I45" s="151"/>
      <c r="J45" s="152"/>
    </row>
    <row r="46" spans="1:21">
      <c r="B46" s="206"/>
      <c r="C46" s="207"/>
      <c r="D46" s="207"/>
      <c r="E46" s="207"/>
      <c r="F46" s="207"/>
      <c r="G46" s="207"/>
      <c r="H46" s="207"/>
      <c r="I46" s="207"/>
      <c r="J46" s="208"/>
    </row>
    <row r="47" spans="1:21" ht="15" thickBot="1">
      <c r="B47" s="153"/>
      <c r="C47" s="154"/>
      <c r="D47" s="154"/>
      <c r="E47" s="154"/>
      <c r="F47" s="154"/>
      <c r="G47" s="154"/>
      <c r="H47" s="154"/>
      <c r="I47" s="154"/>
      <c r="J47" s="155"/>
    </row>
    <row r="48" spans="1:21">
      <c r="B48" s="150" t="s">
        <v>106</v>
      </c>
      <c r="C48" s="151"/>
      <c r="D48" s="151"/>
      <c r="E48" s="151"/>
      <c r="F48" s="151"/>
      <c r="G48" s="151"/>
      <c r="H48" s="151"/>
      <c r="I48" s="151"/>
      <c r="J48" s="152"/>
    </row>
    <row r="49" spans="2:10" ht="15" thickBot="1">
      <c r="B49" s="153"/>
      <c r="C49" s="154"/>
      <c r="D49" s="154"/>
      <c r="E49" s="154"/>
      <c r="F49" s="154"/>
      <c r="G49" s="154"/>
      <c r="H49" s="154"/>
      <c r="I49" s="154"/>
      <c r="J49" s="155"/>
    </row>
  </sheetData>
  <mergeCells count="67">
    <mergeCell ref="B20:B23"/>
    <mergeCell ref="F20:F25"/>
    <mergeCell ref="D21:D26"/>
    <mergeCell ref="B24:B29"/>
    <mergeCell ref="F26:F31"/>
    <mergeCell ref="D27:D32"/>
    <mergeCell ref="B30:B36"/>
    <mergeCell ref="F32:F36"/>
    <mergeCell ref="D33:D36"/>
    <mergeCell ref="P10:P11"/>
    <mergeCell ref="L13:L15"/>
    <mergeCell ref="N13:N15"/>
    <mergeCell ref="O13:O15"/>
    <mergeCell ref="P13:P15"/>
    <mergeCell ref="P5:P7"/>
    <mergeCell ref="L8:L9"/>
    <mergeCell ref="N8:N9"/>
    <mergeCell ref="O8:O9"/>
    <mergeCell ref="L5:L6"/>
    <mergeCell ref="P8:P9"/>
    <mergeCell ref="M38:N40"/>
    <mergeCell ref="B44:J44"/>
    <mergeCell ref="B45:J47"/>
    <mergeCell ref="L16:L18"/>
    <mergeCell ref="N16:N18"/>
    <mergeCell ref="L22:L33"/>
    <mergeCell ref="N22:N33"/>
    <mergeCell ref="L19:L21"/>
    <mergeCell ref="N19:N21"/>
    <mergeCell ref="H34:H36"/>
    <mergeCell ref="F14:F18"/>
    <mergeCell ref="H14:H18"/>
    <mergeCell ref="O22:O33"/>
    <mergeCell ref="L34:L36"/>
    <mergeCell ref="N34:N36"/>
    <mergeCell ref="O34:O36"/>
    <mergeCell ref="F4:F5"/>
    <mergeCell ref="H4:H5"/>
    <mergeCell ref="J4:J5"/>
    <mergeCell ref="O16:O18"/>
    <mergeCell ref="O19:O21"/>
    <mergeCell ref="L10:L11"/>
    <mergeCell ref="N10:N11"/>
    <mergeCell ref="O10:O11"/>
    <mergeCell ref="N5:N6"/>
    <mergeCell ref="O5:O7"/>
    <mergeCell ref="F6:F9"/>
    <mergeCell ref="H6:H13"/>
    <mergeCell ref="J15:J19"/>
    <mergeCell ref="H20:H27"/>
    <mergeCell ref="J20:J23"/>
    <mergeCell ref="J24:J28"/>
    <mergeCell ref="H28:H33"/>
    <mergeCell ref="J29:J33"/>
    <mergeCell ref="B4:B5"/>
    <mergeCell ref="B6:B9"/>
    <mergeCell ref="D4:D5"/>
    <mergeCell ref="B48:J49"/>
    <mergeCell ref="J11:J12"/>
    <mergeCell ref="D6:D9"/>
    <mergeCell ref="J6:J10"/>
    <mergeCell ref="B10:B13"/>
    <mergeCell ref="D10:D13"/>
    <mergeCell ref="F10:F13"/>
    <mergeCell ref="J13:J14"/>
    <mergeCell ref="D14:D19"/>
    <mergeCell ref="B15:B18"/>
  </mergeCells>
  <phoneticPr fontId="26" type="noConversion"/>
  <dataValidations count="1">
    <dataValidation type="textLength" allowBlank="1" showInputMessage="1" showErrorMessage="1" errorTitle="Invalid Length" error="Participant's Full Name must be between 1 and 256 characters in length" sqref="M6" xr:uid="{A92C9B27-1F89-478A-8DDE-8074F151755E}">
      <formula1>1</formula1>
      <formula2>256</formula2>
    </dataValidation>
  </dataValidations>
  <pageMargins left="1" right="1" top="1" bottom="1" header="0.5" footer="0.5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8239-2A3F-4621-85B4-78F53BA4E3A1}">
  <dimension ref="A1:J36"/>
  <sheetViews>
    <sheetView zoomScale="120" zoomScaleNormal="120" workbookViewId="0">
      <selection activeCell="D27" sqref="D27"/>
    </sheetView>
  </sheetViews>
  <sheetFormatPr defaultRowHeight="14.5"/>
  <cols>
    <col min="1" max="1" width="4.81640625" customWidth="1"/>
    <col min="2" max="2" width="21.7265625" customWidth="1"/>
    <col min="3" max="3" width="30.453125" bestFit="1" customWidth="1"/>
    <col min="4" max="4" width="24.7265625" customWidth="1"/>
    <col min="5" max="5" width="15.54296875" customWidth="1"/>
    <col min="6" max="6" width="38.1796875" customWidth="1"/>
    <col min="7" max="7" width="13.1796875" customWidth="1"/>
    <col min="8" max="8" width="18.54296875" customWidth="1"/>
    <col min="9" max="9" width="16.453125" customWidth="1"/>
    <col min="10" max="10" width="21.453125" customWidth="1"/>
    <col min="11" max="11" width="43.54296875" bestFit="1" customWidth="1"/>
    <col min="12" max="12" width="16.453125" customWidth="1"/>
    <col min="13" max="13" width="16.81640625" bestFit="1" customWidth="1"/>
  </cols>
  <sheetData>
    <row r="1" spans="1:10">
      <c r="F1" t="s">
        <v>186</v>
      </c>
    </row>
    <row r="2" spans="1:10" ht="15.5">
      <c r="B2" s="229" t="s">
        <v>30</v>
      </c>
      <c r="C2" s="230"/>
      <c r="F2" s="31" t="s">
        <v>166</v>
      </c>
      <c r="G2" s="31"/>
    </row>
    <row r="3" spans="1:10" ht="15.5">
      <c r="B3" s="13" t="s">
        <v>31</v>
      </c>
      <c r="C3" s="13" t="s">
        <v>32</v>
      </c>
      <c r="F3" s="31" t="s">
        <v>178</v>
      </c>
      <c r="G3" s="31"/>
    </row>
    <row r="4" spans="1:10">
      <c r="B4" s="87" t="str">
        <f>B13</f>
        <v xml:space="preserve">Luis Erick Rodríguez </v>
      </c>
      <c r="C4" s="9" t="s">
        <v>173</v>
      </c>
      <c r="F4" s="96" t="s">
        <v>179</v>
      </c>
      <c r="G4" s="31"/>
      <c r="I4" s="22"/>
      <c r="J4" s="22"/>
    </row>
    <row r="5" spans="1:10">
      <c r="B5" s="87" t="str">
        <f>B14</f>
        <v>Florencia Vitale</v>
      </c>
      <c r="C5" s="9" t="s">
        <v>174</v>
      </c>
      <c r="F5" s="31" t="s">
        <v>180</v>
      </c>
      <c r="G5" s="31"/>
      <c r="I5" s="24"/>
      <c r="J5" s="23"/>
    </row>
    <row r="6" spans="1:10" ht="15.5">
      <c r="B6" s="231" t="s">
        <v>33</v>
      </c>
      <c r="C6" s="232"/>
      <c r="F6" s="95" t="s">
        <v>181</v>
      </c>
      <c r="G6" s="31"/>
    </row>
    <row r="7" spans="1:10" ht="15.5">
      <c r="B7" s="14" t="s">
        <v>31</v>
      </c>
      <c r="C7" s="14" t="s">
        <v>32</v>
      </c>
      <c r="F7" s="97" t="s">
        <v>182</v>
      </c>
      <c r="G7" s="31"/>
    </row>
    <row r="8" spans="1:10">
      <c r="B8" s="76" t="str">
        <f>B15</f>
        <v>Rodolfo Alfonso Hernández</v>
      </c>
      <c r="C8" s="237" t="s">
        <v>175</v>
      </c>
      <c r="F8" s="31"/>
      <c r="G8" s="31"/>
    </row>
    <row r="9" spans="1:10">
      <c r="B9" s="76" t="s">
        <v>53</v>
      </c>
      <c r="C9" s="237"/>
      <c r="F9" s="114"/>
      <c r="G9" s="31"/>
    </row>
    <row r="10" spans="1:10">
      <c r="F10" s="97"/>
    </row>
    <row r="11" spans="1:10">
      <c r="F11" s="97"/>
      <c r="G11" s="31"/>
    </row>
    <row r="12" spans="1:10" s="21" customFormat="1" ht="29.25" customHeight="1">
      <c r="B12" s="78" t="s">
        <v>44</v>
      </c>
      <c r="C12" s="78" t="s">
        <v>41</v>
      </c>
      <c r="D12" s="78" t="s">
        <v>42</v>
      </c>
      <c r="E12" s="102" t="s">
        <v>43</v>
      </c>
      <c r="F12" s="97"/>
      <c r="H12"/>
      <c r="I12"/>
      <c r="J12"/>
    </row>
    <row r="13" spans="1:10" s="20" customFormat="1" ht="24" customHeight="1">
      <c r="A13" s="88"/>
      <c r="B13" s="143" t="s">
        <v>214</v>
      </c>
      <c r="C13" s="120" t="s">
        <v>213</v>
      </c>
      <c r="D13" s="81"/>
      <c r="E13" s="103"/>
      <c r="F13" s="115"/>
      <c r="G13"/>
      <c r="H13"/>
      <c r="I13"/>
      <c r="J13"/>
    </row>
    <row r="14" spans="1:10" s="20" customFormat="1" ht="29.5" customHeight="1">
      <c r="A14" s="88"/>
      <c r="B14" s="143" t="s">
        <v>199</v>
      </c>
      <c r="C14" s="120" t="s">
        <v>213</v>
      </c>
      <c r="D14" s="109"/>
      <c r="E14" s="109"/>
      <c r="F14" s="97"/>
      <c r="G14"/>
      <c r="H14"/>
      <c r="I14"/>
      <c r="J14"/>
    </row>
    <row r="15" spans="1:10" s="20" customFormat="1" ht="28.15" customHeight="1">
      <c r="A15" s="88"/>
      <c r="B15" s="143" t="s">
        <v>215</v>
      </c>
      <c r="C15" s="120" t="s">
        <v>213</v>
      </c>
      <c r="D15" s="81"/>
      <c r="E15" s="81"/>
      <c r="F15" s="97"/>
      <c r="G15"/>
      <c r="H15"/>
      <c r="I15"/>
      <c r="J15"/>
    </row>
    <row r="16" spans="1:10" ht="25.9" customHeight="1">
      <c r="B16" s="101"/>
      <c r="C16" s="120"/>
      <c r="D16" s="100"/>
      <c r="E16" s="100"/>
    </row>
    <row r="17" spans="2:10" ht="21" customHeight="1">
      <c r="B17" s="101" t="s">
        <v>201</v>
      </c>
      <c r="C17" s="144" t="s">
        <v>213</v>
      </c>
    </row>
    <row r="18" spans="2:10">
      <c r="B18" s="79"/>
      <c r="C18" s="31"/>
    </row>
    <row r="19" spans="2:10" ht="31">
      <c r="B19" s="80" t="s">
        <v>44</v>
      </c>
      <c r="C19" s="80" t="s">
        <v>41</v>
      </c>
      <c r="E19" s="34" t="s">
        <v>48</v>
      </c>
      <c r="F19" s="34" t="s">
        <v>56</v>
      </c>
      <c r="G19" s="34" t="s">
        <v>49</v>
      </c>
      <c r="H19" s="34" t="s">
        <v>50</v>
      </c>
      <c r="I19" s="34" t="s">
        <v>51</v>
      </c>
      <c r="J19" s="34" t="s">
        <v>52</v>
      </c>
    </row>
    <row r="20" spans="2:10" ht="23.25" customHeight="1">
      <c r="B20" s="78" t="s">
        <v>45</v>
      </c>
      <c r="C20" s="78" t="s">
        <v>121</v>
      </c>
      <c r="E20" s="45" t="s">
        <v>53</v>
      </c>
      <c r="F20" s="35" t="s">
        <v>55</v>
      </c>
      <c r="G20" s="36">
        <f>27+1+1+1+1+1</f>
        <v>32</v>
      </c>
      <c r="H20" s="36">
        <f>26+1+1+1+1+1</f>
        <v>31</v>
      </c>
      <c r="I20" s="36">
        <v>11</v>
      </c>
      <c r="J20" s="36" t="s">
        <v>54</v>
      </c>
    </row>
    <row r="21" spans="2:10" ht="36.65" customHeight="1">
      <c r="B21" s="78" t="str">
        <f>B13</f>
        <v xml:space="preserve">Luis Erick Rodríguez </v>
      </c>
      <c r="C21" s="78" t="str">
        <f t="shared" ref="B21:C23" si="0">C13</f>
        <v>Four J's Development Tools Latinoamérica.</v>
      </c>
      <c r="E21" s="236" t="s">
        <v>59</v>
      </c>
      <c r="F21" s="9" t="s">
        <v>107</v>
      </c>
      <c r="I21" s="233" t="s">
        <v>60</v>
      </c>
      <c r="J21" s="224" t="s">
        <v>98</v>
      </c>
    </row>
    <row r="22" spans="2:10" ht="52.9" customHeight="1">
      <c r="B22" s="78" t="str">
        <f t="shared" si="0"/>
        <v>Florencia Vitale</v>
      </c>
      <c r="C22" s="78" t="str">
        <f t="shared" si="0"/>
        <v>Four J's Development Tools Latinoamérica.</v>
      </c>
      <c r="E22" s="236"/>
      <c r="F22" s="89" t="s">
        <v>86</v>
      </c>
      <c r="I22" s="234"/>
      <c r="J22" s="225"/>
    </row>
    <row r="23" spans="2:10" ht="41.5" customHeight="1">
      <c r="B23" s="78" t="str">
        <f>B15</f>
        <v>Rodolfo Alfonso Hernández</v>
      </c>
      <c r="C23" s="78" t="str">
        <f t="shared" si="0"/>
        <v>Four J's Development Tools Latinoamérica.</v>
      </c>
      <c r="E23" s="236"/>
      <c r="F23" s="89" t="s">
        <v>87</v>
      </c>
      <c r="I23" s="234"/>
      <c r="J23" s="225"/>
    </row>
    <row r="24" spans="2:10" ht="15" customHeight="1">
      <c r="B24" s="78"/>
      <c r="C24" s="78"/>
      <c r="E24" s="236"/>
      <c r="F24" s="89" t="s">
        <v>85</v>
      </c>
      <c r="I24" s="234"/>
      <c r="J24" s="225"/>
    </row>
    <row r="25" spans="2:10" ht="16.899999999999999" customHeight="1">
      <c r="B25" s="78" t="s">
        <v>58</v>
      </c>
      <c r="C25" s="227" t="str">
        <f>C17</f>
        <v>Four J's Development Tools Latinoamérica.</v>
      </c>
      <c r="E25" s="236"/>
      <c r="F25" s="89" t="s">
        <v>84</v>
      </c>
      <c r="I25" s="234"/>
      <c r="J25" s="225"/>
    </row>
    <row r="26" spans="2:10" ht="17.5" customHeight="1">
      <c r="B26" s="113" t="str">
        <f>B17</f>
        <v>Carlos Quintero N.</v>
      </c>
      <c r="C26" s="228"/>
      <c r="E26" s="236"/>
      <c r="F26" s="89" t="s">
        <v>95</v>
      </c>
      <c r="I26" s="234"/>
      <c r="J26" s="225"/>
    </row>
    <row r="27" spans="2:10" ht="14.5" customHeight="1">
      <c r="B27" s="82"/>
      <c r="C27" s="31"/>
      <c r="E27" s="236"/>
      <c r="F27" s="89" t="s">
        <v>79</v>
      </c>
      <c r="I27" s="234"/>
      <c r="J27" s="225"/>
    </row>
    <row r="28" spans="2:10" ht="24" customHeight="1">
      <c r="B28" s="81" t="s">
        <v>62</v>
      </c>
      <c r="C28" s="81" t="s">
        <v>195</v>
      </c>
      <c r="E28" s="236"/>
      <c r="F28" s="89" t="s">
        <v>81</v>
      </c>
      <c r="I28" s="234"/>
      <c r="J28" s="225"/>
    </row>
    <row r="29" spans="2:10" ht="14.5" customHeight="1">
      <c r="B29" s="104"/>
      <c r="C29" s="81"/>
      <c r="E29" s="236"/>
      <c r="F29" s="89" t="s">
        <v>82</v>
      </c>
      <c r="I29" s="235"/>
      <c r="J29" s="226"/>
    </row>
    <row r="30" spans="2:10" ht="15" customHeight="1">
      <c r="B30" s="79"/>
      <c r="C30" s="77"/>
      <c r="E30" s="236"/>
      <c r="F30" s="89" t="s">
        <v>80</v>
      </c>
    </row>
    <row r="31" spans="2:10" ht="14.5" customHeight="1">
      <c r="B31" s="83"/>
      <c r="C31" s="83"/>
      <c r="E31" s="236"/>
      <c r="F31" s="89" t="s">
        <v>83</v>
      </c>
    </row>
    <row r="32" spans="2:10" ht="14.5" customHeight="1">
      <c r="B32" s="83"/>
      <c r="C32" s="83"/>
      <c r="E32" s="236"/>
      <c r="F32" s="9"/>
    </row>
    <row r="33" spans="2:6" ht="15.5">
      <c r="B33" s="83"/>
      <c r="C33" s="83"/>
      <c r="E33" s="67"/>
      <c r="F33" s="68"/>
    </row>
    <row r="34" spans="2:6" ht="15.5">
      <c r="B34" s="83"/>
      <c r="C34" s="83"/>
      <c r="E34" s="67"/>
      <c r="F34" s="68"/>
    </row>
    <row r="35" spans="2:6">
      <c r="B35" s="83"/>
      <c r="C35" s="83"/>
    </row>
    <row r="36" spans="2:6">
      <c r="B36" s="83"/>
      <c r="C36" s="83"/>
    </row>
  </sheetData>
  <mergeCells count="7">
    <mergeCell ref="J21:J29"/>
    <mergeCell ref="C25:C26"/>
    <mergeCell ref="B2:C2"/>
    <mergeCell ref="B6:C6"/>
    <mergeCell ref="I21:I29"/>
    <mergeCell ref="E21:E32"/>
    <mergeCell ref="C8:C9"/>
  </mergeCells>
  <phoneticPr fontId="26" type="noConversion"/>
  <dataValidations count="2">
    <dataValidation type="whole" allowBlank="1" showInputMessage="1" showErrorMessage="1" error="Only accept integers" sqref="D13:E13" xr:uid="{402C65FE-914C-4040-81EC-5BB61453C7E2}">
      <formula1>1</formula1>
      <formula2>99</formula2>
    </dataValidation>
    <dataValidation type="whole" allowBlank="1" showInputMessage="1" showErrorMessage="1" error="仅接受整数" sqref="D14:E16" xr:uid="{F4495CAF-0459-49DD-A2D9-DC8D7A6F1C05}">
      <formula1>1</formula1>
      <formula2>99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9F3C-0087-4F93-B76C-F477F6B10B5A}">
  <dimension ref="A1:S9"/>
  <sheetViews>
    <sheetView zoomScale="75" zoomScaleNormal="75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defaultRowHeight="14.5"/>
  <cols>
    <col min="1" max="1" width="6.453125" customWidth="1"/>
    <col min="2" max="2" width="8.1796875" customWidth="1"/>
    <col min="3" max="19" width="14.7265625" customWidth="1"/>
  </cols>
  <sheetData>
    <row r="1" spans="1:19" ht="61.5" customHeight="1" thickTop="1" thickBot="1">
      <c r="A1" s="46" t="s">
        <v>128</v>
      </c>
      <c r="B1" s="47" t="s">
        <v>129</v>
      </c>
      <c r="C1" s="238" t="s">
        <v>130</v>
      </c>
      <c r="D1" s="239"/>
      <c r="E1" s="238" t="s">
        <v>131</v>
      </c>
      <c r="F1" s="239"/>
      <c r="G1" s="239"/>
      <c r="H1" s="239"/>
      <c r="I1" s="238" t="s">
        <v>132</v>
      </c>
      <c r="J1" s="239"/>
      <c r="K1" s="239"/>
      <c r="L1" s="116" t="s">
        <v>133</v>
      </c>
      <c r="M1" s="116" t="s">
        <v>134</v>
      </c>
      <c r="N1" s="238" t="s">
        <v>135</v>
      </c>
      <c r="O1" s="239"/>
      <c r="P1" s="239"/>
      <c r="Q1" s="238" t="s">
        <v>136</v>
      </c>
      <c r="R1" s="239"/>
      <c r="S1" s="239"/>
    </row>
    <row r="2" spans="1:19" ht="87.75" customHeight="1" thickTop="1" thickBot="1">
      <c r="A2" s="48"/>
      <c r="B2" s="49"/>
      <c r="C2" s="116" t="s">
        <v>137</v>
      </c>
      <c r="D2" s="116" t="s">
        <v>138</v>
      </c>
      <c r="E2" s="116" t="s">
        <v>139</v>
      </c>
      <c r="F2" s="116" t="s">
        <v>140</v>
      </c>
      <c r="G2" s="116" t="s">
        <v>141</v>
      </c>
      <c r="H2" s="116" t="s">
        <v>142</v>
      </c>
      <c r="I2" s="116" t="s">
        <v>143</v>
      </c>
      <c r="J2" s="116" t="s">
        <v>144</v>
      </c>
      <c r="K2" s="116" t="s">
        <v>145</v>
      </c>
      <c r="L2" s="116" t="s">
        <v>146</v>
      </c>
      <c r="M2" s="116" t="s">
        <v>147</v>
      </c>
      <c r="N2" s="116" t="s">
        <v>148</v>
      </c>
      <c r="O2" s="116" t="s">
        <v>149</v>
      </c>
      <c r="P2" s="116" t="s">
        <v>150</v>
      </c>
      <c r="Q2" s="116" t="s">
        <v>151</v>
      </c>
      <c r="R2" s="116" t="s">
        <v>152</v>
      </c>
      <c r="S2" s="116" t="s">
        <v>153</v>
      </c>
    </row>
    <row r="3" spans="1:19" ht="19.899999999999999" customHeight="1" thickTop="1" thickBot="1">
      <c r="A3" s="50" t="s">
        <v>154</v>
      </c>
      <c r="B3" s="51" t="s">
        <v>193</v>
      </c>
      <c r="C3" s="33" t="s">
        <v>155</v>
      </c>
      <c r="D3" s="33" t="s">
        <v>155</v>
      </c>
      <c r="E3" s="29" t="s">
        <v>157</v>
      </c>
      <c r="F3" s="29" t="s">
        <v>157</v>
      </c>
      <c r="G3" s="29" t="s">
        <v>157</v>
      </c>
      <c r="H3" s="29" t="s">
        <v>157</v>
      </c>
      <c r="I3" s="33" t="s">
        <v>155</v>
      </c>
      <c r="J3" s="30" t="s">
        <v>158</v>
      </c>
      <c r="K3" s="30" t="s">
        <v>158</v>
      </c>
      <c r="L3" s="29" t="s">
        <v>157</v>
      </c>
      <c r="M3" s="30" t="s">
        <v>158</v>
      </c>
      <c r="N3" s="33" t="s">
        <v>155</v>
      </c>
      <c r="O3" s="33" t="s">
        <v>155</v>
      </c>
      <c r="P3" s="33" t="s">
        <v>155</v>
      </c>
      <c r="Q3" s="29" t="s">
        <v>157</v>
      </c>
      <c r="R3" s="65" t="s">
        <v>156</v>
      </c>
      <c r="S3" s="29" t="s">
        <v>157</v>
      </c>
    </row>
    <row r="4" spans="1:19" ht="19.149999999999999" customHeight="1" thickTop="1" thickBot="1">
      <c r="A4" s="50" t="s">
        <v>167</v>
      </c>
      <c r="B4" s="51" t="s">
        <v>194</v>
      </c>
      <c r="C4" s="29" t="s">
        <v>157</v>
      </c>
      <c r="D4" s="29" t="s">
        <v>157</v>
      </c>
      <c r="E4" s="33" t="s">
        <v>155</v>
      </c>
      <c r="F4" s="33" t="s">
        <v>155</v>
      </c>
      <c r="G4" s="33" t="s">
        <v>155</v>
      </c>
      <c r="H4" s="33" t="s">
        <v>155</v>
      </c>
      <c r="I4" s="65" t="s">
        <v>156</v>
      </c>
      <c r="J4" s="30" t="s">
        <v>158</v>
      </c>
      <c r="K4" s="30" t="s">
        <v>158</v>
      </c>
      <c r="L4" s="33" t="s">
        <v>155</v>
      </c>
      <c r="M4" s="30" t="s">
        <v>158</v>
      </c>
      <c r="N4" s="29" t="s">
        <v>157</v>
      </c>
      <c r="O4" s="29" t="s">
        <v>157</v>
      </c>
      <c r="P4" s="29" t="s">
        <v>157</v>
      </c>
      <c r="Q4" s="33" t="s">
        <v>155</v>
      </c>
      <c r="R4" s="33" t="s">
        <v>155</v>
      </c>
      <c r="S4" s="33" t="s">
        <v>155</v>
      </c>
    </row>
    <row r="5" spans="1:19" ht="22.15" customHeight="1" thickTop="1" thickBot="1">
      <c r="A5" s="50"/>
      <c r="B5" s="51" t="s">
        <v>159</v>
      </c>
      <c r="C5" s="30" t="s">
        <v>158</v>
      </c>
      <c r="D5" s="30" t="s">
        <v>158</v>
      </c>
      <c r="E5" s="30" t="s">
        <v>158</v>
      </c>
      <c r="F5" s="30" t="s">
        <v>158</v>
      </c>
      <c r="G5" s="30" t="s">
        <v>158</v>
      </c>
      <c r="H5" s="30" t="s">
        <v>158</v>
      </c>
      <c r="I5" s="30" t="s">
        <v>158</v>
      </c>
      <c r="J5" s="30" t="s">
        <v>158</v>
      </c>
      <c r="K5" s="30" t="s">
        <v>158</v>
      </c>
      <c r="L5" s="30" t="s">
        <v>158</v>
      </c>
      <c r="M5" s="30" t="s">
        <v>158</v>
      </c>
      <c r="N5" s="30" t="s">
        <v>158</v>
      </c>
      <c r="O5" s="30" t="s">
        <v>158</v>
      </c>
      <c r="P5" s="30" t="s">
        <v>158</v>
      </c>
      <c r="Q5" s="30" t="s">
        <v>158</v>
      </c>
      <c r="R5" s="29" t="s">
        <v>157</v>
      </c>
      <c r="S5" s="30" t="s">
        <v>158</v>
      </c>
    </row>
    <row r="6" spans="1:19" ht="26.5" customHeight="1" thickTop="1" thickBot="1">
      <c r="A6" s="50"/>
      <c r="B6" s="51" t="s">
        <v>160</v>
      </c>
      <c r="C6" s="30" t="s">
        <v>158</v>
      </c>
      <c r="D6" s="30" t="s">
        <v>158</v>
      </c>
      <c r="E6" s="30" t="s">
        <v>158</v>
      </c>
      <c r="F6" s="30" t="s">
        <v>158</v>
      </c>
      <c r="G6" s="30" t="s">
        <v>158</v>
      </c>
      <c r="H6" s="30" t="s">
        <v>158</v>
      </c>
      <c r="I6" s="29" t="s">
        <v>157</v>
      </c>
      <c r="J6" s="29" t="s">
        <v>157</v>
      </c>
      <c r="K6" s="29" t="s">
        <v>157</v>
      </c>
      <c r="L6" s="30" t="s">
        <v>158</v>
      </c>
      <c r="M6" s="30" t="s">
        <v>158</v>
      </c>
      <c r="N6" s="30" t="s">
        <v>158</v>
      </c>
      <c r="O6" s="30" t="s">
        <v>158</v>
      </c>
      <c r="P6" s="30" t="s">
        <v>158</v>
      </c>
      <c r="Q6" s="30" t="s">
        <v>158</v>
      </c>
      <c r="R6" s="30" t="s">
        <v>158</v>
      </c>
      <c r="S6" s="30" t="s">
        <v>158</v>
      </c>
    </row>
    <row r="7" spans="1:19" ht="15.5" thickTop="1" thickBot="1">
      <c r="A7" s="50"/>
      <c r="B7" s="51" t="s">
        <v>161</v>
      </c>
      <c r="C7" s="30" t="s">
        <v>158</v>
      </c>
      <c r="D7" s="30" t="s">
        <v>158</v>
      </c>
      <c r="E7" s="30" t="s">
        <v>158</v>
      </c>
      <c r="F7" s="30" t="s">
        <v>158</v>
      </c>
      <c r="G7" s="30" t="s">
        <v>158</v>
      </c>
      <c r="H7" s="30" t="s">
        <v>158</v>
      </c>
      <c r="I7" s="30" t="s">
        <v>158</v>
      </c>
      <c r="J7" s="30" t="s">
        <v>158</v>
      </c>
      <c r="K7" s="30" t="s">
        <v>158</v>
      </c>
      <c r="L7" s="30" t="s">
        <v>158</v>
      </c>
      <c r="M7" s="29" t="s">
        <v>157</v>
      </c>
      <c r="N7" s="30" t="s">
        <v>158</v>
      </c>
      <c r="O7" s="30" t="s">
        <v>158</v>
      </c>
      <c r="P7" s="30" t="s">
        <v>158</v>
      </c>
      <c r="Q7" s="30" t="s">
        <v>158</v>
      </c>
      <c r="R7" s="30" t="s">
        <v>158</v>
      </c>
      <c r="S7" s="30" t="s">
        <v>158</v>
      </c>
    </row>
    <row r="8" spans="1:19" ht="15.5" thickTop="1" thickBot="1">
      <c r="A8" s="98"/>
      <c r="B8" s="99" t="s">
        <v>162</v>
      </c>
      <c r="C8" s="30" t="s">
        <v>158</v>
      </c>
      <c r="D8" s="30" t="s">
        <v>158</v>
      </c>
      <c r="E8" s="65" t="s">
        <v>156</v>
      </c>
      <c r="F8" s="30" t="s">
        <v>158</v>
      </c>
      <c r="G8" s="30" t="s">
        <v>158</v>
      </c>
      <c r="H8" s="30" t="s">
        <v>158</v>
      </c>
      <c r="I8" s="30" t="s">
        <v>158</v>
      </c>
      <c r="J8" s="30" t="s">
        <v>158</v>
      </c>
      <c r="K8" s="30" t="s">
        <v>158</v>
      </c>
      <c r="L8" s="30" t="s">
        <v>158</v>
      </c>
      <c r="M8" s="30" t="s">
        <v>158</v>
      </c>
      <c r="N8" s="30" t="s">
        <v>158</v>
      </c>
      <c r="O8" s="30" t="s">
        <v>158</v>
      </c>
      <c r="P8" s="30" t="s">
        <v>158</v>
      </c>
      <c r="Q8" s="30" t="s">
        <v>158</v>
      </c>
      <c r="R8" s="30" t="s">
        <v>158</v>
      </c>
      <c r="S8" s="30" t="s">
        <v>158</v>
      </c>
    </row>
    <row r="9" spans="1:19" ht="15" thickTop="1"/>
  </sheetData>
  <mergeCells count="5">
    <mergeCell ref="Q1:S1"/>
    <mergeCell ref="C1:D1"/>
    <mergeCell ref="E1:H1"/>
    <mergeCell ref="I1:K1"/>
    <mergeCell ref="N1:P1"/>
  </mergeCells>
  <conditionalFormatting sqref="C3:S8">
    <cfRule type="cellIs" dxfId="2" priority="1" operator="equal">
      <formula>"SE"</formula>
    </cfRule>
    <cfRule type="cellIs" dxfId="1" priority="2" operator="equal">
      <formula>"SI"</formula>
    </cfRule>
    <cfRule type="cellIs" dxfId="0" priority="3" operator="equal">
      <formula>"NY"</formula>
    </cfRule>
  </conditionalFormatting>
  <dataValidations count="1">
    <dataValidation type="list" allowBlank="1" showInputMessage="1" showErrorMessage="1" sqref="C3:S8" xr:uid="{FC2D9C46-EC41-4BBE-B332-5F1863268F39}">
      <formula1>"SE,SI,NY"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96E6-48D8-4621-9CA8-3FBAB0C64E96}">
  <dimension ref="B1:P3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M9" sqref="M9"/>
    </sheetView>
  </sheetViews>
  <sheetFormatPr defaultColWidth="9.1796875" defaultRowHeight="14.5"/>
  <cols>
    <col min="1" max="1" width="2.54296875" customWidth="1"/>
    <col min="2" max="2" width="13.1796875" customWidth="1"/>
    <col min="3" max="3" width="15" customWidth="1"/>
    <col min="4" max="4" width="3.7265625" customWidth="1"/>
    <col min="5" max="5" width="1.1796875" customWidth="1"/>
    <col min="6" max="6" width="2.1796875" customWidth="1"/>
    <col min="7" max="7" width="22.81640625" bestFit="1" customWidth="1"/>
    <col min="8" max="8" width="19.81640625" bestFit="1" customWidth="1"/>
    <col min="9" max="9" width="11.81640625" bestFit="1" customWidth="1"/>
    <col min="10" max="10" width="26.26953125" bestFit="1" customWidth="1"/>
    <col min="11" max="11" width="1.7265625" customWidth="1"/>
    <col min="12" max="12" width="3.26953125" customWidth="1"/>
    <col min="13" max="13" width="20" customWidth="1"/>
    <col min="14" max="14" width="18.54296875" customWidth="1"/>
    <col min="15" max="15" width="6.7265625" customWidth="1"/>
    <col min="16" max="16" width="18.1796875" customWidth="1"/>
  </cols>
  <sheetData>
    <row r="1" spans="2:16" s="41" customFormat="1" ht="57.75" customHeight="1">
      <c r="B1" s="52" t="s">
        <v>9</v>
      </c>
      <c r="C1" s="52" t="s">
        <v>10</v>
      </c>
      <c r="G1" s="86" t="s">
        <v>38</v>
      </c>
      <c r="H1" s="86" t="s">
        <v>39</v>
      </c>
      <c r="I1" s="86" t="s">
        <v>40</v>
      </c>
      <c r="J1" s="86" t="s">
        <v>71</v>
      </c>
      <c r="M1" s="71" t="s">
        <v>111</v>
      </c>
      <c r="N1" s="71" t="s">
        <v>39</v>
      </c>
      <c r="O1" s="71" t="s">
        <v>40</v>
      </c>
      <c r="P1" s="72" t="s">
        <v>90</v>
      </c>
    </row>
    <row r="2" spans="2:16" ht="15" customHeight="1">
      <c r="B2" s="240" t="s">
        <v>19</v>
      </c>
      <c r="C2" s="10" t="str">
        <f>G3</f>
        <v>Ana L. Fragoso C.</v>
      </c>
      <c r="G2" s="9" t="s">
        <v>195</v>
      </c>
      <c r="H2" s="9" t="s">
        <v>72</v>
      </c>
      <c r="I2" s="9" t="s">
        <v>73</v>
      </c>
      <c r="J2" s="9" t="s">
        <v>47</v>
      </c>
      <c r="M2" s="9" t="s">
        <v>195</v>
      </c>
      <c r="N2" s="9" t="s">
        <v>72</v>
      </c>
      <c r="O2" s="9" t="s">
        <v>73</v>
      </c>
      <c r="P2" s="9" t="s">
        <v>47</v>
      </c>
    </row>
    <row r="3" spans="2:16">
      <c r="B3" s="240"/>
      <c r="C3" s="10"/>
      <c r="G3" s="9" t="s">
        <v>196</v>
      </c>
      <c r="H3" s="9" t="s">
        <v>37</v>
      </c>
      <c r="I3" s="9" t="s">
        <v>73</v>
      </c>
      <c r="J3" s="59" t="s">
        <v>205</v>
      </c>
      <c r="M3" s="9" t="s">
        <v>196</v>
      </c>
      <c r="N3" s="9" t="s">
        <v>37</v>
      </c>
      <c r="O3" s="9" t="s">
        <v>73</v>
      </c>
      <c r="P3" s="9" t="s">
        <v>188</v>
      </c>
    </row>
    <row r="4" spans="2:16">
      <c r="B4" s="53"/>
      <c r="C4" s="11"/>
      <c r="G4" s="9" t="s">
        <v>199</v>
      </c>
      <c r="H4" s="9" t="s">
        <v>36</v>
      </c>
      <c r="I4" s="9" t="s">
        <v>73</v>
      </c>
      <c r="J4" s="118" t="s">
        <v>36</v>
      </c>
      <c r="M4" s="9" t="s">
        <v>206</v>
      </c>
      <c r="N4" s="9" t="s">
        <v>37</v>
      </c>
      <c r="O4" s="9" t="s">
        <v>73</v>
      </c>
      <c r="P4" s="9" t="s">
        <v>216</v>
      </c>
    </row>
    <row r="5" spans="2:16" ht="15" customHeight="1">
      <c r="B5" s="240" t="s">
        <v>88</v>
      </c>
      <c r="C5" s="10" t="str">
        <f>G5</f>
        <v>Luis Erick Rodríguez</v>
      </c>
      <c r="G5" t="s">
        <v>207</v>
      </c>
      <c r="H5" s="9" t="s">
        <v>124</v>
      </c>
      <c r="I5" s="9" t="s">
        <v>73</v>
      </c>
      <c r="J5" s="59" t="s">
        <v>183</v>
      </c>
      <c r="M5" s="117"/>
      <c r="N5" s="9" t="s">
        <v>37</v>
      </c>
      <c r="O5" s="9" t="s">
        <v>73</v>
      </c>
      <c r="P5" s="9" t="s">
        <v>188</v>
      </c>
    </row>
    <row r="6" spans="2:16">
      <c r="B6" s="241"/>
      <c r="C6" s="10"/>
      <c r="G6" s="9" t="s">
        <v>201</v>
      </c>
      <c r="H6" s="37" t="s">
        <v>21</v>
      </c>
      <c r="I6" s="37" t="s">
        <v>73</v>
      </c>
      <c r="J6" s="122" t="s">
        <v>21</v>
      </c>
      <c r="M6" s="9" t="s">
        <v>199</v>
      </c>
      <c r="N6" s="9" t="s">
        <v>36</v>
      </c>
      <c r="O6" s="9" t="s">
        <v>73</v>
      </c>
      <c r="P6" s="118" t="s">
        <v>36</v>
      </c>
    </row>
    <row r="7" spans="2:16" ht="15" customHeight="1">
      <c r="B7" s="241" t="s">
        <v>20</v>
      </c>
      <c r="C7" s="10" t="str">
        <f>G4</f>
        <v>Florencia Vitale</v>
      </c>
      <c r="G7" s="9" t="s">
        <v>201</v>
      </c>
      <c r="H7" s="84" t="s">
        <v>61</v>
      </c>
      <c r="I7" s="84" t="s">
        <v>27</v>
      </c>
      <c r="J7" s="142" t="s">
        <v>208</v>
      </c>
      <c r="M7" s="9"/>
      <c r="N7" s="9" t="s">
        <v>124</v>
      </c>
      <c r="O7" s="9" t="s">
        <v>73</v>
      </c>
      <c r="P7" s="118" t="s">
        <v>183</v>
      </c>
    </row>
    <row r="8" spans="2:16">
      <c r="B8" s="241"/>
      <c r="C8" s="10"/>
      <c r="G8" s="9" t="s">
        <v>197</v>
      </c>
      <c r="H8" s="84" t="s">
        <v>61</v>
      </c>
      <c r="I8" s="84" t="s">
        <v>198</v>
      </c>
      <c r="J8" s="142" t="s">
        <v>209</v>
      </c>
      <c r="M8" t="s">
        <v>207</v>
      </c>
      <c r="N8" s="9" t="s">
        <v>124</v>
      </c>
      <c r="O8" s="9" t="s">
        <v>73</v>
      </c>
      <c r="P8" s="118" t="s">
        <v>183</v>
      </c>
    </row>
    <row r="9" spans="2:16" ht="18" customHeight="1">
      <c r="B9" s="54" t="s">
        <v>21</v>
      </c>
      <c r="C9" s="11" t="str">
        <f>G6</f>
        <v>Carlos Quintero N.</v>
      </c>
      <c r="G9" s="117"/>
      <c r="H9" s="84" t="s">
        <v>61</v>
      </c>
      <c r="I9" s="84" t="s">
        <v>28</v>
      </c>
      <c r="J9" s="117" t="s">
        <v>184</v>
      </c>
      <c r="M9" s="9" t="s">
        <v>201</v>
      </c>
      <c r="N9" s="9" t="s">
        <v>21</v>
      </c>
      <c r="O9" s="9" t="s">
        <v>73</v>
      </c>
      <c r="P9" s="59" t="s">
        <v>21</v>
      </c>
    </row>
    <row r="10" spans="2:16" ht="15" customHeight="1">
      <c r="B10" s="240" t="s">
        <v>22</v>
      </c>
      <c r="C10" s="11" t="str">
        <f>G2</f>
        <v>Oscar Vera</v>
      </c>
      <c r="G10" s="9" t="s">
        <v>201</v>
      </c>
      <c r="H10" s="84" t="s">
        <v>116</v>
      </c>
      <c r="I10" s="84" t="s">
        <v>27</v>
      </c>
      <c r="J10" s="117" t="s">
        <v>57</v>
      </c>
      <c r="N10" s="9" t="s">
        <v>21</v>
      </c>
      <c r="O10" s="9" t="s">
        <v>73</v>
      </c>
      <c r="P10" s="59" t="s">
        <v>21</v>
      </c>
    </row>
    <row r="11" spans="2:16">
      <c r="B11" s="240"/>
      <c r="C11" s="11"/>
      <c r="G11" s="110"/>
      <c r="H11" s="84" t="s">
        <v>117</v>
      </c>
      <c r="I11" s="84" t="s">
        <v>29</v>
      </c>
      <c r="J11" s="85" t="s">
        <v>57</v>
      </c>
      <c r="M11" s="9" t="s">
        <v>201</v>
      </c>
      <c r="N11" s="84" t="s">
        <v>61</v>
      </c>
      <c r="O11" s="84" t="s">
        <v>27</v>
      </c>
      <c r="P11" s="117" t="s">
        <v>184</v>
      </c>
    </row>
    <row r="12" spans="2:16">
      <c r="B12" s="240"/>
      <c r="C12" s="11"/>
      <c r="G12" s="110"/>
      <c r="H12" s="84" t="s">
        <v>117</v>
      </c>
      <c r="I12" s="84" t="s">
        <v>28</v>
      </c>
      <c r="J12" s="85" t="s">
        <v>57</v>
      </c>
      <c r="M12" s="9" t="s">
        <v>197</v>
      </c>
      <c r="N12" s="84" t="s">
        <v>61</v>
      </c>
      <c r="O12" s="84" t="s">
        <v>29</v>
      </c>
      <c r="P12" s="117" t="s">
        <v>184</v>
      </c>
    </row>
    <row r="13" spans="2:16" ht="18" customHeight="1">
      <c r="B13" s="240" t="s">
        <v>89</v>
      </c>
      <c r="C13" s="12" t="str">
        <f>G10</f>
        <v>Carlos Quintero N.</v>
      </c>
      <c r="G13" s="110"/>
      <c r="H13" s="123" t="s">
        <v>118</v>
      </c>
      <c r="I13" s="84" t="s">
        <v>27</v>
      </c>
      <c r="J13" s="124" t="s">
        <v>125</v>
      </c>
      <c r="M13" s="117"/>
      <c r="N13" s="84" t="s">
        <v>61</v>
      </c>
      <c r="O13" s="84" t="s">
        <v>28</v>
      </c>
      <c r="P13" s="117" t="s">
        <v>184</v>
      </c>
    </row>
    <row r="14" spans="2:16">
      <c r="B14" s="241"/>
      <c r="C14" s="12">
        <f>G11</f>
        <v>0</v>
      </c>
      <c r="G14" s="9" t="s">
        <v>197</v>
      </c>
      <c r="H14" s="123" t="s">
        <v>118</v>
      </c>
      <c r="I14" s="84" t="s">
        <v>29</v>
      </c>
      <c r="J14" s="124" t="s">
        <v>169</v>
      </c>
      <c r="M14" s="9" t="s">
        <v>201</v>
      </c>
      <c r="N14" s="84" t="s">
        <v>117</v>
      </c>
      <c r="O14" s="84" t="s">
        <v>27</v>
      </c>
      <c r="P14" s="85" t="s">
        <v>57</v>
      </c>
    </row>
    <row r="15" spans="2:16">
      <c r="B15" s="241"/>
      <c r="C15" s="55">
        <f>G12</f>
        <v>0</v>
      </c>
      <c r="G15" s="125"/>
      <c r="H15" s="123" t="s">
        <v>118</v>
      </c>
      <c r="I15" s="84" t="s">
        <v>28</v>
      </c>
      <c r="J15" s="124" t="s">
        <v>169</v>
      </c>
      <c r="M15" s="110"/>
      <c r="N15" s="84" t="s">
        <v>190</v>
      </c>
      <c r="O15" s="9" t="s">
        <v>29</v>
      </c>
      <c r="P15" s="9" t="s">
        <v>57</v>
      </c>
    </row>
    <row r="16" spans="2:16" ht="15" customHeight="1">
      <c r="B16" s="241" t="s">
        <v>24</v>
      </c>
      <c r="C16" s="56" t="str">
        <f>G7</f>
        <v>Carlos Quintero N.</v>
      </c>
      <c r="G16" s="9"/>
      <c r="H16" s="84"/>
      <c r="I16" s="9"/>
      <c r="J16" s="9"/>
      <c r="M16" s="9"/>
      <c r="N16" s="84" t="s">
        <v>118</v>
      </c>
      <c r="O16" s="9" t="s">
        <v>27</v>
      </c>
      <c r="P16" s="9" t="s">
        <v>125</v>
      </c>
    </row>
    <row r="17" spans="2:16">
      <c r="B17" s="241"/>
      <c r="C17" s="56" t="str">
        <f>G8</f>
        <v>Miguel A. López H.</v>
      </c>
      <c r="G17" s="110"/>
      <c r="H17" s="84" t="s">
        <v>112</v>
      </c>
      <c r="I17" s="9" t="s">
        <v>27</v>
      </c>
      <c r="J17" s="85" t="s">
        <v>77</v>
      </c>
      <c r="M17" s="9" t="s">
        <v>197</v>
      </c>
      <c r="N17" s="84" t="s">
        <v>118</v>
      </c>
      <c r="O17" s="9" t="s">
        <v>29</v>
      </c>
      <c r="P17" s="9" t="s">
        <v>125</v>
      </c>
    </row>
    <row r="18" spans="2:16" ht="15" thickBot="1">
      <c r="B18" s="241"/>
      <c r="C18" s="57">
        <f>G9</f>
        <v>0</v>
      </c>
      <c r="G18" s="110"/>
      <c r="H18" s="84" t="s">
        <v>112</v>
      </c>
      <c r="I18" s="84" t="s">
        <v>27</v>
      </c>
      <c r="J18" s="9" t="s">
        <v>77</v>
      </c>
      <c r="M18" s="9"/>
      <c r="N18" s="84" t="s">
        <v>118</v>
      </c>
      <c r="O18" s="84" t="s">
        <v>28</v>
      </c>
      <c r="P18" s="9" t="s">
        <v>125</v>
      </c>
    </row>
    <row r="19" spans="2:16" ht="15" customHeight="1">
      <c r="B19" s="242" t="s">
        <v>25</v>
      </c>
      <c r="C19" s="58">
        <f t="shared" ref="C19:C25" si="0">G13</f>
        <v>0</v>
      </c>
      <c r="D19" s="59" t="s">
        <v>27</v>
      </c>
      <c r="G19" s="9"/>
      <c r="H19" s="84" t="s">
        <v>112</v>
      </c>
      <c r="I19" s="84" t="s">
        <v>27</v>
      </c>
      <c r="J19" s="9" t="s">
        <v>77</v>
      </c>
      <c r="M19" s="9" t="s">
        <v>197</v>
      </c>
      <c r="N19" s="9" t="s">
        <v>189</v>
      </c>
      <c r="O19" s="84" t="s">
        <v>29</v>
      </c>
      <c r="P19" s="9" t="s">
        <v>191</v>
      </c>
    </row>
    <row r="20" spans="2:16">
      <c r="B20" s="242"/>
      <c r="C20" s="60" t="str">
        <f t="shared" si="0"/>
        <v>Miguel A. López H.</v>
      </c>
      <c r="D20" s="59" t="s">
        <v>29</v>
      </c>
      <c r="G20" s="9" t="s">
        <v>197</v>
      </c>
      <c r="H20" s="84" t="s">
        <v>112</v>
      </c>
      <c r="I20" s="84" t="s">
        <v>29</v>
      </c>
      <c r="J20" s="9" t="s">
        <v>210</v>
      </c>
      <c r="M20" s="9"/>
      <c r="N20" s="9"/>
      <c r="O20" s="9" t="s">
        <v>27</v>
      </c>
      <c r="P20" s="9" t="s">
        <v>77</v>
      </c>
    </row>
    <row r="21" spans="2:16" ht="15" thickBot="1">
      <c r="B21" s="242"/>
      <c r="C21" s="61">
        <f t="shared" si="0"/>
        <v>0</v>
      </c>
      <c r="D21" s="59" t="s">
        <v>28</v>
      </c>
      <c r="H21" s="84" t="s">
        <v>112</v>
      </c>
      <c r="I21" s="84" t="s">
        <v>29</v>
      </c>
      <c r="J21" s="9" t="s">
        <v>191</v>
      </c>
      <c r="M21" s="9"/>
      <c r="N21" s="84" t="s">
        <v>112</v>
      </c>
      <c r="O21" s="84" t="s">
        <v>185</v>
      </c>
      <c r="P21" s="9" t="s">
        <v>77</v>
      </c>
    </row>
    <row r="22" spans="2:16">
      <c r="B22" s="242"/>
      <c r="C22" s="58">
        <f t="shared" si="0"/>
        <v>0</v>
      </c>
      <c r="D22" s="59" t="s">
        <v>27</v>
      </c>
      <c r="G22" s="9"/>
      <c r="H22" s="126" t="s">
        <v>163</v>
      </c>
      <c r="I22" s="9" t="s">
        <v>27</v>
      </c>
      <c r="J22" s="9" t="s">
        <v>164</v>
      </c>
      <c r="M22" s="9"/>
      <c r="N22" s="9"/>
      <c r="O22" s="84" t="s">
        <v>29</v>
      </c>
      <c r="P22" s="9" t="s">
        <v>77</v>
      </c>
    </row>
    <row r="23" spans="2:16">
      <c r="B23" s="242"/>
      <c r="C23" s="60">
        <f t="shared" si="0"/>
        <v>0</v>
      </c>
      <c r="D23" s="59" t="s">
        <v>27</v>
      </c>
      <c r="G23" s="9"/>
      <c r="H23" s="126" t="s">
        <v>163</v>
      </c>
      <c r="I23" s="84" t="s">
        <v>27</v>
      </c>
      <c r="J23" s="9" t="s">
        <v>164</v>
      </c>
      <c r="M23" s="9"/>
      <c r="N23" s="84" t="s">
        <v>118</v>
      </c>
      <c r="O23" s="9" t="s">
        <v>28</v>
      </c>
      <c r="P23" s="9" t="s">
        <v>120</v>
      </c>
    </row>
    <row r="24" spans="2:16" ht="15" thickBot="1">
      <c r="B24" s="242"/>
      <c r="C24" s="62">
        <f t="shared" si="0"/>
        <v>0</v>
      </c>
      <c r="D24" s="59" t="s">
        <v>27</v>
      </c>
      <c r="G24" s="9"/>
      <c r="H24" s="84" t="s">
        <v>112</v>
      </c>
      <c r="I24" s="84" t="s">
        <v>76</v>
      </c>
      <c r="J24" s="9" t="s">
        <v>77</v>
      </c>
      <c r="M24" s="9"/>
      <c r="N24" s="9"/>
      <c r="O24" s="84" t="s">
        <v>28</v>
      </c>
      <c r="P24" s="9" t="s">
        <v>77</v>
      </c>
    </row>
    <row r="25" spans="2:16">
      <c r="B25" s="242"/>
      <c r="C25" s="58">
        <f t="shared" si="0"/>
        <v>0</v>
      </c>
      <c r="D25" s="59" t="s">
        <v>29</v>
      </c>
      <c r="G25" t="s">
        <v>203</v>
      </c>
      <c r="H25" s="84" t="s">
        <v>113</v>
      </c>
      <c r="I25" s="84" t="s">
        <v>27</v>
      </c>
      <c r="J25" s="9" t="s">
        <v>126</v>
      </c>
      <c r="M25" s="9"/>
      <c r="N25" s="9"/>
      <c r="O25" s="84" t="s">
        <v>76</v>
      </c>
      <c r="P25" s="9" t="s">
        <v>77</v>
      </c>
    </row>
    <row r="26" spans="2:16">
      <c r="B26" s="242"/>
      <c r="C26" s="60" t="str">
        <f t="shared" ref="C26:C27" si="1">G20</f>
        <v>Miguel A. López H.</v>
      </c>
      <c r="D26" s="59" t="s">
        <v>29</v>
      </c>
      <c r="G26" s="110"/>
      <c r="H26" s="84" t="s">
        <v>113</v>
      </c>
      <c r="I26" s="84" t="s">
        <v>29</v>
      </c>
      <c r="J26" s="9" t="s">
        <v>126</v>
      </c>
      <c r="M26" t="s">
        <v>203</v>
      </c>
      <c r="N26" s="84" t="s">
        <v>113</v>
      </c>
      <c r="O26" s="84" t="s">
        <v>27</v>
      </c>
      <c r="P26" s="9" t="s">
        <v>126</v>
      </c>
    </row>
    <row r="27" spans="2:16" ht="15" thickBot="1">
      <c r="B27" s="242"/>
      <c r="C27" s="61">
        <f t="shared" si="1"/>
        <v>0</v>
      </c>
      <c r="D27" s="59" t="s">
        <v>29</v>
      </c>
      <c r="G27" s="110"/>
      <c r="H27" s="84" t="s">
        <v>113</v>
      </c>
      <c r="I27" s="84" t="s">
        <v>28</v>
      </c>
      <c r="J27" s="9" t="s">
        <v>126</v>
      </c>
      <c r="M27" s="110"/>
      <c r="N27" s="84" t="s">
        <v>113</v>
      </c>
      <c r="O27" s="84" t="s">
        <v>29</v>
      </c>
      <c r="P27" s="9" t="s">
        <v>126</v>
      </c>
    </row>
    <row r="28" spans="2:16" ht="15" customHeight="1">
      <c r="B28" s="243"/>
      <c r="C28" s="63">
        <f>G22</f>
        <v>0</v>
      </c>
      <c r="D28" s="9" t="s">
        <v>28</v>
      </c>
      <c r="H28" s="119"/>
      <c r="I28" s="119"/>
      <c r="M28" s="110"/>
      <c r="N28" s="84" t="s">
        <v>113</v>
      </c>
      <c r="O28" s="84" t="s">
        <v>28</v>
      </c>
      <c r="P28" s="9" t="s">
        <v>126</v>
      </c>
    </row>
    <row r="29" spans="2:16" ht="16">
      <c r="B29" s="243"/>
      <c r="C29" s="63">
        <f t="shared" ref="C29" si="2">G23</f>
        <v>0</v>
      </c>
      <c r="D29" s="9" t="s">
        <v>28</v>
      </c>
      <c r="G29" s="90"/>
    </row>
    <row r="30" spans="2:16">
      <c r="B30" s="243"/>
      <c r="C30" s="63">
        <f>G24</f>
        <v>0</v>
      </c>
      <c r="D30" s="9" t="s">
        <v>28</v>
      </c>
    </row>
    <row r="31" spans="2:16">
      <c r="B31" s="241" t="s">
        <v>26</v>
      </c>
      <c r="C31" s="55" t="str">
        <f>G25</f>
        <v>Rodolfo Hernandez</v>
      </c>
      <c r="D31" s="59" t="s">
        <v>27</v>
      </c>
    </row>
    <row r="32" spans="2:16">
      <c r="B32" s="241"/>
      <c r="C32" s="55">
        <f t="shared" ref="C32" si="3">G26</f>
        <v>0</v>
      </c>
      <c r="D32" s="59" t="s">
        <v>29</v>
      </c>
    </row>
    <row r="33" spans="2:4">
      <c r="B33" s="241"/>
      <c r="C33" s="55">
        <f>G27</f>
        <v>0</v>
      </c>
      <c r="D33" s="59" t="s">
        <v>28</v>
      </c>
    </row>
  </sheetData>
  <mergeCells count="8">
    <mergeCell ref="B5:B6"/>
    <mergeCell ref="B7:B8"/>
    <mergeCell ref="B2:B3"/>
    <mergeCell ref="B31:B33"/>
    <mergeCell ref="B16:B18"/>
    <mergeCell ref="B10:B12"/>
    <mergeCell ref="B13:B15"/>
    <mergeCell ref="B19:B30"/>
  </mergeCells>
  <phoneticPr fontId="26" type="noConversion"/>
  <dataValidations xWindow="367" yWindow="345" count="6">
    <dataValidation type="textLength" allowBlank="1" showInputMessage="1" showErrorMessage="1" errorTitle="Invalid Length" error="Participant's Full Name must be between 1 and 256 characters in length" sqref="G1:G4 G24 G10 M11:M12 M24:M25 M16:M17 G28 M19:M22 G14:G15 M14 G20:G21 M1:M4 M6:M7 G6:G8 M9" xr:uid="{37AB6D0C-B0AB-411C-A83B-9BF6A0590CB1}">
      <formula1>1</formula1>
      <formula2>256</formula2>
    </dataValidation>
    <dataValidation type="textLength" allowBlank="1" showInputMessage="1" showErrorMessage="1" errorTitle="Invalid Length" error="Function must be between 1 and 2048 characters in length" sqref="D13:E15 D16:D18 I23:I28 I1:I15 O14 I18:I21 O18:O19 O21:O22 O24:O28 O1:O10" xr:uid="{C796890A-FF45-4F08-B4C6-05B55115B8B5}">
      <formula1>1</formula1>
      <formula2>2048</formula2>
    </dataValidation>
    <dataValidation type="textLength" allowBlank="1" showInputMessage="1" showErrorMessage="1" errorTitle="Invalid Length" error="Participant's Role must be between 1 and 256 characters in length" sqref="H1:H4 H7:H28 N21:N28 N1:N10 N14:N19" xr:uid="{266F8952-A09C-47C6-ADAF-597F6120B7A6}">
      <formula1>1</formula1>
      <formula2>256</formula2>
    </dataValidation>
    <dataValidation type="custom" allowBlank="1" showInputMessage="1" showErrorMessage="1" prompt="Invalid Length - Participant's Role must be between 1 and 256 characters in length" sqref="N11:N13" xr:uid="{48B4A0B3-6FD8-4354-AFB3-B2C80CA079F1}">
      <formula1>AND(GTE(LEN(N11),MIN((1),(256))),LTE(LEN(N11),MAX((1),(256))))</formula1>
    </dataValidation>
    <dataValidation type="custom" allowBlank="1" showInputMessage="1" showErrorMessage="1" prompt="Invalid Length - Function must be between 1 and 2048 characters in length" sqref="O11:O13" xr:uid="{76055743-BAA8-437D-994C-68E5CE90965B}">
      <formula1>AND(GTE(LEN(O11),MIN((1),(2048))),LTE(LEN(O11),MAX((1),(2048))))</formula1>
    </dataValidation>
    <dataValidation type="custom" allowBlank="1" showInputMessage="1" showErrorMessage="1" prompt="Invalid Length - Participant's Full Name must be between 1 and 256 characters in length" sqref="M27:M28 G26:G27 G9 M15 G11:G13 M13 G17:G18 M5" xr:uid="{37F94814-694D-4B58-9108-77B41F5B00E0}">
      <formula1>AND(GTE(LEN(G5),MIN((1),(256))),LTE(LEN(G5),MAX((1),(256))))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B934-9B4F-4708-935A-C95928A60C41}">
  <dimension ref="A3:F17"/>
  <sheetViews>
    <sheetView workbookViewId="0">
      <selection activeCell="D7" sqref="D7"/>
    </sheetView>
  </sheetViews>
  <sheetFormatPr defaultColWidth="9.1796875" defaultRowHeight="14.5"/>
  <cols>
    <col min="2" max="2" width="55.26953125" bestFit="1" customWidth="1"/>
    <col min="3" max="3" width="12.81640625" customWidth="1"/>
    <col min="4" max="4" width="12.54296875" customWidth="1"/>
    <col min="5" max="5" width="5.1796875" customWidth="1"/>
    <col min="6" max="6" width="98" bestFit="1" customWidth="1"/>
  </cols>
  <sheetData>
    <row r="3" spans="1:6" ht="15" thickBot="1"/>
    <row r="4" spans="1:6" s="41" customFormat="1" ht="30.5" thickBot="1">
      <c r="A4" s="27"/>
      <c r="B4" s="40" t="s">
        <v>68</v>
      </c>
      <c r="C4" s="40" t="s">
        <v>63</v>
      </c>
      <c r="F4" s="42" t="s">
        <v>92</v>
      </c>
    </row>
    <row r="5" spans="1:6" ht="29">
      <c r="A5" s="27">
        <v>1</v>
      </c>
      <c r="B5" s="38" t="s">
        <v>69</v>
      </c>
      <c r="C5" s="39"/>
    </row>
    <row r="6" spans="1:6" ht="15" thickBot="1">
      <c r="A6" s="39">
        <v>2</v>
      </c>
      <c r="B6" s="9" t="s">
        <v>91</v>
      </c>
      <c r="C6" s="39"/>
    </row>
    <row r="7" spans="1:6" ht="45" thickBot="1">
      <c r="A7" s="27">
        <v>3</v>
      </c>
      <c r="B7" s="44" t="s">
        <v>101</v>
      </c>
      <c r="C7" s="27"/>
      <c r="F7" s="43" t="s">
        <v>110</v>
      </c>
    </row>
    <row r="8" spans="1:6">
      <c r="A8" s="27">
        <v>4</v>
      </c>
      <c r="B8" s="37" t="s">
        <v>64</v>
      </c>
      <c r="C8" s="39"/>
    </row>
    <row r="9" spans="1:6" ht="15" thickBot="1">
      <c r="A9" s="27">
        <v>5</v>
      </c>
      <c r="B9" s="37" t="s">
        <v>66</v>
      </c>
      <c r="C9" s="39"/>
    </row>
    <row r="10" spans="1:6" ht="42.5" thickBot="1">
      <c r="A10" s="27">
        <v>6</v>
      </c>
      <c r="B10" s="37" t="s">
        <v>67</v>
      </c>
      <c r="C10" s="70"/>
      <c r="F10" s="94" t="s">
        <v>165</v>
      </c>
    </row>
    <row r="11" spans="1:6">
      <c r="A11" s="27">
        <v>7</v>
      </c>
      <c r="B11" s="37" t="s">
        <v>78</v>
      </c>
      <c r="C11" s="70"/>
    </row>
    <row r="12" spans="1:6">
      <c r="A12" s="27">
        <v>8</v>
      </c>
      <c r="B12" s="37" t="s">
        <v>65</v>
      </c>
      <c r="C12" s="70"/>
    </row>
    <row r="13" spans="1:6">
      <c r="A13" s="27">
        <v>9</v>
      </c>
      <c r="B13" s="37" t="s">
        <v>74</v>
      </c>
      <c r="C13" s="39"/>
    </row>
    <row r="14" spans="1:6">
      <c r="A14" s="27">
        <v>10</v>
      </c>
      <c r="B14" s="37" t="s">
        <v>75</v>
      </c>
      <c r="C14" s="39"/>
    </row>
    <row r="15" spans="1:6" ht="31">
      <c r="A15" s="27">
        <v>11</v>
      </c>
      <c r="B15" s="37" t="s">
        <v>108</v>
      </c>
      <c r="C15" s="39"/>
      <c r="F15" s="69" t="s">
        <v>109</v>
      </c>
    </row>
    <row r="16" spans="1:6">
      <c r="C16" s="70"/>
    </row>
    <row r="17" spans="3:3">
      <c r="C17" s="7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</vt:lpstr>
      <vt:lpstr>MTs</vt:lpstr>
      <vt:lpstr>projects</vt:lpstr>
      <vt:lpstr>participants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soporteLocal</dc:creator>
  <cp:lastModifiedBy>jesus sanchez</cp:lastModifiedBy>
  <cp:lastPrinted>2026-07-30T22:33:18Z</cp:lastPrinted>
  <dcterms:created xsi:type="dcterms:W3CDTF">2020-10-19T20:03:25Z</dcterms:created>
  <dcterms:modified xsi:type="dcterms:W3CDTF">2026-10-02T02:55:39Z</dcterms:modified>
</cp:coreProperties>
</file>