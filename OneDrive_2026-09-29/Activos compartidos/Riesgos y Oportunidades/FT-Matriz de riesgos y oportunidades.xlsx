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never" codeName="ThisWorkbook" defaultThemeVersion="166925"/>
  <mc:AlternateContent xmlns:mc="http://schemas.openxmlformats.org/markup-compatibility/2006">
    <mc:Choice Requires="x15">
      <x15ac:absPath xmlns:x15ac="http://schemas.microsoft.com/office/spreadsheetml/2010/11/ac" url="https://innevocorp-my.sharepoint.com/personal/mota_innevo_com/Documents/Clientes/4JS/Shared/Riesgos y Oportunidades/"/>
    </mc:Choice>
  </mc:AlternateContent>
  <xr:revisionPtr revIDLastSave="5" documentId="8_{46972E1F-0855-4BF4-88AB-DF58B59ED5CF}" xr6:coauthVersionLast="47" xr6:coauthVersionMax="47" xr10:uidLastSave="{828C757D-F50D-444C-80D7-5C9835816710}"/>
  <bookViews>
    <workbookView xWindow="-120" yWindow="-120" windowWidth="38640" windowHeight="15720" tabRatio="604" activeTab="3" xr2:uid="{16AA7863-D018-4604-90D3-1A267007B742}"/>
  </bookViews>
  <sheets>
    <sheet name="0 - Información del documento" sheetId="1" r:id="rId1"/>
    <sheet name="1.1 - Parámetros" sheetId="6" r:id="rId2"/>
    <sheet name="1.2 - Matriz de aceptabilidad" sheetId="10" r:id="rId3"/>
    <sheet name="2.1 - Riesgos" sheetId="3" r:id="rId4"/>
    <sheet name="2.2 - Oportunidades" sheetId="11" r:id="rId5"/>
    <sheet name="Listas" sheetId="9" r:id="rId6"/>
  </sheets>
  <externalReferences>
    <externalReference r:id="rId7"/>
  </externalReferences>
  <definedNames>
    <definedName name="Estado">[1]Listas!$F$5:$F$8</definedName>
    <definedName name="Estrategia">[1]Listas!$D$5:$D$6</definedName>
    <definedName name="Prioridad">[1]Listas!$B$5:$B$7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E9" i="10"/>
  <c r="F9" i="10"/>
  <c r="G9" i="10"/>
  <c r="D9" i="10"/>
  <c r="L3" i="3"/>
  <c r="K4" i="3"/>
  <c r="L4" i="3" s="1"/>
  <c r="K5" i="3"/>
  <c r="L5" i="3" s="1"/>
  <c r="K6" i="3"/>
  <c r="L6" i="3" s="1"/>
  <c r="K8" i="3"/>
  <c r="L8" i="3" s="1"/>
  <c r="K9" i="3"/>
  <c r="L9" i="3" s="1"/>
  <c r="K10" i="3"/>
  <c r="L10" i="3" s="1"/>
  <c r="K11" i="3"/>
  <c r="L11" i="3" s="1"/>
  <c r="K7" i="3"/>
  <c r="L7" i="3" s="1"/>
  <c r="K12" i="3"/>
  <c r="K13" i="3"/>
  <c r="K14" i="3"/>
  <c r="K15" i="3"/>
  <c r="K16" i="3"/>
  <c r="L12" i="3"/>
  <c r="L13" i="3"/>
  <c r="L14" i="3"/>
  <c r="L15" i="3"/>
  <c r="L16" i="3"/>
  <c r="E7" i="10"/>
  <c r="G8" i="10"/>
  <c r="F7" i="10"/>
  <c r="E6" i="10"/>
  <c r="D5" i="10"/>
  <c r="G7" i="10"/>
  <c r="F6" i="10"/>
  <c r="E5" i="10"/>
  <c r="G6" i="10"/>
  <c r="F5" i="10"/>
  <c r="G5" i="10"/>
  <c r="E8" i="10"/>
  <c r="F8" i="10"/>
  <c r="D8" i="10"/>
  <c r="D7" i="10"/>
  <c r="D6" i="10"/>
  <c r="J4" i="11" l="1"/>
  <c r="J5" i="11"/>
  <c r="J3"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I3" authorId="0" shapeId="0" xr:uid="{9AE83E07-CBD6-45BC-89F1-F45605B62048}">
      <text>
        <r>
          <rPr>
            <sz val="9"/>
            <color indexed="81"/>
            <rFont val="Tahoma"/>
            <family val="2"/>
          </rPr>
          <t xml:space="preserve">Se registran los rangos de costo $ que representa la pérdida si se </t>
        </r>
      </text>
    </comment>
    <comment ref="I4" authorId="0" shapeId="0" xr:uid="{2E1F5EB9-5F57-4924-B106-17C1BE7CE3F9}">
      <text>
        <r>
          <rPr>
            <sz val="9"/>
            <color indexed="81"/>
            <rFont val="Tahoma"/>
            <family val="2"/>
          </rPr>
          <t>se determinan los rangos de $ que esta dentro del margen estimado para riesgos</t>
        </r>
      </text>
    </comment>
    <comment ref="I5" authorId="0" shapeId="0" xr:uid="{A646D228-B779-4CDE-8186-1933A7CAC1DC}">
      <text>
        <r>
          <rPr>
            <sz val="9"/>
            <color indexed="81"/>
            <rFont val="Tahoma"/>
            <family val="2"/>
          </rPr>
          <t>se determinan los rangos de $ que representan la pérdida de la ganancia del proyecto</t>
        </r>
      </text>
    </comment>
    <comment ref="I6" authorId="0" shapeId="0" xr:uid="{EA5F1461-F6E9-4257-B446-17BC9D093BC3}">
      <text>
        <r>
          <rPr>
            <sz val="9"/>
            <color indexed="81"/>
            <rFont val="Tahoma"/>
            <family val="2"/>
          </rPr>
          <t>se determinan los rangos de $ que representa la pérdida total del proyecto</t>
        </r>
      </text>
    </comment>
    <comment ref="I7" authorId="0" shapeId="0" xr:uid="{359D1AFE-3CA7-413D-ACEA-FB714068390B}">
      <text>
        <r>
          <rPr>
            <sz val="9"/>
            <color indexed="81"/>
            <rFont val="Tahoma"/>
            <family val="2"/>
          </rPr>
          <t>se determinan los rangos de $ que representa la pérdida mayor al costo total del proyecto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C4" authorId="0" shapeId="0" xr:uid="{8BB511AA-339E-4D90-9371-B79F41F5CCBA}">
      <text>
        <r>
          <rPr>
            <sz val="9"/>
            <color indexed="81"/>
            <rFont val="Tahoma"/>
            <family val="2"/>
          </rPr>
          <t>los valores son números enteros y se van aumentando de uno en uno.</t>
        </r>
      </text>
    </comment>
    <comment ref="B5" authorId="0" shapeId="0" xr:uid="{32CCE670-AB8D-4EF9-A600-6EBA869C3402}">
      <text>
        <r>
          <rPr>
            <sz val="10"/>
            <color rgb="FF000000"/>
            <rFont val="Calibri"/>
            <family val="2"/>
          </rPr>
          <t xml:space="preserve">Estos valores los definirá cada empresa.
</t>
        </r>
      </text>
    </comment>
    <comment ref="G5" authorId="0" shapeId="0" xr:uid="{492276BB-3F05-4B72-B9BB-5563C91505A8}">
      <text>
        <r>
          <rPr>
            <sz val="10"/>
            <color rgb="FF000000"/>
            <rFont val="Tahoma"/>
            <family val="2"/>
          </rPr>
          <t xml:space="preserve">Valor final, este no se modifica.
</t>
        </r>
      </text>
    </comment>
    <comment ref="M5" authorId="1" shapeId="0" xr:uid="{2F6E9CFC-8606-466D-8DCB-0907E0345CA2}">
      <text>
        <r>
          <rPr>
            <b/>
            <sz val="9"/>
            <color indexed="81"/>
            <rFont val="Tahoma"/>
            <family val="2"/>
          </rPr>
          <t>Estos valores afectan el resultado de los riesgos</t>
        </r>
      </text>
    </comment>
    <comment ref="D8" authorId="0" shapeId="0" xr:uid="{BA62A128-4BD2-4B57-A207-9F343762F8C3}">
      <text>
        <r>
          <rPr>
            <sz val="10"/>
            <color rgb="FF000000"/>
            <rFont val="Tahoma"/>
            <family val="2"/>
          </rPr>
          <t>Valor inicial, este no se modifica.</t>
        </r>
      </text>
    </comment>
    <comment ref="D10" authorId="0" shapeId="0" xr:uid="{D036670F-499F-4E80-8EE6-E19E26F211FB}">
      <text>
        <r>
          <rPr>
            <sz val="9"/>
            <color indexed="81"/>
            <rFont val="Tahoma"/>
            <family val="2"/>
          </rPr>
          <t>Valor inicial, este no se modifica.</t>
        </r>
      </text>
    </comment>
    <comment ref="G10" authorId="0" shapeId="0" xr:uid="{B13DAB1D-7174-4726-9FE1-F751468942FF}">
      <text>
        <r>
          <rPr>
            <sz val="10"/>
            <color rgb="FF000000"/>
            <rFont val="Calibri"/>
            <family val="2"/>
          </rPr>
          <t>Estos valores se calcularán de acuerdo con la construcción de la matriz.
Es el valor máximo de impacto.</t>
        </r>
      </text>
    </comment>
    <comment ref="G11" authorId="0" shapeId="0" xr:uid="{EF8F82D4-EAEF-4BCC-BF0E-DC7C269F92C5}">
      <text>
        <r>
          <rPr>
            <sz val="10"/>
            <color rgb="FF000000"/>
            <rFont val="Calibri"/>
            <family val="2"/>
          </rPr>
          <t xml:space="preserve">Estos valores los definirá cada empresa.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Tania López</author>
    <author>Tania Lopez</author>
    <author>Documentación Innevo</author>
  </authors>
  <commentList>
    <comment ref="A2" authorId="0" shapeId="0" xr:uid="{5BD25CBF-B5B3-4247-8A70-034858042280}">
      <text>
        <r>
          <rPr>
            <sz val="9"/>
            <color indexed="81"/>
            <rFont val="Tahoma"/>
            <family val="2"/>
          </rPr>
          <t>Identificador del riesgo</t>
        </r>
      </text>
    </comment>
    <comment ref="B2" authorId="1" shapeId="0" xr:uid="{CC975BB7-BAD2-47C6-B555-8ABF11DD501D}">
      <text>
        <r>
          <rPr>
            <sz val="9"/>
            <color indexed="81"/>
            <rFont val="Tahoma"/>
            <family val="2"/>
          </rPr>
          <t xml:space="preserve">Fecha en que se identificó el riesgo.
</t>
        </r>
      </text>
    </comment>
    <comment ref="C2" authorId="0" shapeId="0" xr:uid="{9DC2D456-10B8-4C7E-BFCC-9D48B03BC899}">
      <text>
        <r>
          <rPr>
            <sz val="9"/>
            <color indexed="81"/>
            <rFont val="Tahoma"/>
            <family val="2"/>
          </rPr>
          <t>Elegir una opción.</t>
        </r>
      </text>
    </comment>
    <comment ref="D2" authorId="0" shapeId="0" xr:uid="{AA64A9C6-E8E2-43ED-AF13-EF9EBAAE5ACF}">
      <text>
        <r>
          <rPr>
            <sz val="9"/>
            <color indexed="81"/>
            <rFont val="Tahoma"/>
            <family val="2"/>
          </rPr>
          <t>Elige una opción.</t>
        </r>
      </text>
    </comment>
    <comment ref="E2" authorId="0" shapeId="0" xr:uid="{64EBE14A-988D-4235-84CA-3DF7D876F8AB}">
      <text>
        <r>
          <rPr>
            <sz val="9"/>
            <color indexed="81"/>
            <rFont val="Tahoma"/>
            <family val="2"/>
          </rPr>
          <t xml:space="preserve">De acuerdo con la categoría seleccionada se desplegarán las opciones de las subcategorías elegir una opción.
</t>
        </r>
      </text>
    </comment>
    <comment ref="G2" authorId="0" shapeId="0" xr:uid="{8077C4E5-0660-4562-AEE4-15E8F7BDF368}">
      <text>
        <r>
          <rPr>
            <sz val="9"/>
            <color indexed="81"/>
            <rFont val="Tahoma"/>
            <family val="2"/>
          </rPr>
          <t>Descripción de las condiciones actuales que pueden ocasionar la pérdida.
La redacción de la condición se registrar de la siguiente forma: Si (cierta condición se presenta).
Puede incluir el contexto del riesgo, si lo desea puede agregar una columna para agregarlo.</t>
        </r>
      </text>
    </comment>
    <comment ref="H2" authorId="0" shapeId="0" xr:uid="{509B4FFB-6A9C-47C3-8FE6-3A2A05A73609}">
      <text>
        <r>
          <rPr>
            <sz val="9"/>
            <color indexed="81"/>
            <rFont val="Tahoma"/>
            <family val="2"/>
          </rPr>
          <t>Descripción de la pérdida.
Se deben registrar todas las consecuencias.
La redacción de las consecuencias se debe registrar de la siguiente forma: Entonces (se proyecta este resultado).</t>
        </r>
      </text>
    </comment>
    <comment ref="I2" authorId="0" shapeId="0" xr:uid="{95443782-2135-44F1-94C1-9A55DAAC31F1}">
      <text>
        <r>
          <rPr>
            <sz val="9"/>
            <color indexed="81"/>
            <rFont val="Tahoma"/>
            <family val="2"/>
          </rPr>
          <t>Probabilidad de ocurrencia. Poner el valor de la probabilidad de acuerdo con los parámetros establecidos.</t>
        </r>
      </text>
    </comment>
    <comment ref="J2" authorId="0" shapeId="0" xr:uid="{DA85DD14-D578-4E95-9666-0237220A838D}">
      <text>
        <r>
          <rPr>
            <sz val="9"/>
            <color indexed="81"/>
            <rFont val="Tahoma"/>
            <family val="2"/>
          </rPr>
          <t xml:space="preserve">Costo de las consecuencias.
Poner el valor de la probabilidad de acuerdo con los parámetros establecidos.
</t>
        </r>
      </text>
    </comment>
    <comment ref="K2" authorId="0" shapeId="0" xr:uid="{717CEBD6-815D-4E60-B15D-2C1B60E3690F}">
      <text>
        <r>
          <rPr>
            <sz val="9"/>
            <color indexed="81"/>
            <rFont val="Tahoma"/>
            <family val="2"/>
          </rPr>
          <t>Determina el nivel aceptable de exposición al riesgo.
Se calcula usando la siguiente fórmula:
(fr/400)100. el valor es %.</t>
        </r>
      </text>
    </comment>
    <comment ref="L2" authorId="2" shapeId="0" xr:uid="{28763FD9-3D18-4807-B8FA-B3822B385A78}">
      <text>
        <r>
          <rPr>
            <sz val="9"/>
            <color indexed="81"/>
            <rFont val="Tahoma"/>
            <family val="2"/>
          </rPr>
          <t>Los valores se toman de la hoja "matriz de aceptabilidad" en la columna "Máximo"</t>
        </r>
      </text>
    </comment>
    <comment ref="M2" authorId="0" shapeId="0" xr:uid="{7C9C6BCD-C678-4E56-BFE2-5B3AC8E14DC2}">
      <text>
        <r>
          <rPr>
            <sz val="9"/>
            <color indexed="81"/>
            <rFont val="Tahoma"/>
            <family val="2"/>
          </rPr>
          <t xml:space="preserve">Elegir una opción.
</t>
        </r>
        <r>
          <rPr>
            <b/>
            <sz val="9"/>
            <color indexed="81"/>
            <rFont val="Tahoma"/>
            <family val="2"/>
          </rPr>
          <t>Transferir:</t>
        </r>
        <r>
          <rPr>
            <sz val="9"/>
            <color indexed="81"/>
            <rFont val="Tahoma"/>
            <family val="2"/>
          </rPr>
          <t xml:space="preserve"> se transfiere el riesgo a otras organizaciones mejor preparadas para enfrentarlo. Por ejemplo, un proveedor.</t>
        </r>
        <r>
          <rPr>
            <b/>
            <sz val="9"/>
            <color indexed="81"/>
            <rFont val="Tahoma"/>
            <family val="2"/>
          </rPr>
          <t xml:space="preserve">
Reducir: </t>
        </r>
        <r>
          <rPr>
            <sz val="9"/>
            <color indexed="81"/>
            <rFont val="Tahoma"/>
            <family val="2"/>
          </rPr>
          <t>reducir el impacto o la probabilidad, o ambas si se puede. Se tiene que generar un plan de mitigación y contingencia.</t>
        </r>
        <r>
          <rPr>
            <b/>
            <sz val="9"/>
            <color indexed="81"/>
            <rFont val="Tahoma"/>
            <family val="2"/>
          </rPr>
          <t xml:space="preserve">
Aceptar: </t>
        </r>
        <r>
          <rPr>
            <sz val="9"/>
            <color indexed="81"/>
            <rFont val="Tahoma"/>
            <family val="2"/>
          </rPr>
          <t>no se hacen actividades para mitigarlo. Se monitorea para evaluar que no cambie la probabilidad o el impacto. Se genera plan de contingencia.</t>
        </r>
        <r>
          <rPr>
            <b/>
            <sz val="9"/>
            <color indexed="81"/>
            <rFont val="Tahoma"/>
            <family val="2"/>
          </rPr>
          <t xml:space="preserve">
Anular: </t>
        </r>
        <r>
          <rPr>
            <sz val="9"/>
            <color indexed="81"/>
            <rFont val="Tahoma"/>
            <family val="2"/>
          </rPr>
          <t xml:space="preserve">elaborar un plan con las acciones para eliminar las causas que las provoca el riesgo. Se elabora plan de anulación y no se genera plan de contingencia.
</t>
        </r>
      </text>
    </comment>
    <comment ref="N2" authorId="0" shapeId="0" xr:uid="{41A8E8BD-52E2-4341-821A-4B789C719C67}">
      <text>
        <r>
          <rPr>
            <sz val="9"/>
            <color indexed="81"/>
            <rFont val="Tahoma"/>
            <family val="2"/>
          </rPr>
          <t>Establecer el tiempo estimado en que es probable que se presente el riesgo o la fase del proyecto en que se pueda presentar.</t>
        </r>
      </text>
    </comment>
    <comment ref="O2" authorId="0" shapeId="0" xr:uid="{BA611A18-F00B-4E99-B3EF-7AAC78A6B10A}">
      <text>
        <r>
          <rPr>
            <sz val="9"/>
            <color indexed="81"/>
            <rFont val="Tahoma"/>
            <family val="2"/>
          </rPr>
          <t>Registrar el ID de los riesgos relacionados. En caso de que no existan riesgos relacionados registrar N/A.</t>
        </r>
      </text>
    </comment>
    <comment ref="P2" authorId="0" shapeId="0" xr:uid="{53D14313-6812-4B42-A27A-FCE0F637F862}">
      <text>
        <r>
          <rPr>
            <sz val="9"/>
            <color indexed="81"/>
            <rFont val="Tahoma"/>
            <family val="2"/>
          </rPr>
          <t>Un párrafo o dos que describa la estrategia del equipo para administrar el riesgo, en donde se incluyan las suposiciones consideradas.
En el caso de que la acción sea anular el riesgo se registra las actividades que se van a realizar para eliminar el riesgo, es decir, resolver las causas que provocan el riesgo.</t>
        </r>
      </text>
    </comment>
    <comment ref="Q2" authorId="0" shapeId="0" xr:uid="{6D0169B4-FCF1-4017-8238-BADBED561BB1}">
      <text>
        <r>
          <rPr>
            <sz val="9"/>
            <color indexed="81"/>
            <rFont val="Tahoma"/>
            <family val="2"/>
          </rPr>
          <t>Una lista de las acciones que se realizará para administrar el riesgo. Estás acciones pueden estar en un documento por aparte o dentro del cronograma del proyecto, si es el caso poner el nombre del documento.</t>
        </r>
      </text>
    </comment>
    <comment ref="R2" authorId="0" shapeId="0" xr:uid="{B84D69AE-12D5-4B54-ABA0-AE384E16F983}">
      <text>
        <r>
          <rPr>
            <sz val="9"/>
            <color indexed="81"/>
            <rFont val="Tahoma"/>
            <family val="2"/>
          </rPr>
          <t>Registrar las fechas de entrega de cada una de las acciones a realizar, si se encuentra dentro de otro documento o el cronograma del proyecto, registrar el nombre del documento.</t>
        </r>
      </text>
    </comment>
    <comment ref="S2" authorId="0" shapeId="0" xr:uid="{3A181313-1F4D-4CE9-AC84-A017445B3A0E}">
      <text>
        <r>
          <rPr>
            <sz val="9"/>
            <color indexed="81"/>
            <rFont val="Tahoma"/>
            <family val="2"/>
          </rPr>
          <t>Las unidades de medición para determinar si funcionan las acciones planeadas para la administración del riesgo.</t>
        </r>
      </text>
    </comment>
    <comment ref="T2" authorId="0" shapeId="0" xr:uid="{988CAF18-775C-4576-9C8B-FC1A7F873C31}">
      <text>
        <r>
          <rPr>
            <sz val="9"/>
            <color indexed="81"/>
            <rFont val="Tahoma"/>
            <family val="2"/>
          </rPr>
          <t>Registrar el nombre y apellido del o  las personas asignadas para ejecutar cada acción.</t>
        </r>
      </text>
    </comment>
    <comment ref="U2" authorId="0" shapeId="0" xr:uid="{3D10CDC9-B2A9-4D48-B2B9-B574CFB0DF7E}">
      <text>
        <r>
          <rPr>
            <sz val="9"/>
            <color indexed="81"/>
            <rFont val="Tahoma"/>
            <family val="2"/>
          </rPr>
          <t>Un párrafo o dos que describa la estrategia del equipo en caso de que no funcionen las acciones planificadas para administrar el riesgo. El equipo ejecutaría la estrategia de contingencia del riesgo si se alcanzara su punto de activación.</t>
        </r>
      </text>
    </comment>
    <comment ref="V2" authorId="0" shapeId="0" xr:uid="{4FCCDADE-F0B3-48EF-970F-A0EAD735F9B0}">
      <text>
        <r>
          <rPr>
            <sz val="9"/>
            <color indexed="81"/>
            <rFont val="Tahoma"/>
            <family val="2"/>
          </rPr>
          <t>Establecer en qué momento se debe activar la estrategia de contingencia, por ejemplo: si la energía eléctrica no regresa en dos horas se activa el plan.</t>
        </r>
      </text>
    </comment>
    <comment ref="W2" authorId="0" shapeId="0" xr:uid="{C053C471-50C2-445C-8BD3-475F60EF793F}">
      <text>
        <r>
          <rPr>
            <sz val="9"/>
            <color indexed="81"/>
            <rFont val="Tahoma"/>
            <family val="2"/>
          </rPr>
          <t>Las unidades de medición para determinar si funcionan las acciones planeadas para la contingencia del riesgo. Por ejemplo: el tiempo de respuesta del proveedor de la planta eléctrica estaba planeado que sea en una hora. Se revisa si lo planeado vs lo real. Se registra también los resultados de los simulacros vs lo real, en caso de que se haya hecho simulacro.</t>
        </r>
      </text>
    </comment>
    <comment ref="X2" authorId="0" shapeId="0" xr:uid="{0D49C1C4-BB69-4DAB-8E28-38062A884EAE}">
      <text>
        <r>
          <rPr>
            <sz val="9"/>
            <color indexed="81"/>
            <rFont val="Tahoma"/>
            <family val="2"/>
          </rPr>
          <t>Una lista de las acciones que se realizará para contener el riesgo. Estás acciones pueden estar en un documento por aparte o dentro del cronograma del proyecto, si es el caso poner el nombre del documento.</t>
        </r>
      </text>
    </comment>
    <comment ref="Y2" authorId="0" shapeId="0" xr:uid="{9B86F615-285D-46A3-9EA4-2C28A780B456}">
      <text>
        <r>
          <rPr>
            <sz val="9"/>
            <color indexed="81"/>
            <rFont val="Tahoma"/>
            <family val="2"/>
          </rPr>
          <t>Registrar el nombre y apellido del responsable de activar el plan.</t>
        </r>
      </text>
    </comment>
    <comment ref="Z2" authorId="0" shapeId="0" xr:uid="{1B587AE9-58C8-40A6-B91B-C735010F3365}">
      <text>
        <r>
          <rPr>
            <sz val="9"/>
            <color indexed="81"/>
            <rFont val="Tahoma"/>
            <family val="2"/>
          </rPr>
          <t xml:space="preserve">Elegir una opción, los estados del riesgo son:
</t>
        </r>
        <r>
          <rPr>
            <b/>
            <sz val="9"/>
            <color indexed="81"/>
            <rFont val="Tahoma"/>
            <family val="2"/>
          </rPr>
          <t>Vigente:</t>
        </r>
        <r>
          <rPr>
            <sz val="9"/>
            <color indexed="81"/>
            <rFont val="Tahoma"/>
            <family val="2"/>
          </rPr>
          <t xml:space="preserve"> riesgos que están latentes a que se presenten (están en el tiempo establecido en que se puede presentar) y se están monitoreando.
</t>
        </r>
        <r>
          <rPr>
            <b/>
            <sz val="9"/>
            <color indexed="81"/>
            <rFont val="Tahoma"/>
            <family val="2"/>
          </rPr>
          <t>En gestión:</t>
        </r>
        <r>
          <rPr>
            <sz val="9"/>
            <color indexed="81"/>
            <rFont val="Tahoma"/>
            <family val="2"/>
          </rPr>
          <t xml:space="preserve"> se están ejecutando las acciones de administración de riegos- mitigación.
</t>
        </r>
        <r>
          <rPr>
            <b/>
            <sz val="9"/>
            <color indexed="81"/>
            <rFont val="Tahoma"/>
            <family val="2"/>
          </rPr>
          <t xml:space="preserve">Activación contingencia: </t>
        </r>
        <r>
          <rPr>
            <sz val="9"/>
            <color indexed="81"/>
            <rFont val="Tahoma"/>
            <family val="2"/>
          </rPr>
          <t xml:space="preserve">el riesgo se materializo, es decir, se presentó y se activa el plan de contingencia.
</t>
        </r>
        <r>
          <rPr>
            <b/>
            <sz val="9"/>
            <color indexed="81"/>
            <rFont val="Tahoma"/>
            <family val="2"/>
          </rPr>
          <t xml:space="preserve">Eliminado: </t>
        </r>
        <r>
          <rPr>
            <sz val="9"/>
            <color indexed="81"/>
            <rFont val="Tahoma"/>
            <family val="2"/>
          </rPr>
          <t xml:space="preserve">riesgos efectivamente fueron eliminados por las actividades que se realizaron para anular el riesgo.
</t>
        </r>
        <r>
          <rPr>
            <b/>
            <sz val="9"/>
            <color indexed="81"/>
            <rFont val="Tahoma"/>
            <family val="2"/>
          </rPr>
          <t xml:space="preserve">Superado: </t>
        </r>
        <r>
          <rPr>
            <sz val="9"/>
            <color indexed="81"/>
            <rFont val="Tahoma"/>
            <family val="2"/>
          </rPr>
          <t>paso el tiempo establecido para que el riesgo se pueda presentar, es decir, ya no está latente el riesgo.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B2" authorId="0" shapeId="0" xr:uid="{FF95CA2D-EDD8-4178-A4F6-67A4140457CF}">
      <text>
        <r>
          <rPr>
            <sz val="9"/>
            <color indexed="81"/>
            <rFont val="Tahoma"/>
            <family val="2"/>
          </rPr>
          <t>Fecha en que se identificó la oportunidad.</t>
        </r>
      </text>
    </comment>
    <comment ref="C2" authorId="0" shapeId="0" xr:uid="{700886F3-1042-4611-84B7-8B63BA75D7B7}">
      <text>
        <r>
          <rPr>
            <sz val="9"/>
            <color indexed="81"/>
            <rFont val="Tahoma"/>
            <family val="2"/>
          </rPr>
          <t>ID de la oportunidad.</t>
        </r>
      </text>
    </comment>
    <comment ref="D2" authorId="0" shapeId="0" xr:uid="{FA2D3504-6CA6-41A8-9D4F-7FF20C269E9C}">
      <text>
        <r>
          <rPr>
            <sz val="9"/>
            <color indexed="81"/>
            <rFont val="Tahoma"/>
            <family val="2"/>
          </rPr>
          <t>Nombre corto de oportunidad.</t>
        </r>
      </text>
    </comment>
    <comment ref="E2" authorId="0" shapeId="0" xr:uid="{5731592E-B0D6-412E-B7A3-3A00B6A06111}">
      <text>
        <r>
          <rPr>
            <sz val="9"/>
            <color indexed="81"/>
            <rFont val="Tahoma"/>
            <family val="2"/>
          </rPr>
          <t xml:space="preserve">Condiciones que pueden ocasionar que se presenten los beneficios. </t>
        </r>
      </text>
    </comment>
    <comment ref="F2" authorId="1" shapeId="0" xr:uid="{080B4281-97D2-480C-90FD-6DB52B525E28}">
      <text>
        <r>
          <rPr>
            <b/>
            <sz val="9"/>
            <color indexed="81"/>
            <rFont val="Tahoma"/>
            <family val="2"/>
          </rPr>
          <t xml:space="preserve">Personas: </t>
        </r>
        <r>
          <rPr>
            <sz val="9"/>
            <color indexed="81"/>
            <rFont val="Tahoma"/>
            <family val="2"/>
          </rPr>
          <t xml:space="preserve">Relacionado con las personas que realizan las actividades.
</t>
        </r>
        <r>
          <rPr>
            <b/>
            <sz val="9"/>
            <color indexed="81"/>
            <rFont val="Tahoma"/>
            <family val="2"/>
          </rPr>
          <t>Métodos:</t>
        </r>
        <r>
          <rPr>
            <sz val="9"/>
            <color indexed="81"/>
            <rFont val="Tahoma"/>
            <family val="2"/>
          </rPr>
          <t xml:space="preserve"> Relacionado con las actividades y la forma en que se realizan.
</t>
        </r>
        <r>
          <rPr>
            <b/>
            <sz val="9"/>
            <color indexed="81"/>
            <rFont val="Tahoma"/>
            <family val="2"/>
          </rPr>
          <t xml:space="preserve">Tecnología: </t>
        </r>
        <r>
          <rPr>
            <sz val="9"/>
            <color indexed="81"/>
            <rFont val="Tahoma"/>
            <family val="2"/>
          </rPr>
          <t>Relacionado con todas las herramientas; documentos, software y hardware; que se utilizan.</t>
        </r>
      </text>
    </comment>
    <comment ref="G2" authorId="0" shapeId="0" xr:uid="{6D68793D-73A1-4E15-8AEC-749BA5F653FC}">
      <text>
        <r>
          <rPr>
            <sz val="9"/>
            <color indexed="81"/>
            <rFont val="Tahoma"/>
            <family val="2"/>
          </rPr>
          <t>Descripción de los beneficios.</t>
        </r>
      </text>
    </comment>
    <comment ref="H2" authorId="0" shapeId="0" xr:uid="{57816850-8A18-44DF-A60E-403989E4E484}">
      <text>
        <r>
          <rPr>
            <sz val="9"/>
            <color indexed="81"/>
            <rFont val="Tahoma"/>
            <family val="2"/>
          </rPr>
          <t xml:space="preserve">La inversión es un estimado de $ en relación a lo que me cuesta ejecutar el plan de aprovechamiento.
</t>
        </r>
        <r>
          <rPr>
            <b/>
            <sz val="8"/>
            <color indexed="81"/>
            <rFont val="Tahoma"/>
            <family val="2"/>
          </rPr>
          <t>RECUERDA QUE TODA ACCIÓN DENTRO DE LA EMPRESA SIGNIFICA UN COSTO</t>
        </r>
      </text>
    </comment>
    <comment ref="I2" authorId="0" shapeId="0" xr:uid="{687998B0-2DDC-4B66-94BE-EDD9D9CBB50D}">
      <text>
        <r>
          <rPr>
            <sz val="9"/>
            <color indexed="81"/>
            <rFont val="Tahoma"/>
            <family val="2"/>
          </rPr>
          <t xml:space="preserve">Se calcula en relación a los beneficios
</t>
        </r>
      </text>
    </comment>
    <comment ref="K2" authorId="1" shapeId="0" xr:uid="{AFC5900B-20CD-4D01-8D11-533F3BC593B7}">
      <text>
        <r>
          <rPr>
            <sz val="9"/>
            <color indexed="81"/>
            <rFont val="Tahoma"/>
            <family val="2"/>
          </rPr>
          <t>Cuando dos oportunidades tienen la misma prioridad, se atiende primero la de mayor ROI</t>
        </r>
      </text>
    </comment>
    <comment ref="M2" authorId="0" shapeId="0" xr:uid="{E1B0677C-88D2-4783-97EC-316006678FEB}">
      <text>
        <r>
          <rPr>
            <sz val="9"/>
            <color indexed="81"/>
            <rFont val="Tahoma"/>
            <family val="2"/>
          </rPr>
          <t>Registrar las actividades de preparación para ejecutar las acciones para aprovechar la oportunidad.</t>
        </r>
      </text>
    </comment>
    <comment ref="N2" authorId="0" shapeId="0" xr:uid="{2AB1EA90-CEE3-4FEB-84CA-A44E622EDA87}">
      <text>
        <r>
          <rPr>
            <sz val="9"/>
            <color indexed="81"/>
            <rFont val="Tahoma"/>
            <family val="2"/>
          </rPr>
          <t>Lista de las acciones necesarias para aprovechar la oportunidad.</t>
        </r>
      </text>
    </comment>
    <comment ref="O2" authorId="0" shapeId="0" xr:uid="{9F82C470-3285-4E72-B29C-3531E2CF9C0C}">
      <text>
        <r>
          <rPr>
            <sz val="9"/>
            <color indexed="81"/>
            <rFont val="Tahoma"/>
            <family val="2"/>
          </rPr>
          <t>Registrar el nombre y apellido de las personas asignadas para ejecutar cada acción.</t>
        </r>
      </text>
    </comment>
    <comment ref="P2" authorId="0" shapeId="0" xr:uid="{4B97A60D-20C1-49A6-B5A3-DCB4614C997E}">
      <text>
        <r>
          <rPr>
            <sz val="9"/>
            <color indexed="81"/>
            <rFont val="Tahoma"/>
            <family val="2"/>
          </rPr>
          <t>Establecer el tiempo estimado para realizar las acciones y potencializar la oportunidad</t>
        </r>
      </text>
    </comment>
    <comment ref="Q2" authorId="0" shapeId="0" xr:uid="{DEC04F2D-BCB2-4A1B-BF9D-77E6C78FC5A1}">
      <text>
        <r>
          <rPr>
            <sz val="9"/>
            <color indexed="81"/>
            <rFont val="Tahoma"/>
            <family val="2"/>
          </rPr>
          <t xml:space="preserve">Elegir una opción:
</t>
        </r>
        <r>
          <rPr>
            <b/>
            <sz val="9"/>
            <color indexed="81"/>
            <rFont val="Tahoma"/>
            <family val="2"/>
          </rPr>
          <t>Aprovechada:</t>
        </r>
        <r>
          <rPr>
            <sz val="9"/>
            <color indexed="81"/>
            <rFont val="Tahoma"/>
            <family val="2"/>
          </rPr>
          <t xml:space="preserve"> se ejecutaron las acciones establecidas.
</t>
        </r>
        <r>
          <rPr>
            <b/>
            <sz val="9"/>
            <color indexed="81"/>
            <rFont val="Tahoma"/>
            <family val="2"/>
          </rPr>
          <t xml:space="preserve">Vigente: </t>
        </r>
        <r>
          <rPr>
            <sz val="9"/>
            <color indexed="81"/>
            <rFont val="Tahoma"/>
            <family val="2"/>
          </rPr>
          <t xml:space="preserve">la oportunidad esté dentro del tiempo que podría suceder.
</t>
        </r>
        <r>
          <rPr>
            <b/>
            <sz val="9"/>
            <color indexed="81"/>
            <rFont val="Tahoma"/>
            <family val="2"/>
          </rPr>
          <t>En ejecución:</t>
        </r>
        <r>
          <rPr>
            <sz val="9"/>
            <color indexed="81"/>
            <rFont val="Tahoma"/>
            <family val="2"/>
          </rPr>
          <t xml:space="preserve"> se están ejecutando las acciones para aprovechar la oportunidad.
</t>
        </r>
        <r>
          <rPr>
            <b/>
            <sz val="9"/>
            <color indexed="81"/>
            <rFont val="Tahoma"/>
            <family val="2"/>
          </rPr>
          <t xml:space="preserve">Cerrada: </t>
        </r>
        <r>
          <rPr>
            <sz val="9"/>
            <color indexed="81"/>
            <rFont val="Tahoma"/>
            <family val="2"/>
          </rPr>
          <t>ya no esta vigente la oportunidad.</t>
        </r>
      </text>
    </comment>
    <comment ref="H4" authorId="0" shapeId="0" xr:uid="{F247691E-C4A1-4FF0-9DB4-758443F8C9E8}">
      <text>
        <r>
          <rPr>
            <b/>
            <sz val="9"/>
            <color indexed="81"/>
            <rFont val="Tahoma"/>
            <family val="2"/>
          </rPr>
          <t>Nota del ejemplo: es $ del tiempo que se va a invertir en la capacitación</t>
        </r>
      </text>
    </comment>
    <comment ref="I5" authorId="0" shapeId="0" xr:uid="{DDA9FD27-703A-409D-8C7C-89076A53C010}">
      <text>
        <r>
          <rPr>
            <b/>
            <sz val="9"/>
            <color indexed="81"/>
            <rFont val="Tahoma"/>
            <family val="2"/>
          </rPr>
          <t>Nota del ejemplo: de acuerdo con los beneficios, se calculó que se puede llegar a entregar 2 semanas antes, lo que representa la cantidad $ registrada.</t>
        </r>
      </text>
    </comment>
  </commentList>
</comments>
</file>

<file path=xl/sharedStrings.xml><?xml version="1.0" encoding="utf-8"?>
<sst xmlns="http://schemas.openxmlformats.org/spreadsheetml/2006/main" count="291" uniqueCount="212">
  <si>
    <t>Logo de la empresa</t>
  </si>
  <si>
    <t>Historial de versiones</t>
  </si>
  <si>
    <t>Fecha</t>
  </si>
  <si>
    <t>Versión</t>
  </si>
  <si>
    <t>Descripción</t>
  </si>
  <si>
    <t>Autor</t>
  </si>
  <si>
    <t>dd/mm/aaaa</t>
  </si>
  <si>
    <t>Número de la versión v.v</t>
  </si>
  <si>
    <t>Descripción de los cambios realizados en el documento</t>
  </si>
  <si>
    <t>Nombre y apellido</t>
  </si>
  <si>
    <t>RIESGOS</t>
  </si>
  <si>
    <t>Probabilidad</t>
  </si>
  <si>
    <t>Impacto</t>
  </si>
  <si>
    <t>Valor</t>
  </si>
  <si>
    <t>Nivel</t>
  </si>
  <si>
    <t>Remoto</t>
  </si>
  <si>
    <t>Puede suceder una vez en el proyecto</t>
  </si>
  <si>
    <t>Insignificante</t>
  </si>
  <si>
    <t>menos de $30,000</t>
  </si>
  <si>
    <t>Esporádico</t>
  </si>
  <si>
    <t>Puede suceder más de una vez en el proyecto pero es menos de una iteración</t>
  </si>
  <si>
    <t>Grave</t>
  </si>
  <si>
    <t>Ocasional</t>
  </si>
  <si>
    <t>Puede suceder una vez por iteración</t>
  </si>
  <si>
    <t>Crítico</t>
  </si>
  <si>
    <t>Recurrente</t>
  </si>
  <si>
    <t>Puede suceder más de una vez por iteración</t>
  </si>
  <si>
    <t>Catastrófico</t>
  </si>
  <si>
    <t xml:space="preserve">entre $500,000 y 1,000,000 </t>
  </si>
  <si>
    <t>OPORTUNIDADES</t>
  </si>
  <si>
    <t>Prioridad</t>
  </si>
  <si>
    <t>Alto</t>
  </si>
  <si>
    <t>ROI mayor a 2</t>
  </si>
  <si>
    <t>Medio</t>
  </si>
  <si>
    <t>ROI entre 1 y 2</t>
  </si>
  <si>
    <t>Bajo</t>
  </si>
  <si>
    <t>ROI menor a 1</t>
  </si>
  <si>
    <t>Declaración del riesgo</t>
  </si>
  <si>
    <t>Análisis del riesgo</t>
  </si>
  <si>
    <t>Administración de riesgos</t>
  </si>
  <si>
    <t>Plan de contingencia</t>
  </si>
  <si>
    <t xml:space="preserve">ID </t>
  </si>
  <si>
    <t>Fecha de identificación</t>
  </si>
  <si>
    <t>Fuente</t>
  </si>
  <si>
    <t>Categoría</t>
  </si>
  <si>
    <t>Subcategoría</t>
  </si>
  <si>
    <t>Riesgo</t>
  </si>
  <si>
    <t>Condición</t>
  </si>
  <si>
    <t>Consecuencias</t>
  </si>
  <si>
    <t>Grado de vulnerabilidad</t>
  </si>
  <si>
    <t>Perfil del riesgo</t>
  </si>
  <si>
    <t>Acciones para afrontar al riesgo</t>
  </si>
  <si>
    <t>Tiempo estimado en que se puede presentar</t>
  </si>
  <si>
    <t>Riesgos relacionados</t>
  </si>
  <si>
    <t>Acciones</t>
  </si>
  <si>
    <t>Fechas de entrega</t>
  </si>
  <si>
    <t>Unidad de medición</t>
  </si>
  <si>
    <t>Responsable</t>
  </si>
  <si>
    <t>Estrategia de contingencia del riesgo</t>
  </si>
  <si>
    <t>Valor de activación</t>
  </si>
  <si>
    <t>Unidades de medición</t>
  </si>
  <si>
    <t>Estado</t>
  </si>
  <si>
    <t>Id</t>
  </si>
  <si>
    <t>Nombre corto del riesgo</t>
  </si>
  <si>
    <t>Describir la condición</t>
  </si>
  <si>
    <t>Registrar la consecuencia</t>
  </si>
  <si>
    <t>Fase de planeación</t>
  </si>
  <si>
    <t>ID del riesgo</t>
  </si>
  <si>
    <t xml:space="preserve">Descripción de estrategia </t>
  </si>
  <si>
    <t>Descripción de acciones a realizar</t>
  </si>
  <si>
    <t>Indicar fechas</t>
  </si>
  <si>
    <t xml:space="preserve">Nombre y apellido </t>
  </si>
  <si>
    <t>RI0006</t>
  </si>
  <si>
    <t>Personas</t>
  </si>
  <si>
    <t>Organizacionales</t>
  </si>
  <si>
    <t>Recursos</t>
  </si>
  <si>
    <t>Perdida de personal clave</t>
  </si>
  <si>
    <t>Dejamos de contar con la participación de un miembro del equipo del proyecto</t>
  </si>
  <si>
    <t>Atrasos por reemplazo y esfuerzo de capacitación</t>
  </si>
  <si>
    <t>Reducir</t>
  </si>
  <si>
    <t>Durante todo el proyecto</t>
  </si>
  <si>
    <t>RI0002</t>
  </si>
  <si>
    <t>De inicio a fin del proyecto</t>
  </si>
  <si>
    <t>Bajas de personal en el proyecto
Efectividad de plan de acción ante subcontratación</t>
  </si>
  <si>
    <t>Carlos Estrada Paz</t>
  </si>
  <si>
    <t>Incluir tiempo extra de personal que cumpla con los requerimientos técnicos del puesto a cubrir</t>
  </si>
  <si>
    <t>El tiempo estimado no puede desfasarse por falta de personal interno</t>
  </si>
  <si>
    <t>RE0001</t>
  </si>
  <si>
    <t>Métodos</t>
  </si>
  <si>
    <t>Externo</t>
  </si>
  <si>
    <t>Cliente</t>
  </si>
  <si>
    <t>Poca preparación en gestión de proveedores</t>
  </si>
  <si>
    <t>Si el cliente no sabe recibir el producto</t>
  </si>
  <si>
    <t>Atrasos en la entrega
Replanificación de fechas de entrega</t>
  </si>
  <si>
    <t>Aceptar</t>
  </si>
  <si>
    <t>N/A</t>
  </si>
  <si>
    <t>Explicar detenidamente al cliente cuando, como y de que forma será entregado el producto</t>
  </si>
  <si>
    <t>06/11/2023 - 23/11/2023</t>
  </si>
  <si>
    <t>Efectividad de la entrega de nuestro producto y servicio</t>
  </si>
  <si>
    <t>Raúl Rubio Ruedas</t>
  </si>
  <si>
    <t>Clausulas en el contrato que aclaren que fallas o retrasos provocados por el cliente serán cotizadas en tiempo y dinero</t>
  </si>
  <si>
    <t>Se revisan las posibles quejas o reclamos del cliente, y se compara con el contrato y los compromisos del cliente con el proyecto</t>
  </si>
  <si>
    <t>Se deberá hablar con el sponsor para explicar el motivo de retrasos por falta de gestión 
Se presenta una propuesta para atacar el retraso.
Se apoya al líder de proyecto con los elementos necesarios para trabajar con el plan propuesto.</t>
  </si>
  <si>
    <t>Vulnerabilidad (%)</t>
  </si>
  <si>
    <t>Constante</t>
  </si>
  <si>
    <t>Valores</t>
  </si>
  <si>
    <t>Rangos</t>
  </si>
  <si>
    <t>Mínimo</t>
  </si>
  <si>
    <t>Máximo</t>
  </si>
  <si>
    <t>Acción</t>
  </si>
  <si>
    <t>Estrategia</t>
  </si>
  <si>
    <t>Aceptable</t>
  </si>
  <si>
    <t>Tolerable</t>
  </si>
  <si>
    <t>Se crean planes de mitigación y contingencia.</t>
  </si>
  <si>
    <t>Peligroso</t>
  </si>
  <si>
    <t>50 ≤ Vr &lt; 75</t>
  </si>
  <si>
    <t>Inaceptable</t>
  </si>
  <si>
    <t>75 ≤ Vr</t>
  </si>
  <si>
    <t>Declaración de la oportunidad</t>
  </si>
  <si>
    <t>Análisis</t>
  </si>
  <si>
    <t>Plan de aprovechamiento</t>
  </si>
  <si>
    <t>Status</t>
  </si>
  <si>
    <t>Identificador</t>
  </si>
  <si>
    <t>Oportunidad</t>
  </si>
  <si>
    <t>Beneficios</t>
  </si>
  <si>
    <t>Inversión</t>
  </si>
  <si>
    <t>Ganancia</t>
  </si>
  <si>
    <t>ROI</t>
  </si>
  <si>
    <t>Actividades de preparación</t>
  </si>
  <si>
    <t>Tiempo estimado para la acción</t>
  </si>
  <si>
    <t xml:space="preserve">Resultados </t>
  </si>
  <si>
    <t>dd/mm/aa</t>
  </si>
  <si>
    <t>Usar servicios en la nube</t>
  </si>
  <si>
    <t>Contratar servicios en la nube para el resguardo de la información.</t>
  </si>
  <si>
    <t xml:space="preserve">Tecnología </t>
  </si>
  <si>
    <t>Enumerar y describir los beneficios potenciales de la oportunidad
1.
2.</t>
  </si>
  <si>
    <t>Aprovechar</t>
  </si>
  <si>
    <t>1. Evaluar proveedores para contratar el servicio.
2. Definir los servicios que se tendrán en la nube.</t>
  </si>
  <si>
    <t xml:space="preserve">1. Realizar la contratación del servicio.
2. Realizar configuraciones. </t>
  </si>
  <si>
    <t xml:space="preserve">Luis Pérez </t>
  </si>
  <si>
    <t xml:space="preserve">1 mes a partir de la fecha de identificación. </t>
  </si>
  <si>
    <t>Cerrada</t>
  </si>
  <si>
    <t>Especificar los resultados del aprovechamiento de la oportunidad, es decir, los beneficios que se obtuvieron y el costo real de ejecutar las acciones para aprovechar la oportunidad.</t>
  </si>
  <si>
    <t>OP_01</t>
  </si>
  <si>
    <t>Implementar el procedimiento de pruebas con mejoras</t>
  </si>
  <si>
    <t>Se ejecutará el procedimiento de pruebas con las mejoras sugeridas, esto como parte de las pruebas piloto</t>
  </si>
  <si>
    <t>1. Identificar defectos más rápido.
Si se logran los beneficios listados podríamos realizar la entrega del producto de software 1 semanas antes</t>
  </si>
  <si>
    <t xml:space="preserve">no hay </t>
  </si>
  <si>
    <t>1. Capacitar a los tester en el procedimiento.</t>
  </si>
  <si>
    <t>Pablo López</t>
  </si>
  <si>
    <t>2 semanas</t>
  </si>
  <si>
    <t>Vigente</t>
  </si>
  <si>
    <t>OP_02</t>
  </si>
  <si>
    <t>Uso de herramienta de integración continua</t>
  </si>
  <si>
    <t>Se llevará a cabo una prueba a nivel de piloto como parte de una mejora que implica la incorporación de pruebas en un proceso de integración continua</t>
  </si>
  <si>
    <t>1. Detectar defectos de manera temprana
3. Ejecución automatizada de los casos de prueba
4. Despliegue automatizado
Si se logran los beneficios listados podríamos realizar la entrega del producto de software 2 semanas antes</t>
  </si>
  <si>
    <t>1. Adquirir la herramienta de integración continua</t>
  </si>
  <si>
    <t>1.Configuraciones de la herramienta de integración continua
2. Configuraciones en el entorno de desarrollo
3. Capacitación en la herramienta de integración continua
4. Capacitación en el proceso de integración continua</t>
  </si>
  <si>
    <t xml:space="preserve">1 y 2. Carlos Fernández 
3 y 4. Alejandra Hernández
</t>
  </si>
  <si>
    <t>3 meses</t>
  </si>
  <si>
    <t>En ejecución</t>
  </si>
  <si>
    <t>Riesgos</t>
  </si>
  <si>
    <t>Categoría y subcategorías</t>
  </si>
  <si>
    <t>*Son ejemplos, se podrán cambiar las categorías y subcategorías o agregar las que sean necesarias.</t>
  </si>
  <si>
    <t>Técnico</t>
  </si>
  <si>
    <t>Gestión</t>
  </si>
  <si>
    <t>Requisitos</t>
  </si>
  <si>
    <t>Subcontratistas y proveedores</t>
  </si>
  <si>
    <t>Estimación</t>
  </si>
  <si>
    <t>Transferir</t>
  </si>
  <si>
    <t>Tecnología</t>
  </si>
  <si>
    <t>Normativa</t>
  </si>
  <si>
    <t>Financiación</t>
  </si>
  <si>
    <t>Planificación</t>
  </si>
  <si>
    <t>En gestión</t>
  </si>
  <si>
    <t>Complejidad en las interfaces</t>
  </si>
  <si>
    <t>Mercado</t>
  </si>
  <si>
    <t>Priorización</t>
  </si>
  <si>
    <t xml:space="preserve">Control </t>
  </si>
  <si>
    <t>Activación contingencia</t>
  </si>
  <si>
    <t>Rendimiento y fiabilidad</t>
  </si>
  <si>
    <t>Comunicación</t>
  </si>
  <si>
    <t>Anular</t>
  </si>
  <si>
    <t>Eliminado</t>
  </si>
  <si>
    <t>Calidad</t>
  </si>
  <si>
    <t>Condiciones climáticas</t>
  </si>
  <si>
    <t>Superado</t>
  </si>
  <si>
    <t>Categorias</t>
  </si>
  <si>
    <t>Aprovechada</t>
  </si>
  <si>
    <t>Estrategia de mitigación del riesgo</t>
  </si>
  <si>
    <t xml:space="preserve">Descripción o fórmula de medición </t>
  </si>
  <si>
    <t>Descripción de estrategia</t>
  </si>
  <si>
    <t>Describir el momento en que se activa la estrategia</t>
  </si>
  <si>
    <t>Subcontratación de personal que cumpla con las necesidades técnicas que el proyecto exige</t>
  </si>
  <si>
    <t>*Monitorear el desempeño y actitud de los colaboradores en el proyecto
(No se puede dejar el proyecto de manera repentina, se debe notificar con al menos 15 días)
*Contar con proveedor de outsourcing 
*Lista de conocimientos requeridos para participar en el proyecto</t>
  </si>
  <si>
    <t>Cuando se informa de una futura baja en algún miembro del equipo</t>
  </si>
  <si>
    <t xml:space="preserve">Siempre se debe tener personal preparado para que nadie sea indispensable.
Se prepara al personal que será el remplazo poniéndolo totalmente al tanto de las características, peculiaridades y estado del proyecto y cualquier elemento que genere valor a la comprensión del proyecto.
Se presentan actividades realizadas con sus resultados y actividades pendientes para que se incorpore al ritmo de trabajo normal </t>
  </si>
  <si>
    <t>*Explicar al cliente en que consiste totalmente el servicio y el producto
*Checklist de entregables y pasos para recibir producto</t>
  </si>
  <si>
    <t>Cuando el cliente no tiene o no ejecuta un proceso de gestión de proveedores</t>
  </si>
  <si>
    <t>Alcance nivel proyecto</t>
  </si>
  <si>
    <t>Eliminar si se cuenta con un sistema de versionado</t>
  </si>
  <si>
    <t>Anular, Reducir o Transferir</t>
  </si>
  <si>
    <t>No es necesario el plan de tratamiento del riesgo cuando se acepta el riesgo, pero sí el plan de contingencia.</t>
  </si>
  <si>
    <t>Se actúa de inmediato y no puede aceptarse el riesgo.
Se crean planes de tratamiento del riesgo y, si se decide anular, se omite el de contingencia.</t>
  </si>
  <si>
    <t>$30,000 a $99,999</t>
  </si>
  <si>
    <t>$100,000 a $499,999</t>
  </si>
  <si>
    <t>Vr &lt; 20</t>
  </si>
  <si>
    <t>20 ≤ Vr &lt; 50</t>
  </si>
  <si>
    <t>Nulo</t>
  </si>
  <si>
    <t>Asegurar</t>
  </si>
  <si>
    <t>Propiciar</t>
  </si>
  <si>
    <t>Anular, Aceptar, Reducir o Transferir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</si>
</sst>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_-"/>
  </numFmts>
  <fonts count="31">
    <font>
      <sz val="11"/>
      <color theme="1"/>
      <name val="Calibri"/>
      <family val="2"/>
      <scheme val="minor"/>
    </font>
    <font>
      <sz val="12"/>
      <name val="Calibri"/>
      <family val="2"/>
    </font>
    <font>
      <sz val="12"/>
      <color theme="4" tint="-0.249977111117893"/>
      <name val="Calibri"/>
      <family val="2"/>
    </font>
    <font>
      <b/>
      <sz val="14"/>
      <color theme="1"/>
      <name val="Calibri"/>
      <family val="2"/>
      <scheme val="minor"/>
    </font>
    <font>
      <sz val="12"/>
      <name val="Calibri"/>
      <family val="2"/>
      <scheme val="minor"/>
    </font>
    <font>
      <sz val="9"/>
      <color indexed="81"/>
      <name val="Tahoma"/>
      <family val="2"/>
    </font>
    <font>
      <b/>
      <sz val="12"/>
      <color theme="1"/>
      <name val="Calibri"/>
      <family val="2"/>
      <scheme val="minor"/>
    </font>
    <font>
      <b/>
      <sz val="26"/>
      <color theme="3" tint="0.14996795556505021"/>
      <name val="Calibri Light"/>
      <family val="2"/>
      <scheme val="major"/>
    </font>
    <font>
      <sz val="11"/>
      <color theme="1"/>
      <name val="Calibri"/>
      <family val="2"/>
      <scheme val="minor"/>
    </font>
    <font>
      <sz val="10"/>
      <name val="Arial"/>
      <family val="2"/>
    </font>
    <font>
      <sz val="8"/>
      <color theme="1"/>
      <name val="Calibri"/>
      <family val="2"/>
      <scheme val="minor"/>
    </font>
    <font>
      <b/>
      <sz val="9"/>
      <color indexed="81"/>
      <name val="Tahoma"/>
      <family val="2"/>
    </font>
    <font>
      <sz val="12"/>
      <color theme="1"/>
      <name val="Calibri"/>
      <family val="2"/>
      <scheme val="minor"/>
    </font>
    <font>
      <sz val="10"/>
      <color rgb="FF000000"/>
      <name val="Tahoma"/>
      <family val="2"/>
    </font>
    <font>
      <sz val="10"/>
      <color rgb="FF000000"/>
      <name val="Calibri"/>
      <family val="2"/>
    </font>
    <font>
      <sz val="11"/>
      <color theme="1"/>
      <name val="Calibri (Cuerpo)"/>
    </font>
    <font>
      <sz val="14"/>
      <color theme="1"/>
      <name val="Calibri"/>
      <family val="2"/>
      <scheme val="minor"/>
    </font>
    <font>
      <i/>
      <sz val="11"/>
      <color theme="1" tint="0.249977111117893"/>
      <name val="Calibri"/>
      <family val="2"/>
      <scheme val="minor"/>
    </font>
    <font>
      <b/>
      <sz val="14"/>
      <color theme="0"/>
      <name val="Calibri"/>
      <family val="2"/>
    </font>
    <font>
      <b/>
      <sz val="12"/>
      <color theme="0"/>
      <name val="Calibri"/>
      <family val="2"/>
      <scheme val="minor"/>
    </font>
    <font>
      <b/>
      <sz val="14"/>
      <color theme="0"/>
      <name val="Calibri"/>
      <family val="2"/>
      <scheme val="minor"/>
    </font>
    <font>
      <b/>
      <sz val="16"/>
      <color theme="0"/>
      <name val="Calibri"/>
      <family val="2"/>
      <scheme val="minor"/>
    </font>
    <font>
      <b/>
      <sz val="12"/>
      <name val="Calibri"/>
      <family val="2"/>
      <scheme val="minor"/>
    </font>
    <font>
      <b/>
      <sz val="8"/>
      <color indexed="81"/>
      <name val="Tahoma"/>
      <family val="2"/>
    </font>
    <font>
      <sz val="8"/>
      <name val="Calibri"/>
      <family val="2"/>
      <scheme val="minor"/>
    </font>
    <font>
      <i/>
      <sz val="11"/>
      <color theme="1" tint="0.34998626667073579"/>
      <name val="Calibri"/>
      <family val="2"/>
      <scheme val="minor"/>
    </font>
    <font>
      <i/>
      <sz val="12"/>
      <color theme="1" tint="0.34998626667073579"/>
      <name val="Calibri"/>
      <family val="2"/>
      <scheme val="minor"/>
    </font>
    <font>
      <b/>
      <sz val="11"/>
      <color theme="1"/>
      <name val="Calibri"/>
      <family val="2"/>
      <scheme val="minor"/>
    </font>
    <font>
      <b/>
      <i/>
      <sz val="11"/>
      <color theme="1" tint="0.34998626667073579"/>
      <name val="Calibri"/>
      <family val="2"/>
      <scheme val="minor"/>
    </font>
    <font>
      <b/>
      <sz val="11"/>
      <color theme="1" tint="0.34998626667073579"/>
      <name val="Calibri"/>
      <family val="2"/>
      <scheme val="minor"/>
    </font>
    <font>
      <sz val="9"/>
      <color theme="1"/>
      <name val="Calibri"/>
      <family val="2"/>
      <scheme val="minor"/>
    </font>
  </fonts>
  <fills count="10">
    <fill>
      <patternFill patternType="none"/>
    </fill>
    <fill>
      <patternFill patternType="gray125"/>
    </fill>
    <fill>
      <patternFill patternType="solid">
        <fgColor rgb="FFC00000"/>
        <bgColor indexed="64"/>
      </patternFill>
    </fill>
    <fill>
      <patternFill patternType="solid">
        <fgColor theme="9"/>
        <bgColor indexed="64"/>
      </patternFill>
    </fill>
    <fill>
      <patternFill patternType="solid">
        <fgColor theme="7" tint="0.39997558519241921"/>
        <bgColor indexed="64"/>
      </patternFill>
    </fill>
    <fill>
      <patternFill patternType="solid">
        <fgColor rgb="FFEE7D00"/>
        <bgColor indexed="64"/>
      </patternFill>
    </fill>
    <fill>
      <patternFill patternType="solid">
        <fgColor theme="0"/>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0" tint="-4.9989318521683403E-2"/>
        <bgColor indexed="64"/>
      </patternFill>
    </fill>
  </fills>
  <borders count="25">
    <border>
      <left/>
      <right/>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bottom style="medium">
        <color theme="4" tint="-0.499984740745262"/>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medium">
        <color indexed="64"/>
      </right>
      <top/>
      <bottom/>
      <diagonal/>
    </border>
  </borders>
  <cellStyleXfs count="6">
    <xf numFmtId="0" fontId="0" fillId="0" borderId="0"/>
    <xf numFmtId="0" fontId="7" fillId="0" borderId="10" applyNumberFormat="0" applyFill="0" applyAlignment="0" applyProtection="0"/>
    <xf numFmtId="0" fontId="8" fillId="0" borderId="0"/>
    <xf numFmtId="0" fontId="9" fillId="0" borderId="0"/>
    <xf numFmtId="164" fontId="8" fillId="0" borderId="0" applyFont="0" applyFill="0" applyBorder="0" applyAlignment="0" applyProtection="0"/>
    <xf numFmtId="9" fontId="8" fillId="0" borderId="0" applyFont="0" applyFill="0" applyBorder="0" applyAlignment="0" applyProtection="0"/>
  </cellStyleXfs>
  <cellXfs count="113">
    <xf numFmtId="0" fontId="0" fillId="0" borderId="0" xfId="0"/>
    <xf numFmtId="0" fontId="0" fillId="0" borderId="3" xfId="0" applyBorder="1"/>
    <xf numFmtId="0" fontId="0" fillId="0" borderId="0" xfId="0" applyAlignment="1">
      <alignment vertical="center"/>
    </xf>
    <xf numFmtId="0" fontId="0" fillId="0" borderId="0" xfId="0" applyAlignment="1">
      <alignment vertical="center" wrapText="1"/>
    </xf>
    <xf numFmtId="0" fontId="6" fillId="0" borderId="7" xfId="0" applyFont="1" applyBorder="1" applyAlignment="1">
      <alignment horizontal="center" vertical="center"/>
    </xf>
    <xf numFmtId="0" fontId="0" fillId="0" borderId="0" xfId="0" applyAlignment="1">
      <alignment horizontal="center"/>
    </xf>
    <xf numFmtId="0" fontId="0" fillId="0" borderId="7" xfId="0" applyBorder="1" applyAlignment="1">
      <alignment horizontal="center"/>
    </xf>
    <xf numFmtId="0" fontId="8" fillId="0" borderId="7" xfId="0" applyFont="1" applyBorder="1" applyAlignment="1">
      <alignment horizontal="center" vertical="center" wrapText="1"/>
    </xf>
    <xf numFmtId="0" fontId="8" fillId="0" borderId="7" xfId="0" applyFont="1" applyBorder="1" applyAlignment="1">
      <alignment horizontal="center"/>
    </xf>
    <xf numFmtId="0" fontId="0" fillId="0" borderId="12" xfId="0" applyBorder="1"/>
    <xf numFmtId="0" fontId="0" fillId="0" borderId="12" xfId="0" applyBorder="1" applyAlignment="1">
      <alignment vertical="top"/>
    </xf>
    <xf numFmtId="0" fontId="0" fillId="0" borderId="11" xfId="0" applyBorder="1" applyAlignment="1">
      <alignment vertical="top"/>
    </xf>
    <xf numFmtId="0" fontId="0" fillId="0" borderId="7" xfId="0" applyBorder="1" applyAlignment="1">
      <alignment horizontal="center" vertical="center"/>
    </xf>
    <xf numFmtId="0" fontId="0" fillId="0" borderId="7" xfId="0" applyBorder="1" applyAlignment="1">
      <alignment horizontal="center" vertical="center" wrapText="1"/>
    </xf>
    <xf numFmtId="2" fontId="0" fillId="3" borderId="7" xfId="0" applyNumberFormat="1" applyFill="1" applyBorder="1" applyAlignment="1">
      <alignment horizontal="center" vertical="center"/>
    </xf>
    <xf numFmtId="0" fontId="0" fillId="3" borderId="7" xfId="0" applyFill="1" applyBorder="1" applyAlignment="1">
      <alignment horizontal="center"/>
    </xf>
    <xf numFmtId="0" fontId="0" fillId="0" borderId="0" xfId="0" applyAlignment="1">
      <alignment horizontal="left"/>
    </xf>
    <xf numFmtId="0" fontId="0" fillId="5" borderId="7" xfId="0" applyFill="1" applyBorder="1" applyAlignment="1">
      <alignment horizontal="center"/>
    </xf>
    <xf numFmtId="0" fontId="3" fillId="0" borderId="0" xfId="0" applyFont="1"/>
    <xf numFmtId="0" fontId="15" fillId="5" borderId="7" xfId="0" applyFont="1" applyFill="1" applyBorder="1" applyAlignment="1">
      <alignment horizontal="center"/>
    </xf>
    <xf numFmtId="0" fontId="15" fillId="3" borderId="7" xfId="0" applyFont="1" applyFill="1" applyBorder="1" applyAlignment="1">
      <alignment horizontal="center"/>
    </xf>
    <xf numFmtId="0" fontId="6" fillId="0" borderId="0" xfId="0" applyFont="1" applyAlignment="1">
      <alignment vertical="center" wrapText="1"/>
    </xf>
    <xf numFmtId="0" fontId="0" fillId="4" borderId="7" xfId="0" applyFill="1" applyBorder="1" applyAlignment="1">
      <alignment horizontal="center" vertical="center"/>
    </xf>
    <xf numFmtId="164" fontId="0" fillId="0" borderId="7" xfId="4" applyFont="1" applyBorder="1" applyAlignment="1">
      <alignment horizontal="center" vertical="center" wrapText="1"/>
    </xf>
    <xf numFmtId="0" fontId="0" fillId="2" borderId="7" xfId="0" applyFill="1" applyBorder="1" applyAlignment="1">
      <alignment horizontal="center" vertical="center"/>
    </xf>
    <xf numFmtId="0" fontId="8" fillId="0" borderId="0" xfId="0" applyFont="1" applyAlignment="1">
      <alignment horizontal="center" vertical="center"/>
    </xf>
    <xf numFmtId="0" fontId="15" fillId="4" borderId="7" xfId="0" applyFont="1" applyFill="1" applyBorder="1" applyAlignment="1">
      <alignment horizontal="center" vertical="center"/>
    </xf>
    <xf numFmtId="0" fontId="15" fillId="2" borderId="7" xfId="0" applyFont="1" applyFill="1" applyBorder="1" applyAlignment="1">
      <alignment horizontal="center" vertical="center"/>
    </xf>
    <xf numFmtId="0" fontId="16" fillId="0" borderId="0" xfId="0" applyFont="1" applyAlignment="1">
      <alignment horizontal="center"/>
    </xf>
    <xf numFmtId="0" fontId="0" fillId="6" borderId="0" xfId="0" applyFill="1"/>
    <xf numFmtId="164" fontId="17" fillId="0" borderId="7" xfId="4" applyFont="1" applyBorder="1" applyAlignment="1">
      <alignment horizontal="center" vertical="center" wrapText="1"/>
    </xf>
    <xf numFmtId="0" fontId="6" fillId="7" borderId="7" xfId="0" applyFont="1" applyFill="1" applyBorder="1" applyAlignment="1">
      <alignment horizontal="center" vertical="center"/>
    </xf>
    <xf numFmtId="0" fontId="6" fillId="7" borderId="7" xfId="0" applyFont="1" applyFill="1" applyBorder="1" applyAlignment="1">
      <alignment horizontal="center" vertical="center" wrapText="1"/>
    </xf>
    <xf numFmtId="0" fontId="8" fillId="7" borderId="7" xfId="0" applyFont="1" applyFill="1" applyBorder="1" applyAlignment="1">
      <alignment horizontal="center" vertical="center" wrapText="1"/>
    </xf>
    <xf numFmtId="0" fontId="0" fillId="7" borderId="7" xfId="0" applyFill="1" applyBorder="1" applyAlignment="1">
      <alignment vertical="center" wrapText="1"/>
    </xf>
    <xf numFmtId="0" fontId="6" fillId="0" borderId="0" xfId="0" applyFont="1" applyAlignment="1">
      <alignment vertical="center"/>
    </xf>
    <xf numFmtId="0" fontId="0" fillId="0" borderId="0" xfId="0" applyAlignment="1">
      <alignment vertical="center" textRotation="255"/>
    </xf>
    <xf numFmtId="0" fontId="1" fillId="0" borderId="7" xfId="0" applyFont="1" applyBorder="1" applyAlignment="1">
      <alignment horizontal="center" vertical="center" wrapText="1"/>
    </xf>
    <xf numFmtId="0" fontId="18" fillId="8" borderId="7" xfId="0" applyFont="1" applyFill="1" applyBorder="1" applyAlignment="1">
      <alignment horizontal="center" vertical="center" wrapText="1"/>
    </xf>
    <xf numFmtId="0" fontId="6" fillId="0" borderId="23" xfId="0" applyFont="1" applyBorder="1" applyAlignment="1">
      <alignment vertical="center"/>
    </xf>
    <xf numFmtId="0" fontId="8" fillId="9" borderId="7" xfId="0" applyFont="1" applyFill="1" applyBorder="1" applyAlignment="1">
      <alignment horizontal="center" vertical="center" wrapText="1"/>
    </xf>
    <xf numFmtId="0" fontId="4" fillId="9" borderId="7" xfId="0" applyFont="1" applyFill="1" applyBorder="1" applyAlignment="1">
      <alignment horizontal="center" vertical="center"/>
    </xf>
    <xf numFmtId="0" fontId="0" fillId="9" borderId="7" xfId="0" applyFill="1" applyBorder="1" applyAlignment="1">
      <alignment vertical="center" wrapText="1"/>
    </xf>
    <xf numFmtId="0" fontId="0" fillId="9" borderId="7" xfId="0" applyFill="1" applyBorder="1" applyAlignment="1">
      <alignment horizontal="center" vertical="center"/>
    </xf>
    <xf numFmtId="0" fontId="0" fillId="9" borderId="0" xfId="0" applyFill="1" applyAlignment="1">
      <alignment horizontal="center" vertical="center"/>
    </xf>
    <xf numFmtId="0" fontId="6" fillId="7" borderId="13" xfId="0" applyFont="1" applyFill="1" applyBorder="1" applyAlignment="1">
      <alignment horizontal="center" vertical="center"/>
    </xf>
    <xf numFmtId="0" fontId="6" fillId="7" borderId="13" xfId="0" applyFont="1" applyFill="1" applyBorder="1" applyAlignment="1">
      <alignment horizontal="center" vertical="center" wrapText="1"/>
    </xf>
    <xf numFmtId="0" fontId="6" fillId="7" borderId="8" xfId="0" applyFont="1" applyFill="1" applyBorder="1" applyAlignment="1">
      <alignment horizontal="center" vertical="center"/>
    </xf>
    <xf numFmtId="0" fontId="6" fillId="7" borderId="14" xfId="0" applyFont="1" applyFill="1" applyBorder="1" applyAlignment="1">
      <alignment horizontal="center" vertical="center" wrapText="1"/>
    </xf>
    <xf numFmtId="0" fontId="6" fillId="7" borderId="17"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20" fillId="8" borderId="0" xfId="0" applyFont="1" applyFill="1" applyAlignment="1">
      <alignment horizontal="center"/>
    </xf>
    <xf numFmtId="0" fontId="0" fillId="7" borderId="7" xfId="0" applyFill="1" applyBorder="1"/>
    <xf numFmtId="0" fontId="4" fillId="7" borderId="7" xfId="0" applyFont="1" applyFill="1" applyBorder="1"/>
    <xf numFmtId="0" fontId="6" fillId="7" borderId="7" xfId="0" applyFont="1" applyFill="1" applyBorder="1" applyAlignment="1">
      <alignment horizontal="center"/>
    </xf>
    <xf numFmtId="0" fontId="6" fillId="7" borderId="20" xfId="0" applyFont="1" applyFill="1" applyBorder="1" applyAlignment="1">
      <alignment horizontal="center"/>
    </xf>
    <xf numFmtId="0" fontId="6" fillId="7" borderId="20" xfId="0" applyFont="1" applyFill="1" applyBorder="1"/>
    <xf numFmtId="0" fontId="6" fillId="7" borderId="21" xfId="0" applyFont="1" applyFill="1" applyBorder="1"/>
    <xf numFmtId="0" fontId="0" fillId="7" borderId="7" xfId="0" applyFill="1" applyBorder="1" applyAlignment="1">
      <alignment vertical="center"/>
    </xf>
    <xf numFmtId="0" fontId="22" fillId="7" borderId="9" xfId="0" applyFont="1" applyFill="1" applyBorder="1" applyAlignment="1">
      <alignment horizontal="center" vertical="center"/>
    </xf>
    <xf numFmtId="0" fontId="22" fillId="7" borderId="7" xfId="0" applyFont="1" applyFill="1" applyBorder="1" applyAlignment="1">
      <alignment horizontal="center" vertical="center"/>
    </xf>
    <xf numFmtId="0" fontId="22" fillId="7" borderId="7" xfId="0" applyFont="1" applyFill="1" applyBorder="1" applyAlignment="1">
      <alignment horizontal="center"/>
    </xf>
    <xf numFmtId="0" fontId="0" fillId="6" borderId="12" xfId="0" applyFill="1" applyBorder="1"/>
    <xf numFmtId="0" fontId="0" fillId="6" borderId="12" xfId="0" applyFill="1" applyBorder="1" applyAlignment="1">
      <alignment vertical="top"/>
    </xf>
    <xf numFmtId="0" fontId="0" fillId="6" borderId="11" xfId="0" applyFill="1" applyBorder="1"/>
    <xf numFmtId="0" fontId="0" fillId="0" borderId="7" xfId="0" applyBorder="1" applyAlignment="1">
      <alignment horizontal="left" vertical="center" wrapText="1"/>
    </xf>
    <xf numFmtId="0" fontId="8" fillId="0" borderId="13" xfId="0" applyFont="1" applyBorder="1" applyAlignment="1">
      <alignment horizontal="center" vertical="center" wrapText="1"/>
    </xf>
    <xf numFmtId="0" fontId="25" fillId="0" borderId="7" xfId="0" applyFont="1" applyBorder="1" applyAlignment="1">
      <alignment horizontal="center" vertical="center"/>
    </xf>
    <xf numFmtId="0" fontId="25" fillId="0" borderId="7" xfId="0" applyFont="1" applyBorder="1" applyAlignment="1">
      <alignment horizontal="center" vertical="center" wrapText="1"/>
    </xf>
    <xf numFmtId="0" fontId="25" fillId="0" borderId="7" xfId="0" applyFont="1" applyBorder="1" applyAlignment="1">
      <alignment horizontal="left" vertical="center" wrapText="1"/>
    </xf>
    <xf numFmtId="164" fontId="25" fillId="0" borderId="7" xfId="4" applyFont="1" applyBorder="1" applyAlignment="1">
      <alignment horizontal="center" vertical="center" wrapText="1"/>
    </xf>
    <xf numFmtId="0" fontId="25" fillId="0" borderId="0" xfId="0" applyFont="1" applyAlignment="1">
      <alignment horizontal="left" vertical="center"/>
    </xf>
    <xf numFmtId="14" fontId="25" fillId="0" borderId="7" xfId="0" applyNumberFormat="1" applyFont="1" applyBorder="1" applyAlignment="1">
      <alignment horizontal="center" vertical="center" wrapText="1"/>
    </xf>
    <xf numFmtId="0" fontId="26" fillId="0" borderId="7" xfId="0" applyFont="1" applyBorder="1" applyAlignment="1">
      <alignment horizontal="center" vertical="center" wrapText="1"/>
    </xf>
    <xf numFmtId="1" fontId="25" fillId="0" borderId="7" xfId="5" applyNumberFormat="1" applyFont="1" applyBorder="1" applyAlignment="1">
      <alignment horizontal="center" vertical="center"/>
    </xf>
    <xf numFmtId="14" fontId="25" fillId="0" borderId="7" xfId="0" applyNumberFormat="1" applyFont="1" applyBorder="1" applyAlignment="1">
      <alignment horizontal="center" vertical="center"/>
    </xf>
    <xf numFmtId="0" fontId="28" fillId="0" borderId="7" xfId="0" applyFont="1" applyBorder="1" applyAlignment="1">
      <alignment horizontal="center" vertical="center"/>
    </xf>
    <xf numFmtId="0" fontId="29" fillId="0" borderId="7" xfId="0" applyFont="1" applyBorder="1" applyAlignment="1">
      <alignment horizontal="center" vertical="center" wrapText="1"/>
    </xf>
    <xf numFmtId="0" fontId="28" fillId="0" borderId="7"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7" xfId="0" applyFont="1" applyBorder="1" applyAlignment="1">
      <alignment horizontal="center" vertical="center"/>
    </xf>
    <xf numFmtId="0" fontId="28" fillId="0" borderId="8" xfId="0" applyFont="1" applyBorder="1" applyAlignment="1">
      <alignment horizontal="center" vertical="center" wrapText="1"/>
    </xf>
    <xf numFmtId="0" fontId="12" fillId="0" borderId="0" xfId="0" applyFont="1" applyAlignment="1">
      <alignment horizontal="center" vertical="center" textRotation="255"/>
    </xf>
    <xf numFmtId="0" fontId="20" fillId="8" borderId="0" xfId="0" applyFont="1" applyFill="1" applyAlignment="1">
      <alignment horizontal="center"/>
    </xf>
    <xf numFmtId="1" fontId="6" fillId="7" borderId="7" xfId="0" applyNumberFormat="1" applyFont="1" applyFill="1" applyBorder="1" applyAlignment="1">
      <alignment horizontal="center"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3" fillId="0" borderId="0" xfId="0" applyFont="1" applyAlignment="1">
      <alignment horizontal="center"/>
    </xf>
    <xf numFmtId="0" fontId="19" fillId="8" borderId="7" xfId="0" applyFont="1" applyFill="1" applyBorder="1" applyAlignment="1">
      <alignment horizontal="center" vertical="center"/>
    </xf>
    <xf numFmtId="0" fontId="12" fillId="0" borderId="22" xfId="0" applyFont="1" applyBorder="1" applyAlignment="1">
      <alignment horizontal="center" vertical="center" textRotation="255"/>
    </xf>
    <xf numFmtId="0" fontId="19" fillId="8" borderId="20" xfId="0" applyFont="1" applyFill="1" applyBorder="1" applyAlignment="1">
      <alignment horizontal="center" vertical="center"/>
    </xf>
    <xf numFmtId="0" fontId="19" fillId="8" borderId="21" xfId="0" applyFont="1" applyFill="1" applyBorder="1" applyAlignment="1">
      <alignment horizontal="center" vertical="center"/>
    </xf>
    <xf numFmtId="0" fontId="30" fillId="0" borderId="22" xfId="0" applyFont="1" applyBorder="1" applyAlignment="1">
      <alignment horizontal="center" vertical="center" textRotation="255"/>
    </xf>
    <xf numFmtId="0" fontId="0" fillId="0" borderId="9" xfId="0" applyBorder="1" applyAlignment="1">
      <alignment horizontal="center"/>
    </xf>
    <xf numFmtId="0" fontId="20" fillId="8" borderId="20" xfId="0" applyFont="1" applyFill="1" applyBorder="1" applyAlignment="1">
      <alignment horizontal="center"/>
    </xf>
    <xf numFmtId="0" fontId="20" fillId="8" borderId="21" xfId="0" applyFont="1" applyFill="1" applyBorder="1" applyAlignment="1">
      <alignment horizontal="center"/>
    </xf>
    <xf numFmtId="0" fontId="21" fillId="8" borderId="15" xfId="0" applyFont="1" applyFill="1" applyBorder="1" applyAlignment="1">
      <alignment horizontal="center" vertical="center"/>
    </xf>
    <xf numFmtId="0" fontId="21" fillId="8" borderId="16" xfId="0" applyFont="1" applyFill="1" applyBorder="1" applyAlignment="1">
      <alignment horizontal="center" vertical="center"/>
    </xf>
    <xf numFmtId="0" fontId="21" fillId="8" borderId="6" xfId="0" applyFont="1" applyFill="1" applyBorder="1" applyAlignment="1">
      <alignment horizontal="center" vertical="center"/>
    </xf>
    <xf numFmtId="0" fontId="21" fillId="8" borderId="0" xfId="0" applyFont="1" applyFill="1" applyAlignment="1">
      <alignment horizontal="center" vertical="center"/>
    </xf>
    <xf numFmtId="0" fontId="21" fillId="8" borderId="24" xfId="0" applyFont="1" applyFill="1" applyBorder="1" applyAlignment="1">
      <alignment horizontal="center" vertical="center"/>
    </xf>
    <xf numFmtId="0" fontId="21" fillId="8" borderId="3" xfId="0" applyFont="1" applyFill="1" applyBorder="1" applyAlignment="1">
      <alignment horizontal="center" vertical="center"/>
    </xf>
    <xf numFmtId="0" fontId="21" fillId="8" borderId="9" xfId="0" applyFont="1" applyFill="1" applyBorder="1" applyAlignment="1">
      <alignment horizontal="center" vertical="center"/>
    </xf>
    <xf numFmtId="0" fontId="21" fillId="8" borderId="18" xfId="0" applyFont="1" applyFill="1" applyBorder="1" applyAlignment="1">
      <alignment horizontal="center" vertical="center" wrapText="1"/>
    </xf>
    <xf numFmtId="0" fontId="21" fillId="8" borderId="9" xfId="0" applyFont="1" applyFill="1" applyBorder="1" applyAlignment="1">
      <alignment horizontal="center" vertical="center" wrapText="1"/>
    </xf>
    <xf numFmtId="0" fontId="21" fillId="8" borderId="19" xfId="0" applyFont="1" applyFill="1" applyBorder="1" applyAlignment="1">
      <alignment horizontal="center" vertical="center" wrapText="1"/>
    </xf>
    <xf numFmtId="0" fontId="20" fillId="8" borderId="9" xfId="0" applyFont="1" applyFill="1" applyBorder="1" applyAlignment="1">
      <alignment horizontal="center"/>
    </xf>
    <xf numFmtId="0" fontId="21" fillId="8" borderId="15" xfId="0" applyFont="1" applyFill="1" applyBorder="1" applyAlignment="1">
      <alignment horizontal="center"/>
    </xf>
    <xf numFmtId="0" fontId="21" fillId="8" borderId="16" xfId="0" applyFont="1" applyFill="1" applyBorder="1" applyAlignment="1">
      <alignment horizontal="center"/>
    </xf>
    <xf numFmtId="0" fontId="21" fillId="8" borderId="6" xfId="0" applyFont="1" applyFill="1" applyBorder="1" applyAlignment="1">
      <alignment horizontal="center"/>
    </xf>
    <xf numFmtId="0" fontId="10" fillId="0" borderId="23" xfId="0" applyFont="1" applyBorder="1" applyAlignment="1">
      <alignment horizontal="center" vertical="center" wrapText="1"/>
    </xf>
  </cellXfs>
  <cellStyles count="6">
    <cellStyle name="Currency" xfId="4" builtinId="4"/>
    <cellStyle name="Normal" xfId="0" builtinId="0"/>
    <cellStyle name="Normal 5 2" xfId="2" xr:uid="{DA30214C-02F3-46D2-BAB1-AEDDB47FE574}"/>
    <cellStyle name="Normal 6" xfId="3" xr:uid="{CA564BEF-29EC-44D8-BDFD-375B6330338E}"/>
    <cellStyle name="Percent" xfId="5" builtinId="5"/>
    <cellStyle name="Title 2" xfId="1" xr:uid="{2AD9CEC1-B437-47DE-ABF6-C25D84CEDBE2}"/>
  </cellStyles>
  <dxfs count="25">
    <dxf>
      <fill>
        <patternFill>
          <bgColor theme="9" tint="-0.24994659260841701"/>
        </patternFill>
      </fill>
    </dxf>
    <dxf>
      <fill>
        <patternFill>
          <bgColor theme="7" tint="0.39994506668294322"/>
        </patternFill>
      </fill>
    </dxf>
    <dxf>
      <fill>
        <patternFill>
          <bgColor theme="5"/>
        </patternFill>
      </fill>
    </dxf>
    <dxf>
      <fill>
        <patternFill>
          <bgColor rgb="FFC00000"/>
        </patternFill>
      </fill>
    </dxf>
    <dxf>
      <alignment horizontal="general" vertical="top"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s>
  <tableStyles count="0" defaultTableStyle="TableStyleMedium2" defaultPivotStyle="PivotStyleLight16"/>
  <colors>
    <mruColors>
      <color rgb="FFF0EB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nevocorp.sharepoint.com/sites/IPFdeSeguridaddelaInformacin/Documentos%20compartidos/SGSI/PROCESOS/Gesti&#243;n%20de%20riesgos%20y%20oportunidades/SI-CO-FT-Matriz%20de%20oportunida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ción del documento"/>
      <sheetName val="Instrucciones"/>
      <sheetName val="Matriz de oportunidades"/>
      <sheetName val="Listas"/>
    </sheetNames>
    <sheetDataSet>
      <sheetData sheetId="0"/>
      <sheetData sheetId="1"/>
      <sheetData sheetId="2"/>
      <sheetData sheetId="3">
        <row r="5">
          <cell r="B5" t="str">
            <v>Alta</v>
          </cell>
          <cell r="D5" t="str">
            <v>Explotar</v>
          </cell>
          <cell r="F5" t="str">
            <v>Aprovechada</v>
          </cell>
        </row>
        <row r="6">
          <cell r="B6" t="str">
            <v>Media</v>
          </cell>
          <cell r="D6" t="str">
            <v>Aceptar</v>
          </cell>
          <cell r="F6" t="str">
            <v>Vigente</v>
          </cell>
        </row>
        <row r="7">
          <cell r="B7" t="str">
            <v>Baja</v>
          </cell>
          <cell r="F7" t="str">
            <v>En ejecución</v>
          </cell>
        </row>
        <row r="8">
          <cell r="F8" t="str">
            <v>Cerrada</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6860A2-5CED-4307-9EB1-31B9D155933F}" name="Técnico" displayName="Técnico" ref="F3:F8" totalsRowShown="0" headerRowDxfId="24" headerRowBorderDxfId="23" tableBorderDxfId="22" totalsRowBorderDxfId="21">
  <autoFilter ref="F3:F8" xr:uid="{B66860A2-5CED-4307-9EB1-31B9D155933F}"/>
  <tableColumns count="1">
    <tableColumn id="1" xr3:uid="{BC08B86E-4139-485C-8887-F169D4FE57D5}" name="Técnico"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6D6BD7-82EE-4C1B-9C0E-6DDA8D7D2516}" name="Externo" displayName="Externo" ref="G3:G8" totalsRowShown="0" headerRowDxfId="19" headerRowBorderDxfId="18" tableBorderDxfId="17" totalsRowBorderDxfId="16">
  <autoFilter ref="G3:G8" xr:uid="{F46D6BD7-82EE-4C1B-9C0E-6DDA8D7D2516}"/>
  <tableColumns count="1">
    <tableColumn id="1" xr3:uid="{9BFDC7C3-A6FD-4DFA-810A-DD47B2B76306}" name="Externo"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941FEA-7801-4D17-9E14-54FBF255A2B3}" name="Organizacionales" displayName="Organizacionales" ref="H3:H7" totalsRowShown="0" headerRowDxfId="14" headerRowBorderDxfId="13" tableBorderDxfId="12" totalsRowBorderDxfId="11">
  <autoFilter ref="H3:H7" xr:uid="{82941FEA-7801-4D17-9E14-54FBF255A2B3}"/>
  <tableColumns count="1">
    <tableColumn id="1" xr3:uid="{ECDE282B-FA4E-4B1D-9202-6EA750A87E0E}" name="Organizacionales"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1EFBF5-01EC-4CC8-A5BC-BECCD06EC051}" name="Gestión" displayName="Gestión" ref="I3:I7" totalsRowShown="0" headerRowDxfId="9" dataDxfId="7" headerRowBorderDxfId="8" tableBorderDxfId="6" totalsRowBorderDxfId="5">
  <autoFilter ref="I3:I7" xr:uid="{2E1EFBF5-01EC-4CC8-A5BC-BECCD06EC051}"/>
  <tableColumns count="1">
    <tableColumn id="1" xr3:uid="{B390D63D-0932-4886-8209-96220C8E042D}" name="Gestión"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6.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73591-691B-4A20-AE16-63B7BD545D72}">
  <sheetPr codeName="Hoja1"/>
  <dimension ref="A1:D14"/>
  <sheetViews>
    <sheetView showGridLines="0" workbookViewId="0">
      <selection activeCell="A18" sqref="A18"/>
    </sheetView>
  </sheetViews>
  <sheetFormatPr defaultColWidth="10.85546875" defaultRowHeight="15"/>
  <cols>
    <col min="1" max="1" width="20.28515625" bestFit="1" customWidth="1"/>
    <col min="2" max="2" width="21.42578125" customWidth="1"/>
    <col min="3" max="3" width="47.42578125" customWidth="1"/>
    <col min="4" max="4" width="26.42578125" customWidth="1"/>
  </cols>
  <sheetData>
    <row r="1" spans="1:4">
      <c r="A1" s="85" t="s">
        <v>0</v>
      </c>
      <c r="B1" s="86"/>
      <c r="C1" s="1"/>
    </row>
    <row r="2" spans="1:4" ht="59.25" customHeight="1" thickBot="1">
      <c r="A2" s="87"/>
      <c r="B2" s="88"/>
      <c r="C2" s="1"/>
    </row>
    <row r="4" spans="1:4">
      <c r="A4" t="s">
        <v>199</v>
      </c>
    </row>
    <row r="6" spans="1:4" ht="18.75">
      <c r="A6" s="89" t="s">
        <v>1</v>
      </c>
      <c r="B6" s="89"/>
      <c r="C6" s="89"/>
      <c r="D6" s="89"/>
    </row>
    <row r="8" spans="1:4" ht="18.75">
      <c r="A8" s="38" t="s">
        <v>2</v>
      </c>
      <c r="B8" s="38" t="s">
        <v>3</v>
      </c>
      <c r="C8" s="38" t="s">
        <v>4</v>
      </c>
      <c r="D8" s="38" t="s">
        <v>5</v>
      </c>
    </row>
    <row r="9" spans="1:4" ht="31.5">
      <c r="A9" s="73" t="s">
        <v>6</v>
      </c>
      <c r="B9" s="73" t="s">
        <v>7</v>
      </c>
      <c r="C9" s="73" t="s">
        <v>8</v>
      </c>
      <c r="D9" s="73" t="s">
        <v>9</v>
      </c>
    </row>
    <row r="10" spans="1:4" ht="15.75">
      <c r="A10" s="37"/>
      <c r="B10" s="37"/>
      <c r="C10" s="37"/>
      <c r="D10" s="37"/>
    </row>
    <row r="11" spans="1:4" ht="15.75">
      <c r="A11" s="37"/>
      <c r="B11" s="37"/>
      <c r="C11" s="37"/>
      <c r="D11" s="37"/>
    </row>
    <row r="12" spans="1:4" ht="15.75">
      <c r="A12" s="37"/>
      <c r="B12" s="37"/>
      <c r="C12" s="37"/>
      <c r="D12" s="37"/>
    </row>
    <row r="14" spans="1:4">
      <c r="A14" t="s">
        <v>200</v>
      </c>
    </row>
  </sheetData>
  <mergeCells count="2">
    <mergeCell ref="A1:B2"/>
    <mergeCell ref="A6:D6"/>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19519-02E4-451B-941F-0A815394F773}">
  <sheetPr codeName="Hoja2">
    <pageSetUpPr fitToPage="1"/>
  </sheetPr>
  <dimension ref="A2:L18"/>
  <sheetViews>
    <sheetView showGridLines="0" zoomScale="115" zoomScaleNormal="115" workbookViewId="0">
      <selection activeCell="L7" activeCellId="1" sqref="I16 L7"/>
    </sheetView>
  </sheetViews>
  <sheetFormatPr defaultColWidth="12.140625" defaultRowHeight="15"/>
  <cols>
    <col min="4" max="4" width="16.85546875" customWidth="1"/>
    <col min="5" max="5" width="31.7109375" bestFit="1" customWidth="1"/>
    <col min="6" max="6" width="3.5703125" customWidth="1"/>
    <col min="8" max="8" width="13.5703125" bestFit="1" customWidth="1"/>
    <col min="9" max="9" width="22.5703125" customWidth="1"/>
    <col min="10" max="10" width="3.140625" customWidth="1"/>
    <col min="11" max="11" width="26.42578125" bestFit="1" customWidth="1"/>
    <col min="12" max="12" width="13.140625" customWidth="1"/>
    <col min="13" max="13" width="47.85546875" bestFit="1" customWidth="1"/>
    <col min="14" max="14" width="27.85546875" bestFit="1" customWidth="1"/>
    <col min="15" max="15" width="49.42578125" bestFit="1" customWidth="1"/>
  </cols>
  <sheetData>
    <row r="2" spans="1:12" ht="15.75">
      <c r="B2" s="91" t="s">
        <v>10</v>
      </c>
      <c r="C2" s="90" t="s">
        <v>11</v>
      </c>
      <c r="D2" s="90"/>
      <c r="E2" s="90"/>
      <c r="G2" s="90" t="s">
        <v>12</v>
      </c>
      <c r="H2" s="90"/>
      <c r="I2" s="90"/>
    </row>
    <row r="3" spans="1:12" ht="15.75">
      <c r="A3" s="29"/>
      <c r="B3" s="91"/>
      <c r="C3" s="31" t="s">
        <v>13</v>
      </c>
      <c r="D3" s="31" t="s">
        <v>14</v>
      </c>
      <c r="E3" s="32" t="s">
        <v>4</v>
      </c>
      <c r="F3" s="21"/>
      <c r="G3" s="31" t="s">
        <v>13</v>
      </c>
      <c r="H3" s="31" t="s">
        <v>14</v>
      </c>
      <c r="I3" s="4" t="s">
        <v>4</v>
      </c>
    </row>
    <row r="4" spans="1:12" ht="30">
      <c r="B4" s="91"/>
      <c r="C4" s="40">
        <v>1</v>
      </c>
      <c r="D4" s="41" t="s">
        <v>15</v>
      </c>
      <c r="E4" s="42" t="s">
        <v>16</v>
      </c>
      <c r="G4" s="43">
        <v>1</v>
      </c>
      <c r="H4" s="44" t="s">
        <v>17</v>
      </c>
      <c r="I4" s="30" t="s">
        <v>18</v>
      </c>
    </row>
    <row r="5" spans="1:12" ht="45">
      <c r="B5" s="91"/>
      <c r="C5" s="40">
        <v>2</v>
      </c>
      <c r="D5" s="41" t="s">
        <v>19</v>
      </c>
      <c r="E5" s="42" t="s">
        <v>20</v>
      </c>
      <c r="G5" s="43">
        <v>2</v>
      </c>
      <c r="H5" s="43" t="s">
        <v>21</v>
      </c>
      <c r="I5" s="30" t="s">
        <v>204</v>
      </c>
    </row>
    <row r="6" spans="1:12" ht="30.6" customHeight="1">
      <c r="B6" s="91"/>
      <c r="C6" s="40">
        <v>3</v>
      </c>
      <c r="D6" s="41" t="s">
        <v>22</v>
      </c>
      <c r="E6" s="42" t="s">
        <v>23</v>
      </c>
      <c r="G6" s="43">
        <v>3</v>
      </c>
      <c r="H6" s="43" t="s">
        <v>24</v>
      </c>
      <c r="I6" s="30" t="s">
        <v>205</v>
      </c>
    </row>
    <row r="7" spans="1:12" ht="30">
      <c r="B7" s="91"/>
      <c r="C7" s="40">
        <v>4</v>
      </c>
      <c r="D7" s="41" t="s">
        <v>25</v>
      </c>
      <c r="E7" s="42" t="s">
        <v>26</v>
      </c>
      <c r="G7" s="43">
        <v>4</v>
      </c>
      <c r="H7" s="43" t="s">
        <v>27</v>
      </c>
      <c r="I7" s="30" t="s">
        <v>28</v>
      </c>
    </row>
    <row r="8" spans="1:12" ht="15.75">
      <c r="B8" s="82"/>
      <c r="C8" s="35"/>
      <c r="D8" s="35"/>
      <c r="E8" s="35"/>
      <c r="F8" s="35"/>
      <c r="G8" s="35"/>
      <c r="H8" s="35"/>
      <c r="I8" s="35"/>
      <c r="J8" s="35"/>
      <c r="K8" s="35"/>
    </row>
    <row r="9" spans="1:12">
      <c r="C9" s="95" t="s">
        <v>29</v>
      </c>
      <c r="D9" s="95"/>
      <c r="L9" s="25"/>
    </row>
    <row r="10" spans="1:12" ht="15.4" customHeight="1">
      <c r="B10" s="94"/>
      <c r="C10" s="92" t="s">
        <v>30</v>
      </c>
      <c r="D10" s="93"/>
      <c r="L10" s="25"/>
    </row>
    <row r="11" spans="1:12" ht="15.75">
      <c r="B11" s="94"/>
      <c r="C11" s="31" t="s">
        <v>14</v>
      </c>
      <c r="D11" s="32" t="s">
        <v>4</v>
      </c>
      <c r="F11" s="35"/>
    </row>
    <row r="12" spans="1:12" ht="15.75">
      <c r="B12" s="94"/>
      <c r="C12" s="41" t="s">
        <v>31</v>
      </c>
      <c r="D12" s="42" t="s">
        <v>32</v>
      </c>
      <c r="E12" s="39"/>
      <c r="F12" s="35"/>
    </row>
    <row r="13" spans="1:12" ht="15.75">
      <c r="B13" s="94"/>
      <c r="C13" s="41" t="s">
        <v>33</v>
      </c>
      <c r="D13" s="42" t="s">
        <v>34</v>
      </c>
      <c r="E13" s="39"/>
      <c r="F13" s="35"/>
    </row>
    <row r="14" spans="1:12" ht="15.75">
      <c r="B14" s="94"/>
      <c r="C14" s="41" t="s">
        <v>35</v>
      </c>
      <c r="D14" s="42" t="s">
        <v>36</v>
      </c>
      <c r="E14" s="35"/>
      <c r="F14" s="35"/>
      <c r="G14" s="35"/>
      <c r="H14" s="35"/>
      <c r="I14" s="35"/>
      <c r="J14" s="35"/>
      <c r="K14" s="35"/>
    </row>
    <row r="15" spans="1:12" ht="29.1" customHeight="1">
      <c r="A15" s="36"/>
      <c r="B15" s="36"/>
      <c r="C15" s="35"/>
      <c r="D15" s="35"/>
      <c r="E15" s="35"/>
      <c r="F15" s="35"/>
      <c r="G15" s="35"/>
      <c r="H15" s="35"/>
    </row>
    <row r="16" spans="1:12" ht="14.65" customHeight="1">
      <c r="A16" s="36"/>
      <c r="B16" s="36"/>
      <c r="C16" s="35"/>
      <c r="D16" s="35"/>
      <c r="E16" s="35"/>
      <c r="F16" s="35"/>
      <c r="G16" s="35"/>
      <c r="H16" s="35"/>
    </row>
    <row r="17" spans="2:11" ht="14.65" customHeight="1">
      <c r="B17" s="36"/>
      <c r="C17" s="36"/>
      <c r="D17" s="36"/>
      <c r="E17" s="36"/>
      <c r="F17" s="35"/>
      <c r="G17" s="35"/>
      <c r="H17" s="35"/>
      <c r="I17" s="35"/>
      <c r="J17" s="35"/>
      <c r="K17" s="35"/>
    </row>
    <row r="18" spans="2:11" ht="14.65" customHeight="1">
      <c r="E18" s="35"/>
      <c r="F18" s="35"/>
      <c r="G18" s="35"/>
      <c r="H18" s="35"/>
      <c r="I18" s="35"/>
      <c r="J18" s="35"/>
      <c r="K18" s="35"/>
    </row>
  </sheetData>
  <mergeCells count="6">
    <mergeCell ref="C2:E2"/>
    <mergeCell ref="G2:I2"/>
    <mergeCell ref="B2:B7"/>
    <mergeCell ref="C10:D10"/>
    <mergeCell ref="B10:B14"/>
    <mergeCell ref="C9:D9"/>
  </mergeCells>
  <pageMargins left="0.7" right="0.7" top="0.75" bottom="0.75" header="0.3" footer="0.3"/>
  <pageSetup paperSize="9" scale="96"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5B7A0-084F-4BAD-BBBD-5F2B89D3337A}">
  <sheetPr codeName="Hoja4">
    <pageSetUpPr fitToPage="1"/>
  </sheetPr>
  <dimension ref="B1:O12"/>
  <sheetViews>
    <sheetView showGridLines="0" topLeftCell="F1" zoomScale="145" zoomScaleNormal="145" workbookViewId="0">
      <selection activeCell="N9" sqref="N9"/>
    </sheetView>
  </sheetViews>
  <sheetFormatPr defaultColWidth="12.140625" defaultRowHeight="15"/>
  <cols>
    <col min="3" max="3" width="16.140625" customWidth="1"/>
    <col min="4" max="4" width="13.5703125" bestFit="1" customWidth="1"/>
    <col min="8" max="8" width="12.140625" customWidth="1"/>
    <col min="9" max="9" width="26.7109375" customWidth="1"/>
    <col min="10" max="11" width="27" customWidth="1"/>
    <col min="12" max="13" width="19.140625" customWidth="1"/>
    <col min="14" max="14" width="27.85546875" customWidth="1"/>
    <col min="15" max="15" width="52.140625" customWidth="1"/>
  </cols>
  <sheetData>
    <row r="1" spans="2:15" ht="18.75">
      <c r="C1" s="18"/>
      <c r="D1" s="18"/>
      <c r="E1" s="18"/>
      <c r="F1" s="18"/>
      <c r="G1" s="18"/>
      <c r="H1" s="18"/>
    </row>
    <row r="4" spans="2:15" ht="18.75">
      <c r="C4" s="51" t="s">
        <v>11</v>
      </c>
      <c r="J4" s="96" t="s">
        <v>103</v>
      </c>
      <c r="K4" s="97"/>
    </row>
    <row r="5" spans="2:15" ht="15.75">
      <c r="B5" s="53" t="s">
        <v>104</v>
      </c>
      <c r="C5" s="31">
        <v>4</v>
      </c>
      <c r="D5" s="22">
        <f>($C$5*D10)*100/16</f>
        <v>25</v>
      </c>
      <c r="E5" s="17">
        <f>($C$5*E10)*100/16</f>
        <v>50</v>
      </c>
      <c r="F5" s="27">
        <f>($C$5*F10)*100/16</f>
        <v>75</v>
      </c>
      <c r="G5" s="27">
        <f>($C$5*G10)*100/16</f>
        <v>100</v>
      </c>
      <c r="J5" s="54" t="s">
        <v>105</v>
      </c>
      <c r="K5" s="55" t="s">
        <v>106</v>
      </c>
      <c r="L5" s="56" t="s">
        <v>107</v>
      </c>
      <c r="M5" s="57" t="s">
        <v>108</v>
      </c>
      <c r="N5" s="54" t="s">
        <v>109</v>
      </c>
      <c r="O5" s="54" t="s">
        <v>110</v>
      </c>
    </row>
    <row r="6" spans="2:15" ht="30">
      <c r="B6" s="53" t="s">
        <v>22</v>
      </c>
      <c r="C6" s="31">
        <v>3</v>
      </c>
      <c r="D6" s="14">
        <f>($C$6*D10)*100/16</f>
        <v>18.75</v>
      </c>
      <c r="E6" s="22">
        <f>($C$6*E10)*100/16</f>
        <v>37.5</v>
      </c>
      <c r="F6" s="17">
        <f>($C$6*F10)*100/16</f>
        <v>56.25</v>
      </c>
      <c r="G6" s="27">
        <f>($C$6*G10)*100/16</f>
        <v>75</v>
      </c>
      <c r="I6" s="16"/>
      <c r="J6" s="15" t="s">
        <v>111</v>
      </c>
      <c r="K6" s="20" t="s">
        <v>206</v>
      </c>
      <c r="L6" s="20">
        <v>0</v>
      </c>
      <c r="M6" s="20">
        <v>20</v>
      </c>
      <c r="N6" s="33" t="s">
        <v>211</v>
      </c>
      <c r="O6" s="58" t="s">
        <v>202</v>
      </c>
    </row>
    <row r="7" spans="2:15" ht="30">
      <c r="B7" s="53" t="s">
        <v>19</v>
      </c>
      <c r="C7" s="31">
        <v>2</v>
      </c>
      <c r="D7" s="14">
        <f>($C$7*D10)*100/16</f>
        <v>12.5</v>
      </c>
      <c r="E7" s="22">
        <f>($C$7*E10)*100/16</f>
        <v>25</v>
      </c>
      <c r="F7" s="22">
        <f>($C$7*F10)*100/16</f>
        <v>37.5</v>
      </c>
      <c r="G7" s="17">
        <f>($C$7*G10)*100/16</f>
        <v>50</v>
      </c>
      <c r="J7" s="22" t="s">
        <v>112</v>
      </c>
      <c r="K7" s="26" t="s">
        <v>207</v>
      </c>
      <c r="L7" s="26">
        <v>20</v>
      </c>
      <c r="M7" s="26">
        <v>50</v>
      </c>
      <c r="N7" s="33" t="s">
        <v>211</v>
      </c>
      <c r="O7" s="34" t="s">
        <v>113</v>
      </c>
    </row>
    <row r="8" spans="2:15" ht="30">
      <c r="B8" s="53" t="s">
        <v>15</v>
      </c>
      <c r="C8" s="31">
        <v>1</v>
      </c>
      <c r="D8" s="14">
        <f>($C$8*D10)*100/16</f>
        <v>6.25</v>
      </c>
      <c r="E8" s="14">
        <f>($C$8*E10)*100/16</f>
        <v>12.5</v>
      </c>
      <c r="F8" s="14">
        <f>($C$8*F10)*100/16</f>
        <v>18.75</v>
      </c>
      <c r="G8" s="22">
        <f>($C$8*G10)*100/16</f>
        <v>25</v>
      </c>
      <c r="J8" s="17" t="s">
        <v>114</v>
      </c>
      <c r="K8" s="19" t="s">
        <v>115</v>
      </c>
      <c r="L8" s="19">
        <v>50</v>
      </c>
      <c r="M8" s="19">
        <v>75</v>
      </c>
      <c r="N8" s="33" t="s">
        <v>211</v>
      </c>
      <c r="O8" s="58" t="s">
        <v>113</v>
      </c>
    </row>
    <row r="9" spans="2:15" ht="14.65" customHeight="1">
      <c r="B9" s="53" t="s">
        <v>208</v>
      </c>
      <c r="C9" s="31">
        <v>0</v>
      </c>
      <c r="D9" s="14">
        <f>($C$9*D10)*100/16</f>
        <v>0</v>
      </c>
      <c r="E9" s="14">
        <f t="shared" ref="E9:G9" si="0">($C$9*E10)*100/16</f>
        <v>0</v>
      </c>
      <c r="F9" s="14">
        <f t="shared" si="0"/>
        <v>0</v>
      </c>
      <c r="G9" s="14">
        <f t="shared" si="0"/>
        <v>0</v>
      </c>
      <c r="J9" s="24" t="s">
        <v>116</v>
      </c>
      <c r="K9" s="27" t="s">
        <v>117</v>
      </c>
      <c r="L9" s="27">
        <v>75</v>
      </c>
      <c r="M9" s="27">
        <v>100</v>
      </c>
      <c r="N9" s="33" t="s">
        <v>201</v>
      </c>
      <c r="O9" s="34" t="s">
        <v>203</v>
      </c>
    </row>
    <row r="10" spans="2:15" ht="15.75">
      <c r="D10" s="31">
        <v>1</v>
      </c>
      <c r="E10" s="31">
        <v>2</v>
      </c>
      <c r="F10" s="31">
        <v>3</v>
      </c>
      <c r="G10" s="84">
        <v>4</v>
      </c>
    </row>
    <row r="11" spans="2:15">
      <c r="D11" s="52" t="s">
        <v>17</v>
      </c>
      <c r="E11" s="52" t="s">
        <v>21</v>
      </c>
      <c r="F11" s="52" t="s">
        <v>24</v>
      </c>
      <c r="G11" s="52" t="s">
        <v>27</v>
      </c>
    </row>
    <row r="12" spans="2:15" ht="18.75">
      <c r="D12" s="83" t="s">
        <v>12</v>
      </c>
      <c r="E12" s="83"/>
      <c r="F12" s="83"/>
      <c r="G12" s="83"/>
    </row>
  </sheetData>
  <mergeCells count="1">
    <mergeCell ref="J4:K4"/>
  </mergeCells>
  <pageMargins left="0.7" right="0.7" top="0.75" bottom="0.75" header="0.3" footer="0.3"/>
  <pageSetup paperSize="9" scale="43"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8D59D-D2DC-4DA0-A85F-981B137D5495}">
  <sheetPr codeName="Hoja3">
    <pageSetUpPr fitToPage="1"/>
  </sheetPr>
  <dimension ref="A1:Z78"/>
  <sheetViews>
    <sheetView showGridLines="0" tabSelected="1" zoomScaleNormal="100" workbookViewId="0">
      <selection activeCell="E3" sqref="E3"/>
    </sheetView>
  </sheetViews>
  <sheetFormatPr defaultColWidth="10.85546875" defaultRowHeight="15"/>
  <cols>
    <col min="2" max="3" width="16.42578125" customWidth="1"/>
    <col min="4" max="4" width="21.42578125" customWidth="1"/>
    <col min="5" max="5" width="31.85546875" customWidth="1"/>
    <col min="6" max="8" width="26.85546875" customWidth="1"/>
    <col min="9" max="9" width="22.140625" customWidth="1"/>
    <col min="10" max="10" width="21.42578125" customWidth="1"/>
    <col min="11" max="11" width="22.85546875" customWidth="1"/>
    <col min="12" max="12" width="16" customWidth="1"/>
    <col min="13" max="13" width="19.140625" bestFit="1" customWidth="1"/>
    <col min="14" max="16" width="22.85546875" customWidth="1"/>
    <col min="17" max="17" width="76.42578125" customWidth="1"/>
    <col min="18" max="18" width="25" customWidth="1"/>
    <col min="19" max="23" width="22.85546875" customWidth="1"/>
    <col min="24" max="24" width="73.28515625" customWidth="1"/>
    <col min="25" max="25" width="26.28515625" customWidth="1"/>
    <col min="26" max="26" width="22.28515625" customWidth="1"/>
  </cols>
  <sheetData>
    <row r="1" spans="1:26" ht="21.75" thickBot="1">
      <c r="A1" s="101" t="s">
        <v>37</v>
      </c>
      <c r="B1" s="101"/>
      <c r="C1" s="101"/>
      <c r="D1" s="101"/>
      <c r="E1" s="101"/>
      <c r="F1" s="101"/>
      <c r="G1" s="101"/>
      <c r="H1" s="102"/>
      <c r="I1" s="103" t="s">
        <v>38</v>
      </c>
      <c r="J1" s="101"/>
      <c r="K1" s="101"/>
      <c r="L1" s="101"/>
      <c r="M1" s="101"/>
      <c r="N1" s="101"/>
      <c r="O1" s="102"/>
      <c r="P1" s="98" t="s">
        <v>39</v>
      </c>
      <c r="Q1" s="99"/>
      <c r="R1" s="99"/>
      <c r="S1" s="99"/>
      <c r="T1" s="100"/>
      <c r="U1" s="103" t="s">
        <v>40</v>
      </c>
      <c r="V1" s="101"/>
      <c r="W1" s="101"/>
      <c r="X1" s="101"/>
      <c r="Y1" s="101"/>
      <c r="Z1" s="101"/>
    </row>
    <row r="2" spans="1:26" ht="47.25">
      <c r="A2" s="45" t="s">
        <v>41</v>
      </c>
      <c r="B2" s="46" t="s">
        <v>42</v>
      </c>
      <c r="C2" s="46" t="s">
        <v>43</v>
      </c>
      <c r="D2" s="45" t="s">
        <v>44</v>
      </c>
      <c r="E2" s="46" t="s">
        <v>45</v>
      </c>
      <c r="F2" s="47" t="s">
        <v>46</v>
      </c>
      <c r="G2" s="47" t="s">
        <v>47</v>
      </c>
      <c r="H2" s="47" t="s">
        <v>48</v>
      </c>
      <c r="I2" s="47" t="s">
        <v>11</v>
      </c>
      <c r="J2" s="47" t="s">
        <v>12</v>
      </c>
      <c r="K2" s="48" t="s">
        <v>49</v>
      </c>
      <c r="L2" s="32" t="s">
        <v>50</v>
      </c>
      <c r="M2" s="32" t="s">
        <v>51</v>
      </c>
      <c r="N2" s="32" t="s">
        <v>52</v>
      </c>
      <c r="O2" s="32" t="s">
        <v>53</v>
      </c>
      <c r="P2" s="49" t="s">
        <v>189</v>
      </c>
      <c r="Q2" s="47" t="s">
        <v>54</v>
      </c>
      <c r="R2" s="47" t="s">
        <v>55</v>
      </c>
      <c r="S2" s="47" t="s">
        <v>56</v>
      </c>
      <c r="T2" s="47" t="s">
        <v>57</v>
      </c>
      <c r="U2" s="50" t="s">
        <v>58</v>
      </c>
      <c r="V2" s="47" t="s">
        <v>59</v>
      </c>
      <c r="W2" s="50" t="s">
        <v>60</v>
      </c>
      <c r="X2" s="47" t="s">
        <v>54</v>
      </c>
      <c r="Y2" s="47" t="s">
        <v>57</v>
      </c>
      <c r="Z2" s="32" t="s">
        <v>61</v>
      </c>
    </row>
    <row r="3" spans="1:26" ht="76.900000000000006" customHeight="1">
      <c r="A3" s="76" t="s">
        <v>62</v>
      </c>
      <c r="B3" s="76" t="s">
        <v>6</v>
      </c>
      <c r="C3" s="76" t="s">
        <v>88</v>
      </c>
      <c r="D3" s="76" t="s">
        <v>165</v>
      </c>
      <c r="E3" s="67" t="s">
        <v>178</v>
      </c>
      <c r="F3" s="77" t="s">
        <v>63</v>
      </c>
      <c r="G3" s="77" t="s">
        <v>64</v>
      </c>
      <c r="H3" s="77" t="s">
        <v>65</v>
      </c>
      <c r="I3" s="78">
        <v>0</v>
      </c>
      <c r="J3" s="78">
        <v>3</v>
      </c>
      <c r="K3" s="67">
        <f t="shared" ref="K3:K6" si="0">IF(OR(I3="",J3=""),"",(I3*J3)*100/16)</f>
        <v>0</v>
      </c>
      <c r="L3" s="79" t="str">
        <f t="shared" ref="L3:L9" si="1">IF(K3="","",IF(K3&lt;20,"Aceptable",IF(K3&lt;50,"Tolerable",IF(K3&lt;75,"Peligroso","Inaceptable"))))</f>
        <v>Aceptable</v>
      </c>
      <c r="M3" s="80" t="s">
        <v>94</v>
      </c>
      <c r="N3" s="78" t="s">
        <v>66</v>
      </c>
      <c r="O3" s="76" t="s">
        <v>67</v>
      </c>
      <c r="P3" s="81" t="s">
        <v>68</v>
      </c>
      <c r="Q3" s="76" t="s">
        <v>69</v>
      </c>
      <c r="R3" s="76" t="s">
        <v>70</v>
      </c>
      <c r="S3" s="78" t="s">
        <v>190</v>
      </c>
      <c r="T3" s="76" t="s">
        <v>71</v>
      </c>
      <c r="U3" s="76" t="s">
        <v>191</v>
      </c>
      <c r="V3" s="78" t="s">
        <v>192</v>
      </c>
      <c r="W3" s="78" t="s">
        <v>190</v>
      </c>
      <c r="X3" s="76" t="s">
        <v>69</v>
      </c>
      <c r="Y3" s="76" t="s">
        <v>9</v>
      </c>
      <c r="Z3" s="13"/>
    </row>
    <row r="4" spans="1:26" ht="92.45" customHeight="1">
      <c r="A4" s="74" t="s">
        <v>72</v>
      </c>
      <c r="B4" s="75">
        <v>45880</v>
      </c>
      <c r="C4" s="67" t="s">
        <v>73</v>
      </c>
      <c r="D4" s="67" t="s">
        <v>164</v>
      </c>
      <c r="E4" s="67" t="s">
        <v>170</v>
      </c>
      <c r="F4" s="67" t="s">
        <v>76</v>
      </c>
      <c r="G4" s="68" t="s">
        <v>77</v>
      </c>
      <c r="H4" s="68" t="s">
        <v>78</v>
      </c>
      <c r="I4" s="67">
        <v>1</v>
      </c>
      <c r="J4" s="68">
        <v>3</v>
      </c>
      <c r="K4" s="67">
        <f t="shared" si="0"/>
        <v>18.75</v>
      </c>
      <c r="L4" s="79" t="str">
        <f t="shared" si="1"/>
        <v>Aceptable</v>
      </c>
      <c r="M4" s="12" t="s">
        <v>79</v>
      </c>
      <c r="N4" s="68" t="s">
        <v>80</v>
      </c>
      <c r="O4" s="67" t="s">
        <v>81</v>
      </c>
      <c r="P4" s="68" t="s">
        <v>193</v>
      </c>
      <c r="Q4" s="68" t="s">
        <v>194</v>
      </c>
      <c r="R4" s="67" t="s">
        <v>82</v>
      </c>
      <c r="S4" s="68" t="s">
        <v>83</v>
      </c>
      <c r="T4" s="67" t="s">
        <v>84</v>
      </c>
      <c r="U4" s="68" t="s">
        <v>85</v>
      </c>
      <c r="V4" s="68" t="s">
        <v>195</v>
      </c>
      <c r="W4" s="68" t="s">
        <v>86</v>
      </c>
      <c r="X4" s="68" t="s">
        <v>196</v>
      </c>
      <c r="Y4" s="67" t="s">
        <v>84</v>
      </c>
      <c r="Z4" s="13"/>
    </row>
    <row r="5" spans="1:26" ht="90">
      <c r="A5" s="67" t="s">
        <v>87</v>
      </c>
      <c r="B5" s="75">
        <v>45884</v>
      </c>
      <c r="C5" s="67" t="s">
        <v>88</v>
      </c>
      <c r="D5" s="67" t="s">
        <v>74</v>
      </c>
      <c r="E5" s="67" t="s">
        <v>177</v>
      </c>
      <c r="F5" s="68" t="s">
        <v>91</v>
      </c>
      <c r="G5" s="68" t="s">
        <v>92</v>
      </c>
      <c r="H5" s="68" t="s">
        <v>93</v>
      </c>
      <c r="I5" s="67">
        <v>2</v>
      </c>
      <c r="J5" s="68">
        <v>3</v>
      </c>
      <c r="K5" s="67">
        <f t="shared" si="0"/>
        <v>37.5</v>
      </c>
      <c r="L5" s="79" t="str">
        <f t="shared" si="1"/>
        <v>Tolerable</v>
      </c>
      <c r="M5" s="12" t="s">
        <v>94</v>
      </c>
      <c r="N5" s="68" t="s">
        <v>80</v>
      </c>
      <c r="O5" s="67" t="s">
        <v>95</v>
      </c>
      <c r="P5" s="68" t="s">
        <v>96</v>
      </c>
      <c r="Q5" s="68" t="s">
        <v>197</v>
      </c>
      <c r="R5" s="67" t="s">
        <v>97</v>
      </c>
      <c r="S5" s="68" t="s">
        <v>98</v>
      </c>
      <c r="T5" s="67" t="s">
        <v>99</v>
      </c>
      <c r="U5" s="68" t="s">
        <v>100</v>
      </c>
      <c r="V5" s="68" t="s">
        <v>198</v>
      </c>
      <c r="W5" s="68" t="s">
        <v>101</v>
      </c>
      <c r="X5" s="68" t="s">
        <v>102</v>
      </c>
      <c r="Y5" s="67" t="s">
        <v>99</v>
      </c>
      <c r="Z5" s="13"/>
    </row>
    <row r="6" spans="1:26" ht="34.15" customHeight="1">
      <c r="A6" s="12"/>
      <c r="B6" s="12"/>
      <c r="C6" s="12"/>
      <c r="D6" s="12" t="s">
        <v>165</v>
      </c>
      <c r="E6" s="12" t="s">
        <v>178</v>
      </c>
      <c r="F6" s="12"/>
      <c r="G6" s="12"/>
      <c r="H6" s="12"/>
      <c r="I6" s="12">
        <v>3</v>
      </c>
      <c r="J6" s="13">
        <v>3</v>
      </c>
      <c r="K6" s="67">
        <f t="shared" si="0"/>
        <v>56.25</v>
      </c>
      <c r="L6" s="79" t="str">
        <f t="shared" si="1"/>
        <v>Peligroso</v>
      </c>
      <c r="M6" s="12"/>
      <c r="N6" s="12"/>
      <c r="O6" s="12"/>
      <c r="P6" s="13"/>
      <c r="Q6" s="12"/>
      <c r="R6" s="12"/>
      <c r="S6" s="12"/>
      <c r="T6" s="12"/>
      <c r="U6" s="12"/>
      <c r="V6" s="12"/>
      <c r="W6" s="12"/>
      <c r="X6" s="12"/>
      <c r="Y6" s="12"/>
      <c r="Z6" s="13"/>
    </row>
    <row r="7" spans="1:26">
      <c r="A7" s="12"/>
      <c r="B7" s="12"/>
      <c r="C7" s="12"/>
      <c r="D7" s="12"/>
      <c r="E7" s="12"/>
      <c r="F7" s="12"/>
      <c r="G7" s="12"/>
      <c r="H7" s="12"/>
      <c r="I7" s="12">
        <v>4</v>
      </c>
      <c r="J7" s="13">
        <v>3</v>
      </c>
      <c r="K7" s="67">
        <f>IF(OR(I7="",J7=""),"",(I7*J7)*100/16)</f>
        <v>75</v>
      </c>
      <c r="L7" s="79" t="str">
        <f t="shared" si="1"/>
        <v>Inaceptable</v>
      </c>
      <c r="M7" s="12"/>
      <c r="N7" s="12"/>
      <c r="O7" s="12"/>
      <c r="P7" s="13"/>
      <c r="Q7" s="12"/>
      <c r="R7" s="12"/>
      <c r="S7" s="12"/>
      <c r="T7" s="12"/>
      <c r="U7" s="12"/>
      <c r="V7" s="12"/>
      <c r="W7" s="12"/>
      <c r="X7" s="12"/>
      <c r="Y7" s="12"/>
      <c r="Z7" s="13"/>
    </row>
    <row r="8" spans="1:26">
      <c r="A8" s="12"/>
      <c r="B8" s="12"/>
      <c r="C8" s="12"/>
      <c r="D8" s="12"/>
      <c r="E8" s="12"/>
      <c r="F8" s="12"/>
      <c r="G8" s="12"/>
      <c r="H8" s="12"/>
      <c r="I8" s="12"/>
      <c r="J8" s="13"/>
      <c r="K8" s="67" t="str">
        <f t="shared" ref="K8:K11" si="2">IF(OR(I8="",J8=""),"",(I8*J8)*100/16)</f>
        <v/>
      </c>
      <c r="L8" s="79" t="str">
        <f t="shared" si="1"/>
        <v/>
      </c>
      <c r="M8" s="12"/>
      <c r="N8" s="12"/>
      <c r="O8" s="12"/>
      <c r="P8" s="13"/>
      <c r="Q8" s="12"/>
      <c r="R8" s="12"/>
      <c r="S8" s="12"/>
      <c r="T8" s="12"/>
      <c r="U8" s="12"/>
      <c r="V8" s="12"/>
      <c r="W8" s="12"/>
      <c r="X8" s="12"/>
      <c r="Y8" s="12"/>
      <c r="Z8" s="13"/>
    </row>
    <row r="9" spans="1:26">
      <c r="A9" s="12"/>
      <c r="B9" s="12"/>
      <c r="C9" s="12"/>
      <c r="D9" s="12"/>
      <c r="E9" s="12"/>
      <c r="F9" s="12"/>
      <c r="G9" s="12"/>
      <c r="H9" s="12"/>
      <c r="I9" s="12"/>
      <c r="J9" s="13"/>
      <c r="K9" s="67" t="str">
        <f t="shared" si="2"/>
        <v/>
      </c>
      <c r="L9" s="79" t="str">
        <f t="shared" si="1"/>
        <v/>
      </c>
      <c r="M9" s="12"/>
      <c r="N9" s="12"/>
      <c r="O9" s="12"/>
      <c r="P9" s="13"/>
      <c r="Q9" s="12"/>
      <c r="R9" s="12"/>
      <c r="S9" s="12"/>
      <c r="T9" s="12"/>
      <c r="U9" s="12"/>
      <c r="V9" s="12"/>
      <c r="W9" s="12"/>
      <c r="X9" s="12"/>
      <c r="Y9" s="12"/>
      <c r="Z9" s="13"/>
    </row>
    <row r="10" spans="1:26">
      <c r="A10" s="12"/>
      <c r="B10" s="12"/>
      <c r="C10" s="12"/>
      <c r="D10" s="12"/>
      <c r="E10" s="12"/>
      <c r="F10" s="12"/>
      <c r="G10" s="12"/>
      <c r="H10" s="12"/>
      <c r="I10" s="12"/>
      <c r="J10" s="13"/>
      <c r="K10" s="67" t="str">
        <f t="shared" si="2"/>
        <v/>
      </c>
      <c r="L10" s="79" t="str">
        <f t="shared" ref="L10:L11" si="3">IF(K10="","",IF(K10&lt;20,"Aceptable",IF(K10&lt;50,"Tolerable",IF(K10&lt;75,"Peligroso","Inaceptable"))))</f>
        <v/>
      </c>
      <c r="M10" s="12"/>
      <c r="N10" s="12"/>
      <c r="O10" s="12"/>
      <c r="P10" s="13"/>
      <c r="Q10" s="12"/>
      <c r="R10" s="12"/>
      <c r="S10" s="12"/>
      <c r="T10" s="12"/>
      <c r="U10" s="12"/>
      <c r="V10" s="12"/>
      <c r="W10" s="12"/>
      <c r="X10" s="12"/>
      <c r="Y10" s="12"/>
      <c r="Z10" s="13"/>
    </row>
    <row r="11" spans="1:26">
      <c r="A11" s="12"/>
      <c r="B11" s="12"/>
      <c r="C11" s="12"/>
      <c r="D11" s="12"/>
      <c r="E11" s="12"/>
      <c r="F11" s="12"/>
      <c r="G11" s="12"/>
      <c r="H11" s="12"/>
      <c r="I11" s="12"/>
      <c r="J11" s="13"/>
      <c r="K11" s="67" t="str">
        <f t="shared" si="2"/>
        <v/>
      </c>
      <c r="L11" s="79" t="str">
        <f t="shared" si="3"/>
        <v/>
      </c>
      <c r="M11" s="12"/>
      <c r="N11" s="12"/>
      <c r="O11" s="12"/>
      <c r="P11" s="13"/>
      <c r="Q11" s="12"/>
      <c r="R11" s="12"/>
      <c r="S11" s="12"/>
      <c r="T11" s="12"/>
      <c r="U11" s="12"/>
      <c r="V11" s="12"/>
      <c r="W11" s="12"/>
      <c r="X11" s="12"/>
      <c r="Y11" s="12"/>
      <c r="Z11" s="13"/>
    </row>
    <row r="12" spans="1:26">
      <c r="A12" s="12"/>
      <c r="B12" s="12"/>
      <c r="C12" s="12"/>
      <c r="D12" s="12"/>
      <c r="E12" s="12"/>
      <c r="F12" s="12"/>
      <c r="G12" s="12"/>
      <c r="H12" s="12"/>
      <c r="I12" s="12"/>
      <c r="J12" s="13"/>
      <c r="K12" s="67" t="str">
        <f t="shared" ref="K12:K16" si="4">IF(OR(I12="",J12=""),"",(I12*J12)*100/16)</f>
        <v/>
      </c>
      <c r="L12" s="79" t="str">
        <f t="shared" ref="L12:L16" si="5">IF(K12="","",IF(K12&lt;20,"Aceptable",IF(K12&lt;50,"Tolerable",IF(K12&lt;75,"Peligroso","Inaceptable"))))</f>
        <v/>
      </c>
      <c r="M12" s="12"/>
      <c r="N12" s="12"/>
      <c r="O12" s="12"/>
      <c r="P12" s="13"/>
      <c r="Q12" s="12"/>
      <c r="R12" s="12"/>
      <c r="S12" s="12"/>
      <c r="T12" s="12"/>
      <c r="U12" s="12"/>
      <c r="V12" s="12"/>
      <c r="W12" s="12"/>
      <c r="X12" s="12"/>
      <c r="Y12" s="12"/>
      <c r="Z12" s="13"/>
    </row>
    <row r="13" spans="1:26">
      <c r="A13" s="12"/>
      <c r="B13" s="12"/>
      <c r="C13" s="12"/>
      <c r="D13" s="12"/>
      <c r="E13" s="12"/>
      <c r="F13" s="12"/>
      <c r="G13" s="12"/>
      <c r="H13" s="12"/>
      <c r="I13" s="12"/>
      <c r="J13" s="13"/>
      <c r="K13" s="67" t="str">
        <f t="shared" si="4"/>
        <v/>
      </c>
      <c r="L13" s="79" t="str">
        <f t="shared" si="5"/>
        <v/>
      </c>
      <c r="M13" s="12"/>
      <c r="N13" s="12"/>
      <c r="O13" s="12"/>
      <c r="P13" s="13"/>
      <c r="Q13" s="12"/>
      <c r="R13" s="12"/>
      <c r="S13" s="12"/>
      <c r="T13" s="12"/>
      <c r="U13" s="12"/>
      <c r="V13" s="12"/>
      <c r="W13" s="12"/>
      <c r="X13" s="12"/>
      <c r="Y13" s="12"/>
      <c r="Z13" s="13"/>
    </row>
    <row r="14" spans="1:26">
      <c r="A14" s="12"/>
      <c r="B14" s="12"/>
      <c r="C14" s="12"/>
      <c r="D14" s="12"/>
      <c r="E14" s="12"/>
      <c r="F14" s="12"/>
      <c r="G14" s="12"/>
      <c r="H14" s="12"/>
      <c r="I14" s="12"/>
      <c r="J14" s="13"/>
      <c r="K14" s="67" t="str">
        <f t="shared" si="4"/>
        <v/>
      </c>
      <c r="L14" s="79" t="str">
        <f t="shared" si="5"/>
        <v/>
      </c>
      <c r="M14" s="12"/>
      <c r="N14" s="12"/>
      <c r="O14" s="12"/>
      <c r="P14" s="13"/>
      <c r="Q14" s="12"/>
      <c r="R14" s="12"/>
      <c r="S14" s="12"/>
      <c r="T14" s="12"/>
      <c r="U14" s="12"/>
      <c r="V14" s="12"/>
      <c r="W14" s="12"/>
      <c r="X14" s="12"/>
      <c r="Y14" s="12"/>
      <c r="Z14" s="13"/>
    </row>
    <row r="15" spans="1:26">
      <c r="A15" s="12"/>
      <c r="B15" s="12"/>
      <c r="C15" s="12"/>
      <c r="D15" s="12"/>
      <c r="E15" s="12"/>
      <c r="F15" s="12"/>
      <c r="G15" s="12"/>
      <c r="H15" s="12"/>
      <c r="I15" s="12"/>
      <c r="J15" s="13"/>
      <c r="K15" s="67" t="str">
        <f t="shared" si="4"/>
        <v/>
      </c>
      <c r="L15" s="79" t="str">
        <f t="shared" si="5"/>
        <v/>
      </c>
      <c r="M15" s="12"/>
      <c r="N15" s="12"/>
      <c r="O15" s="12"/>
      <c r="P15" s="13"/>
      <c r="Q15" s="12"/>
      <c r="R15" s="12"/>
      <c r="S15" s="12"/>
      <c r="T15" s="12"/>
      <c r="U15" s="12"/>
      <c r="V15" s="12"/>
      <c r="W15" s="12"/>
      <c r="X15" s="12"/>
      <c r="Y15" s="12"/>
      <c r="Z15" s="13"/>
    </row>
    <row r="16" spans="1:26">
      <c r="A16" s="12"/>
      <c r="B16" s="12"/>
      <c r="C16" s="12"/>
      <c r="D16" s="12"/>
      <c r="E16" s="12"/>
      <c r="F16" s="12"/>
      <c r="G16" s="12"/>
      <c r="H16" s="12"/>
      <c r="I16" s="12"/>
      <c r="J16" s="13"/>
      <c r="K16" s="67" t="str">
        <f t="shared" si="4"/>
        <v/>
      </c>
      <c r="L16" s="79" t="str">
        <f t="shared" si="5"/>
        <v/>
      </c>
      <c r="M16" s="12"/>
      <c r="N16" s="12"/>
      <c r="O16" s="12"/>
      <c r="P16" s="13"/>
      <c r="Q16" s="12"/>
      <c r="R16" s="12"/>
      <c r="S16" s="12"/>
      <c r="T16" s="12"/>
      <c r="U16" s="12"/>
      <c r="V16" s="12"/>
      <c r="W16" s="12"/>
      <c r="X16" s="12"/>
      <c r="Y16" s="12"/>
      <c r="Z16" s="13"/>
    </row>
    <row r="17" spans="1:26">
      <c r="A17" s="12"/>
      <c r="B17" s="12"/>
      <c r="C17" s="12"/>
      <c r="D17" s="12"/>
      <c r="E17" s="12"/>
      <c r="F17" s="12"/>
      <c r="G17" s="12"/>
      <c r="H17" s="12"/>
      <c r="I17" s="12"/>
      <c r="J17" s="13"/>
      <c r="K17" s="12"/>
      <c r="L17" s="13"/>
      <c r="M17" s="12"/>
      <c r="N17" s="12"/>
      <c r="O17" s="12"/>
      <c r="P17" s="13"/>
      <c r="Q17" s="12"/>
      <c r="R17" s="12"/>
      <c r="S17" s="12"/>
      <c r="T17" s="12"/>
      <c r="U17" s="12"/>
      <c r="V17" s="12"/>
      <c r="W17" s="12"/>
      <c r="X17" s="12"/>
      <c r="Y17" s="12"/>
      <c r="Z17" s="13"/>
    </row>
    <row r="18" spans="1:26">
      <c r="A18" s="12"/>
      <c r="B18" s="12"/>
      <c r="C18" s="12"/>
      <c r="D18" s="12"/>
      <c r="E18" s="12"/>
      <c r="F18" s="12"/>
      <c r="G18" s="12"/>
      <c r="H18" s="12"/>
      <c r="I18" s="12"/>
      <c r="J18" s="13"/>
      <c r="K18" s="12"/>
      <c r="L18" s="13"/>
      <c r="M18" s="12"/>
      <c r="N18" s="12"/>
      <c r="O18" s="12"/>
      <c r="P18" s="13"/>
      <c r="Q18" s="12"/>
      <c r="R18" s="12"/>
      <c r="S18" s="12"/>
      <c r="T18" s="12"/>
      <c r="U18" s="12"/>
      <c r="V18" s="12"/>
      <c r="W18" s="12"/>
      <c r="X18" s="12"/>
      <c r="Y18" s="12"/>
      <c r="Z18" s="13"/>
    </row>
    <row r="19" spans="1:26">
      <c r="A19" s="12"/>
      <c r="B19" s="12"/>
      <c r="C19" s="12"/>
      <c r="D19" s="12"/>
      <c r="E19" s="12"/>
      <c r="F19" s="12"/>
      <c r="G19" s="12"/>
      <c r="H19" s="12"/>
      <c r="I19" s="12"/>
      <c r="J19" s="13"/>
      <c r="K19" s="12"/>
      <c r="L19" s="13"/>
      <c r="M19" s="12"/>
      <c r="N19" s="12"/>
      <c r="O19" s="12"/>
      <c r="P19" s="13"/>
      <c r="Q19" s="12"/>
      <c r="R19" s="12"/>
      <c r="S19" s="12"/>
      <c r="T19" s="12"/>
      <c r="U19" s="12"/>
      <c r="V19" s="12"/>
      <c r="W19" s="12"/>
      <c r="X19" s="12"/>
      <c r="Y19" s="12"/>
      <c r="Z19" s="13"/>
    </row>
    <row r="20" spans="1:26">
      <c r="A20" s="12"/>
      <c r="B20" s="12"/>
      <c r="C20" s="12"/>
      <c r="D20" s="12"/>
      <c r="E20" s="12"/>
      <c r="F20" s="12"/>
      <c r="G20" s="12"/>
      <c r="H20" s="12"/>
      <c r="I20" s="12"/>
      <c r="J20" s="13"/>
      <c r="K20" s="12"/>
      <c r="L20" s="13"/>
      <c r="M20" s="12"/>
      <c r="N20" s="12"/>
      <c r="O20" s="12"/>
      <c r="P20" s="13"/>
      <c r="Q20" s="12"/>
      <c r="R20" s="12"/>
      <c r="S20" s="12"/>
      <c r="T20" s="12"/>
      <c r="U20" s="12"/>
      <c r="V20" s="12"/>
      <c r="W20" s="12"/>
      <c r="X20" s="12"/>
      <c r="Y20" s="12"/>
      <c r="Z20" s="13"/>
    </row>
    <row r="21" spans="1:26">
      <c r="A21" s="12"/>
      <c r="B21" s="12"/>
      <c r="C21" s="12"/>
      <c r="D21" s="12"/>
      <c r="E21" s="12"/>
      <c r="F21" s="12"/>
      <c r="G21" s="12"/>
      <c r="H21" s="12"/>
      <c r="I21" s="12"/>
      <c r="J21" s="13"/>
      <c r="K21" s="12"/>
      <c r="L21" s="13"/>
      <c r="M21" s="12"/>
      <c r="N21" s="12"/>
      <c r="O21" s="12"/>
      <c r="P21" s="13"/>
      <c r="Q21" s="12"/>
      <c r="R21" s="12"/>
      <c r="S21" s="12"/>
      <c r="T21" s="12"/>
      <c r="U21" s="12"/>
      <c r="V21" s="12"/>
      <c r="W21" s="12"/>
      <c r="X21" s="12"/>
      <c r="Y21" s="12"/>
      <c r="Z21" s="13"/>
    </row>
    <row r="22" spans="1:26">
      <c r="A22" s="12"/>
      <c r="B22" s="12"/>
      <c r="C22" s="12"/>
      <c r="D22" s="12"/>
      <c r="E22" s="12"/>
      <c r="F22" s="12"/>
      <c r="G22" s="12"/>
      <c r="H22" s="12"/>
      <c r="I22" s="12"/>
      <c r="J22" s="13"/>
      <c r="K22" s="12"/>
      <c r="L22" s="13"/>
      <c r="M22" s="12"/>
      <c r="N22" s="12"/>
      <c r="O22" s="12"/>
      <c r="P22" s="13"/>
      <c r="Q22" s="12"/>
      <c r="R22" s="12"/>
      <c r="S22" s="12"/>
      <c r="T22" s="12"/>
      <c r="U22" s="12"/>
      <c r="V22" s="12"/>
      <c r="W22" s="12"/>
      <c r="X22" s="12"/>
      <c r="Y22" s="12"/>
      <c r="Z22" s="13"/>
    </row>
    <row r="23" spans="1:26">
      <c r="A23" s="12"/>
      <c r="B23" s="12"/>
      <c r="C23" s="12"/>
      <c r="D23" s="12"/>
      <c r="E23" s="12"/>
      <c r="F23" s="12"/>
      <c r="G23" s="12"/>
      <c r="H23" s="12"/>
      <c r="I23" s="12"/>
      <c r="J23" s="13"/>
      <c r="K23" s="12"/>
      <c r="L23" s="13"/>
      <c r="M23" s="12"/>
      <c r="N23" s="12"/>
      <c r="O23" s="12"/>
      <c r="P23" s="13"/>
      <c r="Q23" s="12"/>
      <c r="R23" s="12"/>
      <c r="S23" s="12"/>
      <c r="T23" s="12"/>
      <c r="U23" s="12"/>
      <c r="V23" s="12"/>
      <c r="W23" s="12"/>
      <c r="X23" s="12"/>
      <c r="Y23" s="12"/>
      <c r="Z23" s="13"/>
    </row>
    <row r="24" spans="1:26">
      <c r="A24" s="12"/>
      <c r="B24" s="12"/>
      <c r="C24" s="12"/>
      <c r="D24" s="12"/>
      <c r="E24" s="12"/>
      <c r="F24" s="12"/>
      <c r="G24" s="12"/>
      <c r="H24" s="12"/>
      <c r="I24" s="12"/>
      <c r="J24" s="13"/>
      <c r="K24" s="12"/>
      <c r="L24" s="13"/>
      <c r="M24" s="12"/>
      <c r="N24" s="12"/>
      <c r="O24" s="12"/>
      <c r="P24" s="13"/>
      <c r="Q24" s="12"/>
      <c r="R24" s="12"/>
      <c r="S24" s="12"/>
      <c r="T24" s="12"/>
      <c r="U24" s="12"/>
      <c r="V24" s="12"/>
      <c r="W24" s="12"/>
      <c r="X24" s="12"/>
      <c r="Y24" s="12"/>
      <c r="Z24" s="13"/>
    </row>
    <row r="25" spans="1:26">
      <c r="A25" s="12"/>
      <c r="B25" s="12"/>
      <c r="C25" s="12"/>
      <c r="D25" s="12"/>
      <c r="E25" s="12"/>
      <c r="F25" s="12"/>
      <c r="G25" s="12"/>
      <c r="H25" s="12"/>
      <c r="I25" s="12"/>
      <c r="J25" s="13"/>
      <c r="K25" s="12"/>
      <c r="L25" s="13"/>
      <c r="M25" s="12"/>
      <c r="N25" s="12"/>
      <c r="O25" s="12"/>
      <c r="P25" s="13"/>
      <c r="Q25" s="12"/>
      <c r="R25" s="12"/>
      <c r="S25" s="12"/>
      <c r="T25" s="12"/>
      <c r="U25" s="12"/>
      <c r="V25" s="12"/>
      <c r="W25" s="12"/>
      <c r="X25" s="12"/>
      <c r="Y25" s="12"/>
      <c r="Z25" s="13"/>
    </row>
    <row r="26" spans="1:26">
      <c r="A26" s="12"/>
      <c r="B26" s="12"/>
      <c r="C26" s="12"/>
      <c r="D26" s="12"/>
      <c r="E26" s="12"/>
      <c r="F26" s="12"/>
      <c r="G26" s="12"/>
      <c r="H26" s="12"/>
      <c r="I26" s="12"/>
      <c r="J26" s="13"/>
      <c r="K26" s="12"/>
      <c r="L26" s="13"/>
      <c r="M26" s="12"/>
      <c r="N26" s="12"/>
      <c r="O26" s="12"/>
      <c r="P26" s="13"/>
      <c r="Q26" s="12"/>
      <c r="R26" s="12"/>
      <c r="S26" s="12"/>
      <c r="T26" s="12"/>
      <c r="U26" s="12"/>
      <c r="V26" s="12"/>
      <c r="W26" s="12"/>
      <c r="X26" s="12"/>
      <c r="Y26" s="12"/>
      <c r="Z26" s="13"/>
    </row>
    <row r="27" spans="1:26">
      <c r="A27" s="12"/>
      <c r="B27" s="12"/>
      <c r="C27" s="12"/>
      <c r="D27" s="12"/>
      <c r="E27" s="12"/>
      <c r="F27" s="12"/>
      <c r="G27" s="12"/>
      <c r="H27" s="12"/>
      <c r="I27" s="12"/>
      <c r="J27" s="13"/>
      <c r="K27" s="12"/>
      <c r="L27" s="13"/>
      <c r="M27" s="12"/>
      <c r="N27" s="12"/>
      <c r="O27" s="12"/>
      <c r="P27" s="13"/>
      <c r="Q27" s="12"/>
      <c r="R27" s="12"/>
      <c r="S27" s="12"/>
      <c r="T27" s="12"/>
      <c r="U27" s="12"/>
      <c r="V27" s="12"/>
      <c r="W27" s="12"/>
      <c r="X27" s="12"/>
      <c r="Y27" s="12"/>
      <c r="Z27" s="13"/>
    </row>
    <row r="28" spans="1:26">
      <c r="A28" s="12"/>
      <c r="B28" s="12"/>
      <c r="C28" s="12"/>
      <c r="D28" s="12"/>
      <c r="E28" s="12"/>
      <c r="F28" s="12"/>
      <c r="G28" s="12"/>
      <c r="H28" s="12"/>
      <c r="I28" s="12"/>
      <c r="J28" s="13"/>
      <c r="K28" s="12"/>
      <c r="L28" s="13"/>
      <c r="M28" s="12"/>
      <c r="N28" s="12"/>
      <c r="O28" s="12"/>
      <c r="P28" s="13"/>
      <c r="Q28" s="12"/>
      <c r="R28" s="12"/>
      <c r="S28" s="12"/>
      <c r="T28" s="12"/>
      <c r="U28" s="12"/>
      <c r="V28" s="12"/>
      <c r="W28" s="12"/>
      <c r="X28" s="12"/>
      <c r="Y28" s="12"/>
      <c r="Z28" s="13"/>
    </row>
    <row r="29" spans="1:26">
      <c r="A29" s="12"/>
      <c r="B29" s="12"/>
      <c r="C29" s="12"/>
      <c r="D29" s="12"/>
      <c r="E29" s="12"/>
      <c r="F29" s="12"/>
      <c r="G29" s="12"/>
      <c r="H29" s="12"/>
      <c r="I29" s="12"/>
      <c r="J29" s="13"/>
      <c r="K29" s="12"/>
      <c r="L29" s="13"/>
      <c r="M29" s="12"/>
      <c r="N29" s="12"/>
      <c r="O29" s="12"/>
      <c r="P29" s="13"/>
      <c r="Q29" s="12"/>
      <c r="R29" s="12"/>
      <c r="S29" s="12"/>
      <c r="T29" s="12"/>
      <c r="U29" s="12"/>
      <c r="V29" s="12"/>
      <c r="W29" s="12"/>
      <c r="X29" s="12"/>
      <c r="Y29" s="12"/>
      <c r="Z29" s="13"/>
    </row>
    <row r="30" spans="1:26">
      <c r="A30" s="12"/>
      <c r="B30" s="12"/>
      <c r="C30" s="12"/>
      <c r="D30" s="12"/>
      <c r="E30" s="12"/>
      <c r="F30" s="12"/>
      <c r="G30" s="12"/>
      <c r="H30" s="12"/>
      <c r="I30" s="12"/>
      <c r="J30" s="13"/>
      <c r="K30" s="12"/>
      <c r="L30" s="13"/>
      <c r="M30" s="12"/>
      <c r="N30" s="12"/>
      <c r="O30" s="12"/>
      <c r="P30" s="13"/>
      <c r="Q30" s="12"/>
      <c r="R30" s="12"/>
      <c r="S30" s="12"/>
      <c r="T30" s="12"/>
      <c r="U30" s="12"/>
      <c r="V30" s="12"/>
      <c r="W30" s="12"/>
      <c r="X30" s="12"/>
      <c r="Y30" s="12"/>
      <c r="Z30" s="13"/>
    </row>
    <row r="31" spans="1:26">
      <c r="A31" s="12"/>
      <c r="B31" s="12"/>
      <c r="C31" s="12"/>
      <c r="D31" s="12"/>
      <c r="E31" s="12"/>
      <c r="F31" s="12"/>
      <c r="G31" s="12"/>
      <c r="H31" s="12"/>
      <c r="I31" s="12"/>
      <c r="J31" s="13"/>
      <c r="K31" s="12"/>
      <c r="L31" s="13"/>
      <c r="M31" s="12"/>
      <c r="N31" s="12"/>
      <c r="O31" s="12"/>
      <c r="P31" s="13"/>
      <c r="Q31" s="12"/>
      <c r="R31" s="12"/>
      <c r="S31" s="12"/>
      <c r="T31" s="12"/>
      <c r="U31" s="12"/>
      <c r="V31" s="12"/>
      <c r="W31" s="12"/>
      <c r="X31" s="12"/>
      <c r="Y31" s="12"/>
      <c r="Z31" s="13"/>
    </row>
    <row r="32" spans="1:26">
      <c r="A32" s="12"/>
      <c r="B32" s="12"/>
      <c r="C32" s="12"/>
      <c r="D32" s="12"/>
      <c r="E32" s="12"/>
      <c r="F32" s="12"/>
      <c r="G32" s="12"/>
      <c r="H32" s="12"/>
      <c r="I32" s="12"/>
      <c r="J32" s="13"/>
      <c r="K32" s="12"/>
      <c r="L32" s="13"/>
      <c r="M32" s="12"/>
      <c r="N32" s="12"/>
      <c r="O32" s="12"/>
      <c r="P32" s="13"/>
      <c r="Q32" s="12"/>
      <c r="R32" s="12"/>
      <c r="S32" s="12"/>
      <c r="T32" s="12"/>
      <c r="U32" s="12"/>
      <c r="V32" s="12"/>
      <c r="W32" s="12"/>
      <c r="X32" s="12"/>
      <c r="Y32" s="12"/>
      <c r="Z32" s="13"/>
    </row>
    <row r="33" spans="1:26">
      <c r="A33" s="12"/>
      <c r="B33" s="12"/>
      <c r="C33" s="12"/>
      <c r="D33" s="12"/>
      <c r="E33" s="12"/>
      <c r="F33" s="12"/>
      <c r="G33" s="12"/>
      <c r="H33" s="12"/>
      <c r="I33" s="12"/>
      <c r="J33" s="13"/>
      <c r="K33" s="12"/>
      <c r="L33" s="13"/>
      <c r="M33" s="12"/>
      <c r="N33" s="12"/>
      <c r="O33" s="12"/>
      <c r="P33" s="13"/>
      <c r="Q33" s="12"/>
      <c r="R33" s="12"/>
      <c r="S33" s="12"/>
      <c r="T33" s="12"/>
      <c r="U33" s="12"/>
      <c r="V33" s="12"/>
      <c r="W33" s="12"/>
      <c r="X33" s="12"/>
      <c r="Y33" s="12"/>
      <c r="Z33" s="13"/>
    </row>
    <row r="34" spans="1:26">
      <c r="A34" s="12"/>
      <c r="B34" s="12"/>
      <c r="C34" s="12"/>
      <c r="D34" s="12"/>
      <c r="E34" s="12"/>
      <c r="F34" s="12"/>
      <c r="G34" s="12"/>
      <c r="H34" s="12"/>
      <c r="I34" s="12"/>
      <c r="J34" s="13"/>
      <c r="K34" s="12"/>
      <c r="L34" s="13"/>
      <c r="M34" s="12"/>
      <c r="N34" s="12"/>
      <c r="O34" s="12"/>
      <c r="P34" s="13"/>
      <c r="Q34" s="12"/>
      <c r="R34" s="12"/>
      <c r="S34" s="12"/>
      <c r="T34" s="12"/>
      <c r="U34" s="12"/>
      <c r="V34" s="12"/>
      <c r="W34" s="12"/>
      <c r="X34" s="12"/>
      <c r="Y34" s="12"/>
      <c r="Z34" s="13"/>
    </row>
    <row r="35" spans="1:26">
      <c r="A35" s="12"/>
      <c r="B35" s="12"/>
      <c r="C35" s="12"/>
      <c r="D35" s="12"/>
      <c r="E35" s="12"/>
      <c r="F35" s="12"/>
      <c r="G35" s="12"/>
      <c r="H35" s="12"/>
      <c r="I35" s="12"/>
      <c r="J35" s="13"/>
      <c r="K35" s="12"/>
      <c r="L35" s="13"/>
      <c r="M35" s="12"/>
      <c r="N35" s="12"/>
      <c r="O35" s="12"/>
      <c r="P35" s="13"/>
      <c r="Q35" s="12"/>
      <c r="R35" s="12"/>
      <c r="S35" s="12"/>
      <c r="T35" s="12"/>
      <c r="U35" s="12"/>
      <c r="V35" s="12"/>
      <c r="W35" s="12"/>
      <c r="X35" s="12"/>
      <c r="Y35" s="12"/>
      <c r="Z35" s="13"/>
    </row>
    <row r="36" spans="1:26">
      <c r="A36" s="12"/>
      <c r="B36" s="12"/>
      <c r="C36" s="12"/>
      <c r="D36" s="12"/>
      <c r="E36" s="12"/>
      <c r="F36" s="12"/>
      <c r="G36" s="12"/>
      <c r="H36" s="12"/>
      <c r="I36" s="12"/>
      <c r="J36" s="13"/>
      <c r="K36" s="12"/>
      <c r="L36" s="13"/>
      <c r="M36" s="12"/>
      <c r="N36" s="12"/>
      <c r="O36" s="12"/>
      <c r="P36" s="13"/>
      <c r="Q36" s="12"/>
      <c r="R36" s="12"/>
      <c r="S36" s="12"/>
      <c r="T36" s="12"/>
      <c r="U36" s="12"/>
      <c r="V36" s="12"/>
      <c r="W36" s="12"/>
      <c r="X36" s="12"/>
      <c r="Y36" s="12"/>
      <c r="Z36" s="13"/>
    </row>
    <row r="37" spans="1:26">
      <c r="A37" s="12"/>
      <c r="B37" s="12"/>
      <c r="C37" s="12"/>
      <c r="D37" s="12"/>
      <c r="E37" s="12"/>
      <c r="F37" s="12"/>
      <c r="G37" s="12"/>
      <c r="H37" s="12"/>
      <c r="I37" s="12"/>
      <c r="J37" s="13"/>
      <c r="K37" s="12"/>
      <c r="L37" s="13"/>
      <c r="M37" s="12"/>
      <c r="N37" s="12"/>
      <c r="O37" s="12"/>
      <c r="P37" s="13"/>
      <c r="Q37" s="12"/>
      <c r="R37" s="12"/>
      <c r="S37" s="12"/>
      <c r="T37" s="12"/>
      <c r="U37" s="12"/>
      <c r="V37" s="12"/>
      <c r="W37" s="12"/>
      <c r="X37" s="12"/>
      <c r="Y37" s="12"/>
      <c r="Z37" s="13"/>
    </row>
    <row r="38" spans="1:26">
      <c r="A38" s="12"/>
      <c r="B38" s="12"/>
      <c r="C38" s="12"/>
      <c r="D38" s="12"/>
      <c r="E38" s="12"/>
      <c r="F38" s="12"/>
      <c r="G38" s="12"/>
      <c r="H38" s="12"/>
      <c r="I38" s="12"/>
      <c r="J38" s="13"/>
      <c r="K38" s="12"/>
      <c r="L38" s="13"/>
      <c r="M38" s="12"/>
      <c r="N38" s="12"/>
      <c r="O38" s="12"/>
      <c r="P38" s="13"/>
      <c r="Q38" s="12"/>
      <c r="R38" s="12"/>
      <c r="S38" s="12"/>
      <c r="T38" s="12"/>
      <c r="U38" s="12"/>
      <c r="V38" s="12"/>
      <c r="W38" s="12"/>
      <c r="X38" s="12"/>
      <c r="Y38" s="12"/>
      <c r="Z38" s="13"/>
    </row>
    <row r="39" spans="1:26">
      <c r="A39" s="12"/>
      <c r="B39" s="12"/>
      <c r="C39" s="12"/>
      <c r="D39" s="12"/>
      <c r="E39" s="12"/>
      <c r="F39" s="12"/>
      <c r="G39" s="12"/>
      <c r="H39" s="12"/>
      <c r="I39" s="12"/>
      <c r="J39" s="13"/>
      <c r="K39" s="12"/>
      <c r="L39" s="13"/>
      <c r="M39" s="12"/>
      <c r="N39" s="12"/>
      <c r="O39" s="12"/>
      <c r="P39" s="13"/>
      <c r="Q39" s="12"/>
      <c r="R39" s="12"/>
      <c r="S39" s="12"/>
      <c r="T39" s="12"/>
      <c r="U39" s="12"/>
      <c r="V39" s="12"/>
      <c r="W39" s="12"/>
      <c r="X39" s="12"/>
      <c r="Y39" s="12"/>
      <c r="Z39" s="13"/>
    </row>
    <row r="40" spans="1:26">
      <c r="A40" s="12"/>
      <c r="B40" s="12"/>
      <c r="C40" s="12"/>
      <c r="D40" s="12"/>
      <c r="E40" s="12"/>
      <c r="F40" s="12"/>
      <c r="G40" s="12"/>
      <c r="H40" s="12"/>
      <c r="I40" s="12"/>
      <c r="J40" s="13"/>
      <c r="K40" s="12"/>
      <c r="L40" s="13"/>
      <c r="M40" s="12"/>
      <c r="N40" s="12"/>
      <c r="O40" s="12"/>
      <c r="P40" s="13"/>
      <c r="Q40" s="12"/>
      <c r="R40" s="12"/>
      <c r="S40" s="12"/>
      <c r="T40" s="12"/>
      <c r="U40" s="12"/>
      <c r="V40" s="12"/>
      <c r="W40" s="12"/>
      <c r="X40" s="12"/>
      <c r="Y40" s="12"/>
      <c r="Z40" s="13"/>
    </row>
    <row r="41" spans="1:26">
      <c r="A41" s="12"/>
      <c r="B41" s="12"/>
      <c r="C41" s="12"/>
      <c r="D41" s="12"/>
      <c r="E41" s="12"/>
      <c r="F41" s="12"/>
      <c r="G41" s="12"/>
      <c r="H41" s="12"/>
      <c r="I41" s="12"/>
      <c r="J41" s="13"/>
      <c r="K41" s="12"/>
      <c r="L41" s="13"/>
      <c r="M41" s="12"/>
      <c r="N41" s="12"/>
      <c r="O41" s="12"/>
      <c r="P41" s="13"/>
      <c r="Q41" s="12"/>
      <c r="R41" s="12"/>
      <c r="S41" s="12"/>
      <c r="T41" s="12"/>
      <c r="U41" s="12"/>
      <c r="V41" s="12"/>
      <c r="W41" s="12"/>
      <c r="X41" s="12"/>
      <c r="Y41" s="12"/>
      <c r="Z41" s="13"/>
    </row>
    <row r="42" spans="1:26">
      <c r="A42" s="12"/>
      <c r="B42" s="12"/>
      <c r="C42" s="12"/>
      <c r="D42" s="12"/>
      <c r="E42" s="12"/>
      <c r="F42" s="12"/>
      <c r="G42" s="12"/>
      <c r="H42" s="12"/>
      <c r="I42" s="12"/>
      <c r="J42" s="13"/>
      <c r="K42" s="12"/>
      <c r="L42" s="13"/>
      <c r="M42" s="12"/>
      <c r="N42" s="12"/>
      <c r="O42" s="12"/>
      <c r="P42" s="13"/>
      <c r="Q42" s="12"/>
      <c r="R42" s="12"/>
      <c r="S42" s="12"/>
      <c r="T42" s="12"/>
      <c r="U42" s="12"/>
      <c r="V42" s="12"/>
      <c r="W42" s="12"/>
      <c r="X42" s="12"/>
      <c r="Y42" s="12"/>
      <c r="Z42" s="13"/>
    </row>
    <row r="43" spans="1:26">
      <c r="A43" s="12"/>
      <c r="B43" s="12"/>
      <c r="C43" s="12"/>
      <c r="D43" s="12"/>
      <c r="E43" s="12"/>
      <c r="F43" s="12"/>
      <c r="G43" s="12"/>
      <c r="H43" s="12"/>
      <c r="I43" s="12"/>
      <c r="J43" s="13"/>
      <c r="K43" s="12"/>
      <c r="L43" s="13"/>
      <c r="M43" s="12"/>
      <c r="N43" s="12"/>
      <c r="O43" s="12"/>
      <c r="P43" s="13"/>
      <c r="Q43" s="12"/>
      <c r="R43" s="12"/>
      <c r="S43" s="12"/>
      <c r="T43" s="12"/>
      <c r="U43" s="12"/>
      <c r="V43" s="12"/>
      <c r="W43" s="12"/>
      <c r="X43" s="12"/>
      <c r="Y43" s="12"/>
      <c r="Z43" s="13"/>
    </row>
    <row r="44" spans="1:26">
      <c r="A44" s="12"/>
      <c r="B44" s="12"/>
      <c r="C44" s="12"/>
      <c r="D44" s="12"/>
      <c r="E44" s="12"/>
      <c r="F44" s="12"/>
      <c r="G44" s="12"/>
      <c r="H44" s="12"/>
      <c r="I44" s="12"/>
      <c r="J44" s="13"/>
      <c r="K44" s="12"/>
      <c r="L44" s="13"/>
      <c r="M44" s="12"/>
      <c r="N44" s="12"/>
      <c r="O44" s="12"/>
      <c r="P44" s="13"/>
      <c r="Q44" s="12"/>
      <c r="R44" s="12"/>
      <c r="S44" s="12"/>
      <c r="T44" s="12"/>
      <c r="U44" s="12"/>
      <c r="V44" s="12"/>
      <c r="W44" s="12"/>
      <c r="X44" s="12"/>
      <c r="Y44" s="12"/>
      <c r="Z44" s="13"/>
    </row>
    <row r="45" spans="1:26">
      <c r="A45" s="12"/>
      <c r="B45" s="12"/>
      <c r="C45" s="12"/>
      <c r="D45" s="12"/>
      <c r="E45" s="12"/>
      <c r="F45" s="12"/>
      <c r="G45" s="12"/>
      <c r="H45" s="12"/>
      <c r="I45" s="12"/>
      <c r="J45" s="13"/>
      <c r="K45" s="12"/>
      <c r="L45" s="13"/>
      <c r="M45" s="12"/>
      <c r="N45" s="12"/>
      <c r="O45" s="12"/>
      <c r="P45" s="13"/>
      <c r="Q45" s="12"/>
      <c r="R45" s="12"/>
      <c r="S45" s="12"/>
      <c r="T45" s="12"/>
      <c r="U45" s="12"/>
      <c r="V45" s="12"/>
      <c r="W45" s="12"/>
      <c r="X45" s="12"/>
      <c r="Y45" s="12"/>
      <c r="Z45" s="13"/>
    </row>
    <row r="46" spans="1:26">
      <c r="A46" s="12"/>
      <c r="B46" s="12"/>
      <c r="C46" s="12"/>
      <c r="D46" s="12"/>
      <c r="E46" s="12"/>
      <c r="F46" s="12"/>
      <c r="G46" s="12"/>
      <c r="H46" s="12"/>
      <c r="I46" s="12"/>
      <c r="J46" s="13"/>
      <c r="K46" s="12"/>
      <c r="L46" s="13"/>
      <c r="M46" s="12"/>
      <c r="N46" s="12"/>
      <c r="O46" s="12"/>
      <c r="P46" s="13"/>
      <c r="Q46" s="12"/>
      <c r="R46" s="12"/>
      <c r="S46" s="12"/>
      <c r="T46" s="12"/>
      <c r="U46" s="12"/>
      <c r="V46" s="12"/>
      <c r="W46" s="12"/>
      <c r="X46" s="12"/>
      <c r="Y46" s="12"/>
      <c r="Z46" s="13"/>
    </row>
    <row r="47" spans="1:26">
      <c r="A47" s="12"/>
      <c r="B47" s="12"/>
      <c r="C47" s="12"/>
      <c r="D47" s="12"/>
      <c r="E47" s="12"/>
      <c r="F47" s="12"/>
      <c r="G47" s="12"/>
      <c r="H47" s="12"/>
      <c r="I47" s="12"/>
      <c r="J47" s="13"/>
      <c r="K47" s="12"/>
      <c r="L47" s="13"/>
      <c r="M47" s="12"/>
      <c r="N47" s="12"/>
      <c r="O47" s="12"/>
      <c r="P47" s="13"/>
      <c r="Q47" s="12"/>
      <c r="R47" s="12"/>
      <c r="S47" s="12"/>
      <c r="T47" s="12"/>
      <c r="U47" s="12"/>
      <c r="V47" s="12"/>
      <c r="W47" s="12"/>
      <c r="X47" s="12"/>
      <c r="Y47" s="12"/>
      <c r="Z47" s="13"/>
    </row>
    <row r="48" spans="1:26">
      <c r="A48" s="12"/>
      <c r="B48" s="12"/>
      <c r="C48" s="12"/>
      <c r="D48" s="12"/>
      <c r="E48" s="12"/>
      <c r="F48" s="12"/>
      <c r="G48" s="12"/>
      <c r="H48" s="12"/>
      <c r="I48" s="12"/>
      <c r="J48" s="13"/>
      <c r="K48" s="12"/>
      <c r="L48" s="13"/>
      <c r="M48" s="12"/>
      <c r="N48" s="12"/>
      <c r="O48" s="12"/>
      <c r="P48" s="13"/>
      <c r="Q48" s="12"/>
      <c r="R48" s="12"/>
      <c r="S48" s="12"/>
      <c r="T48" s="12"/>
      <c r="U48" s="12"/>
      <c r="V48" s="12"/>
      <c r="W48" s="12"/>
      <c r="X48" s="12"/>
      <c r="Y48" s="12"/>
      <c r="Z48" s="13"/>
    </row>
    <row r="49" spans="1:26">
      <c r="A49" s="12"/>
      <c r="B49" s="12"/>
      <c r="C49" s="12"/>
      <c r="D49" s="12"/>
      <c r="E49" s="12"/>
      <c r="F49" s="12"/>
      <c r="G49" s="12"/>
      <c r="H49" s="12"/>
      <c r="I49" s="12"/>
      <c r="J49" s="13"/>
      <c r="K49" s="12"/>
      <c r="L49" s="13"/>
      <c r="M49" s="12"/>
      <c r="N49" s="12"/>
      <c r="O49" s="12"/>
      <c r="P49" s="13"/>
      <c r="Q49" s="12"/>
      <c r="R49" s="12"/>
      <c r="S49" s="12"/>
      <c r="T49" s="12"/>
      <c r="U49" s="12"/>
      <c r="V49" s="12"/>
      <c r="W49" s="12"/>
      <c r="X49" s="12"/>
      <c r="Y49" s="12"/>
      <c r="Z49" s="13"/>
    </row>
    <row r="50" spans="1:26">
      <c r="A50" s="12"/>
      <c r="B50" s="12"/>
      <c r="C50" s="12"/>
      <c r="D50" s="12"/>
      <c r="E50" s="12"/>
      <c r="F50" s="12"/>
      <c r="G50" s="12"/>
      <c r="H50" s="12"/>
      <c r="I50" s="12"/>
      <c r="J50" s="13"/>
      <c r="K50" s="12"/>
      <c r="L50" s="13"/>
      <c r="M50" s="12"/>
      <c r="N50" s="12"/>
      <c r="O50" s="12"/>
      <c r="P50" s="13"/>
      <c r="Q50" s="12"/>
      <c r="R50" s="12"/>
      <c r="S50" s="12"/>
      <c r="T50" s="12"/>
      <c r="U50" s="12"/>
      <c r="V50" s="12"/>
      <c r="W50" s="12"/>
      <c r="X50" s="12"/>
      <c r="Y50" s="12"/>
      <c r="Z50" s="13"/>
    </row>
    <row r="51" spans="1:26">
      <c r="A51" s="12"/>
      <c r="B51" s="12"/>
      <c r="C51" s="12"/>
      <c r="D51" s="12"/>
      <c r="E51" s="12"/>
      <c r="F51" s="12"/>
      <c r="G51" s="12"/>
      <c r="H51" s="12"/>
      <c r="I51" s="12"/>
      <c r="J51" s="13"/>
      <c r="K51" s="12"/>
      <c r="L51" s="13"/>
      <c r="M51" s="12"/>
      <c r="N51" s="12"/>
      <c r="O51" s="12"/>
      <c r="P51" s="13"/>
      <c r="Q51" s="12"/>
      <c r="R51" s="12"/>
      <c r="S51" s="12"/>
      <c r="T51" s="12"/>
      <c r="U51" s="12"/>
      <c r="V51" s="12"/>
      <c r="W51" s="12"/>
      <c r="X51" s="12"/>
      <c r="Y51" s="12"/>
      <c r="Z51" s="13"/>
    </row>
    <row r="52" spans="1:26">
      <c r="A52" s="12"/>
      <c r="B52" s="12"/>
      <c r="C52" s="12"/>
      <c r="D52" s="12"/>
      <c r="E52" s="12"/>
      <c r="F52" s="12"/>
      <c r="G52" s="12"/>
      <c r="H52" s="12"/>
      <c r="I52" s="12"/>
      <c r="J52" s="13"/>
      <c r="K52" s="12"/>
      <c r="L52" s="13"/>
      <c r="M52" s="12"/>
      <c r="N52" s="12"/>
      <c r="O52" s="12"/>
      <c r="P52" s="13"/>
      <c r="Q52" s="12"/>
      <c r="R52" s="12"/>
      <c r="S52" s="12"/>
      <c r="T52" s="12"/>
      <c r="U52" s="12"/>
      <c r="V52" s="12"/>
      <c r="W52" s="12"/>
      <c r="X52" s="12"/>
      <c r="Y52" s="12"/>
      <c r="Z52" s="13"/>
    </row>
    <row r="53" spans="1:26">
      <c r="A53" s="12"/>
      <c r="B53" s="12"/>
      <c r="C53" s="12"/>
      <c r="D53" s="12"/>
      <c r="E53" s="12"/>
      <c r="F53" s="12"/>
      <c r="G53" s="12"/>
      <c r="H53" s="12"/>
      <c r="I53" s="12"/>
      <c r="J53" s="13"/>
      <c r="K53" s="12"/>
      <c r="L53" s="13"/>
      <c r="M53" s="12"/>
      <c r="N53" s="12"/>
      <c r="O53" s="12"/>
      <c r="P53" s="13"/>
      <c r="Q53" s="12"/>
      <c r="R53" s="12"/>
      <c r="S53" s="12"/>
      <c r="T53" s="12"/>
      <c r="U53" s="12"/>
      <c r="V53" s="12"/>
      <c r="W53" s="12"/>
      <c r="X53" s="12"/>
      <c r="Y53" s="12"/>
      <c r="Z53" s="13"/>
    </row>
    <row r="54" spans="1:26">
      <c r="A54" s="12"/>
      <c r="B54" s="12"/>
      <c r="C54" s="12"/>
      <c r="D54" s="12"/>
      <c r="E54" s="12"/>
      <c r="F54" s="12"/>
      <c r="G54" s="12"/>
      <c r="H54" s="12"/>
      <c r="I54" s="12"/>
      <c r="J54" s="13"/>
      <c r="K54" s="12"/>
      <c r="L54" s="13"/>
      <c r="M54" s="12"/>
      <c r="N54" s="12"/>
      <c r="O54" s="12"/>
      <c r="P54" s="13"/>
      <c r="Q54" s="12"/>
      <c r="R54" s="12"/>
      <c r="S54" s="12"/>
      <c r="T54" s="12"/>
      <c r="U54" s="12"/>
      <c r="V54" s="12"/>
      <c r="W54" s="12"/>
      <c r="X54" s="12"/>
      <c r="Y54" s="12"/>
      <c r="Z54" s="13"/>
    </row>
    <row r="55" spans="1:26">
      <c r="A55" s="12"/>
      <c r="B55" s="12"/>
      <c r="C55" s="12"/>
      <c r="D55" s="12"/>
      <c r="E55" s="12"/>
      <c r="F55" s="12"/>
      <c r="G55" s="12"/>
      <c r="H55" s="12"/>
      <c r="I55" s="12"/>
      <c r="J55" s="13"/>
      <c r="K55" s="12"/>
      <c r="L55" s="13"/>
      <c r="M55" s="12"/>
      <c r="N55" s="12"/>
      <c r="O55" s="12"/>
      <c r="P55" s="13"/>
      <c r="Q55" s="12"/>
      <c r="R55" s="12"/>
      <c r="S55" s="12"/>
      <c r="T55" s="12"/>
      <c r="U55" s="12"/>
      <c r="V55" s="12"/>
      <c r="W55" s="12"/>
      <c r="X55" s="12"/>
      <c r="Y55" s="12"/>
      <c r="Z55" s="13"/>
    </row>
    <row r="56" spans="1:26">
      <c r="A56" s="12"/>
      <c r="B56" s="12"/>
      <c r="C56" s="12"/>
      <c r="D56" s="12"/>
      <c r="E56" s="12"/>
      <c r="F56" s="12"/>
      <c r="G56" s="12"/>
      <c r="H56" s="12"/>
      <c r="I56" s="12"/>
      <c r="J56" s="13"/>
      <c r="K56" s="12"/>
      <c r="L56" s="13"/>
      <c r="M56" s="12"/>
      <c r="N56" s="12"/>
      <c r="O56" s="12"/>
      <c r="P56" s="13"/>
      <c r="Q56" s="12"/>
      <c r="R56" s="12"/>
      <c r="S56" s="12"/>
      <c r="T56" s="12"/>
      <c r="U56" s="12"/>
      <c r="V56" s="12"/>
      <c r="W56" s="12"/>
      <c r="X56" s="12"/>
      <c r="Y56" s="12"/>
      <c r="Z56" s="13"/>
    </row>
    <row r="57" spans="1:26">
      <c r="A57" s="12"/>
      <c r="B57" s="12"/>
      <c r="C57" s="12"/>
      <c r="D57" s="12"/>
      <c r="E57" s="12"/>
      <c r="F57" s="12"/>
      <c r="G57" s="12"/>
      <c r="H57" s="12"/>
      <c r="I57" s="12"/>
      <c r="J57" s="13"/>
      <c r="K57" s="12"/>
      <c r="L57" s="13"/>
      <c r="M57" s="12"/>
      <c r="N57" s="12"/>
      <c r="O57" s="12"/>
      <c r="P57" s="13"/>
      <c r="Q57" s="12"/>
      <c r="R57" s="12"/>
      <c r="S57" s="12"/>
      <c r="T57" s="12"/>
      <c r="U57" s="12"/>
      <c r="V57" s="12"/>
      <c r="W57" s="12"/>
      <c r="X57" s="12"/>
      <c r="Y57" s="12"/>
      <c r="Z57" s="13"/>
    </row>
    <row r="58" spans="1:26">
      <c r="A58" s="12"/>
      <c r="B58" s="12"/>
      <c r="C58" s="12"/>
      <c r="D58" s="12"/>
      <c r="E58" s="12"/>
      <c r="F58" s="12"/>
      <c r="G58" s="12"/>
      <c r="H58" s="12"/>
      <c r="I58" s="12"/>
      <c r="J58" s="13"/>
      <c r="K58" s="12"/>
      <c r="L58" s="13"/>
      <c r="M58" s="12"/>
      <c r="N58" s="12"/>
      <c r="O58" s="12"/>
      <c r="P58" s="13"/>
      <c r="Q58" s="12"/>
      <c r="R58" s="12"/>
      <c r="S58" s="12"/>
      <c r="T58" s="12"/>
      <c r="U58" s="12"/>
      <c r="V58" s="12"/>
      <c r="W58" s="12"/>
      <c r="X58" s="12"/>
      <c r="Y58" s="12"/>
      <c r="Z58" s="13"/>
    </row>
    <row r="59" spans="1:26">
      <c r="A59" s="12"/>
      <c r="B59" s="12"/>
      <c r="C59" s="12"/>
      <c r="D59" s="12"/>
      <c r="E59" s="12"/>
      <c r="F59" s="12"/>
      <c r="G59" s="12"/>
      <c r="H59" s="12"/>
      <c r="I59" s="12"/>
      <c r="J59" s="13"/>
      <c r="K59" s="12"/>
      <c r="L59" s="13"/>
      <c r="M59" s="12"/>
      <c r="N59" s="12"/>
      <c r="O59" s="12"/>
      <c r="P59" s="13"/>
      <c r="Q59" s="12"/>
      <c r="R59" s="12"/>
      <c r="S59" s="12"/>
      <c r="T59" s="12"/>
      <c r="U59" s="12"/>
      <c r="V59" s="12"/>
      <c r="W59" s="12"/>
      <c r="X59" s="12"/>
      <c r="Y59" s="12"/>
      <c r="Z59" s="13"/>
    </row>
    <row r="60" spans="1:26">
      <c r="A60" s="12"/>
      <c r="B60" s="12"/>
      <c r="C60" s="12"/>
      <c r="D60" s="12"/>
      <c r="E60" s="12"/>
      <c r="F60" s="12"/>
      <c r="G60" s="12"/>
      <c r="H60" s="12"/>
      <c r="I60" s="12"/>
      <c r="J60" s="13"/>
      <c r="K60" s="12"/>
      <c r="L60" s="13"/>
      <c r="M60" s="12"/>
      <c r="N60" s="12"/>
      <c r="O60" s="12"/>
      <c r="P60" s="13"/>
      <c r="Q60" s="12"/>
      <c r="R60" s="12"/>
      <c r="S60" s="12"/>
      <c r="T60" s="12"/>
      <c r="U60" s="12"/>
      <c r="V60" s="12"/>
      <c r="W60" s="12"/>
      <c r="X60" s="12"/>
      <c r="Y60" s="12"/>
      <c r="Z60" s="13"/>
    </row>
    <row r="61" spans="1:26">
      <c r="A61" s="12"/>
      <c r="B61" s="12"/>
      <c r="C61" s="12"/>
      <c r="D61" s="12"/>
      <c r="E61" s="12"/>
      <c r="F61" s="12"/>
      <c r="G61" s="12"/>
      <c r="H61" s="12"/>
      <c r="I61" s="12"/>
      <c r="J61" s="13"/>
      <c r="K61" s="12"/>
      <c r="L61" s="13"/>
      <c r="M61" s="12"/>
      <c r="N61" s="12"/>
      <c r="O61" s="12"/>
      <c r="P61" s="13"/>
      <c r="Q61" s="12"/>
      <c r="R61" s="12"/>
      <c r="S61" s="12"/>
      <c r="T61" s="12"/>
      <c r="U61" s="12"/>
      <c r="V61" s="12"/>
      <c r="W61" s="12"/>
      <c r="X61" s="12"/>
      <c r="Y61" s="12"/>
      <c r="Z61" s="13"/>
    </row>
    <row r="62" spans="1:26">
      <c r="A62" s="12"/>
      <c r="B62" s="12"/>
      <c r="C62" s="12"/>
      <c r="D62" s="12"/>
      <c r="E62" s="12"/>
      <c r="F62" s="12"/>
      <c r="G62" s="12"/>
      <c r="H62" s="12"/>
      <c r="I62" s="12"/>
      <c r="J62" s="13"/>
      <c r="K62" s="12"/>
      <c r="L62" s="13"/>
      <c r="M62" s="12"/>
      <c r="N62" s="12"/>
      <c r="O62" s="12"/>
      <c r="P62" s="13"/>
      <c r="Q62" s="12"/>
      <c r="R62" s="12"/>
      <c r="S62" s="12"/>
      <c r="T62" s="12"/>
      <c r="U62" s="12"/>
      <c r="V62" s="12"/>
      <c r="W62" s="12"/>
      <c r="X62" s="12"/>
      <c r="Y62" s="12"/>
      <c r="Z62" s="13"/>
    </row>
    <row r="63" spans="1:26">
      <c r="A63" s="12"/>
      <c r="B63" s="12"/>
      <c r="C63" s="12"/>
      <c r="D63" s="12"/>
      <c r="E63" s="12"/>
      <c r="F63" s="12"/>
      <c r="G63" s="12"/>
      <c r="H63" s="12"/>
      <c r="I63" s="12"/>
      <c r="J63" s="13"/>
      <c r="K63" s="12"/>
      <c r="L63" s="13"/>
      <c r="M63" s="12"/>
      <c r="N63" s="12"/>
      <c r="O63" s="12"/>
      <c r="P63" s="13"/>
      <c r="Q63" s="12"/>
      <c r="R63" s="12"/>
      <c r="S63" s="12"/>
      <c r="T63" s="12"/>
      <c r="U63" s="12"/>
      <c r="V63" s="12"/>
      <c r="W63" s="12"/>
      <c r="X63" s="12"/>
      <c r="Y63" s="12"/>
      <c r="Z63" s="13"/>
    </row>
    <row r="64" spans="1:26">
      <c r="A64" s="12"/>
      <c r="B64" s="12"/>
      <c r="C64" s="12"/>
      <c r="D64" s="12"/>
      <c r="E64" s="12"/>
      <c r="F64" s="12"/>
      <c r="G64" s="12"/>
      <c r="H64" s="12"/>
      <c r="I64" s="12"/>
      <c r="J64" s="13"/>
      <c r="K64" s="12"/>
      <c r="L64" s="13"/>
      <c r="M64" s="12"/>
      <c r="N64" s="12"/>
      <c r="O64" s="12"/>
      <c r="P64" s="13"/>
      <c r="Q64" s="12"/>
      <c r="R64" s="12"/>
      <c r="S64" s="12"/>
      <c r="T64" s="12"/>
      <c r="U64" s="12"/>
      <c r="V64" s="12"/>
      <c r="W64" s="12"/>
      <c r="X64" s="12"/>
      <c r="Y64" s="12"/>
      <c r="Z64" s="13"/>
    </row>
    <row r="65" spans="1:26">
      <c r="A65" s="12"/>
      <c r="B65" s="12"/>
      <c r="C65" s="12"/>
      <c r="D65" s="12"/>
      <c r="E65" s="12"/>
      <c r="F65" s="12"/>
      <c r="G65" s="12"/>
      <c r="H65" s="12"/>
      <c r="I65" s="12"/>
      <c r="J65" s="13"/>
      <c r="K65" s="12"/>
      <c r="L65" s="13"/>
      <c r="M65" s="12"/>
      <c r="N65" s="12"/>
      <c r="O65" s="12"/>
      <c r="P65" s="13"/>
      <c r="Q65" s="12"/>
      <c r="R65" s="12"/>
      <c r="S65" s="12"/>
      <c r="T65" s="12"/>
      <c r="U65" s="12"/>
      <c r="V65" s="12"/>
      <c r="W65" s="12"/>
      <c r="X65" s="12"/>
      <c r="Y65" s="12"/>
      <c r="Z65" s="13"/>
    </row>
    <row r="66" spans="1:26">
      <c r="A66" s="12"/>
      <c r="B66" s="12"/>
      <c r="C66" s="12"/>
      <c r="D66" s="12"/>
      <c r="E66" s="12"/>
      <c r="F66" s="12"/>
      <c r="G66" s="12"/>
      <c r="H66" s="12"/>
      <c r="I66" s="12"/>
      <c r="J66" s="13"/>
      <c r="K66" s="12"/>
      <c r="L66" s="13"/>
      <c r="M66" s="12"/>
      <c r="N66" s="12"/>
      <c r="O66" s="12"/>
      <c r="P66" s="13"/>
      <c r="Q66" s="12"/>
      <c r="R66" s="12"/>
      <c r="S66" s="12"/>
      <c r="T66" s="12"/>
      <c r="U66" s="12"/>
      <c r="V66" s="12"/>
      <c r="W66" s="12"/>
      <c r="X66" s="12"/>
      <c r="Y66" s="12"/>
      <c r="Z66" s="13"/>
    </row>
    <row r="67" spans="1:26">
      <c r="A67" s="12"/>
      <c r="B67" s="12"/>
      <c r="C67" s="12"/>
      <c r="D67" s="12"/>
      <c r="E67" s="12"/>
      <c r="F67" s="12"/>
      <c r="G67" s="12"/>
      <c r="H67" s="12"/>
      <c r="I67" s="12"/>
      <c r="J67" s="13"/>
      <c r="K67" s="12"/>
      <c r="L67" s="13"/>
      <c r="M67" s="12"/>
      <c r="N67" s="12"/>
      <c r="O67" s="12"/>
      <c r="P67" s="13"/>
      <c r="Q67" s="12"/>
      <c r="R67" s="12"/>
      <c r="S67" s="12"/>
      <c r="T67" s="12"/>
      <c r="U67" s="12"/>
      <c r="V67" s="12"/>
      <c r="W67" s="12"/>
      <c r="X67" s="12"/>
      <c r="Y67" s="12"/>
      <c r="Z67" s="13"/>
    </row>
    <row r="68" spans="1:26">
      <c r="A68" s="12"/>
      <c r="B68" s="12"/>
      <c r="C68" s="12"/>
      <c r="D68" s="12"/>
      <c r="E68" s="12"/>
      <c r="F68" s="12"/>
      <c r="G68" s="12"/>
      <c r="H68" s="12"/>
      <c r="I68" s="12"/>
      <c r="J68" s="13"/>
      <c r="K68" s="12"/>
      <c r="L68" s="13"/>
      <c r="M68" s="12"/>
      <c r="N68" s="12"/>
      <c r="O68" s="12"/>
      <c r="P68" s="13"/>
      <c r="Q68" s="12"/>
      <c r="R68" s="12"/>
      <c r="S68" s="12"/>
      <c r="T68" s="12"/>
      <c r="U68" s="12"/>
      <c r="V68" s="12"/>
      <c r="W68" s="12"/>
      <c r="X68" s="12"/>
      <c r="Y68" s="12"/>
      <c r="Z68" s="13"/>
    </row>
    <row r="69" spans="1:26">
      <c r="D69" s="3"/>
      <c r="J69" s="3"/>
    </row>
    <row r="70" spans="1:26">
      <c r="D70" s="3"/>
      <c r="J70" s="3"/>
    </row>
    <row r="71" spans="1:26">
      <c r="D71" s="3"/>
      <c r="J71" s="3"/>
    </row>
    <row r="72" spans="1:26">
      <c r="D72" s="3"/>
      <c r="J72" s="3"/>
    </row>
    <row r="73" spans="1:26">
      <c r="D73" s="3"/>
      <c r="J73" s="3"/>
    </row>
    <row r="74" spans="1:26">
      <c r="D74" s="3"/>
      <c r="J74" s="3"/>
    </row>
    <row r="75" spans="1:26">
      <c r="D75" s="3"/>
      <c r="J75" s="3"/>
    </row>
    <row r="76" spans="1:26">
      <c r="D76" s="3"/>
      <c r="J76" s="3"/>
    </row>
    <row r="77" spans="1:26">
      <c r="D77" s="3"/>
      <c r="J77" s="3"/>
    </row>
    <row r="78" spans="1:26">
      <c r="D78" s="3"/>
      <c r="J78" s="3"/>
    </row>
  </sheetData>
  <sortState xmlns:xlrd2="http://schemas.microsoft.com/office/spreadsheetml/2017/richdata2" ref="A3:Z4">
    <sortCondition ref="H2:H4"/>
  </sortState>
  <mergeCells count="4">
    <mergeCell ref="P1:T1"/>
    <mergeCell ref="A1:H1"/>
    <mergeCell ref="I1:O1"/>
    <mergeCell ref="U1:Z1"/>
  </mergeCells>
  <conditionalFormatting sqref="L3:L68">
    <cfRule type="cellIs" dxfId="3" priority="1" operator="equal">
      <formula>"Inaceptable"</formula>
    </cfRule>
    <cfRule type="cellIs" dxfId="2" priority="2" operator="equal">
      <formula>"Peligroso"</formula>
    </cfRule>
    <cfRule type="cellIs" dxfId="1" priority="3" operator="equal">
      <formula>"Tolerable"</formula>
    </cfRule>
    <cfRule type="cellIs" dxfId="0" priority="4" operator="equal">
      <formula>"Aceptable"</formula>
    </cfRule>
  </conditionalFormatting>
  <dataValidations count="1">
    <dataValidation type="list" allowBlank="1" showInputMessage="1" showErrorMessage="1" sqref="E3:E68" xr:uid="{3E12C68E-3AF8-47B4-BC0D-E46DFA7A5CB9}">
      <formula1>INDIRECT(D3)</formula1>
    </dataValidation>
  </dataValidations>
  <pageMargins left="0.7" right="0.7" top="0.75" bottom="0.75" header="0.3" footer="0.3"/>
  <pageSetup paperSize="9" scale="18" orientation="landscape"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99D23107-7E63-4F9B-9B15-996E37ADC29B}">
          <x14:formula1>
            <xm:f>Listas!$B$4:$B$6</xm:f>
          </x14:formula1>
          <xm:sqref>C3:C68</xm:sqref>
        </x14:dataValidation>
        <x14:dataValidation type="list" allowBlank="1" showInputMessage="1" showErrorMessage="1" xr:uid="{B3B4484E-C6F7-4B5A-A7D2-AB013A1472DF}">
          <x14:formula1>
            <xm:f>Listas!$D$4:$D$7</xm:f>
          </x14:formula1>
          <xm:sqref>D3:D68</xm:sqref>
        </x14:dataValidation>
        <x14:dataValidation type="list" allowBlank="1" showInputMessage="1" showErrorMessage="1" xr:uid="{500D622D-87DE-47FC-A869-F45FBD3E7E23}">
          <x14:formula1>
            <xm:f>Listas!#REF!</xm:f>
          </x14:formula1>
          <xm:sqref>Z4:Z68</xm:sqref>
        </x14:dataValidation>
        <x14:dataValidation type="list" allowBlank="1" showInputMessage="1" showErrorMessage="1" xr:uid="{451C8375-1F8D-4A23-AE2A-DC38448A9E64}">
          <x14:formula1>
            <xm:f>Listas!$M$4:$M$8</xm:f>
          </x14:formula1>
          <xm:sqref>Z3</xm:sqref>
        </x14:dataValidation>
        <x14:dataValidation type="list" allowBlank="1" showInputMessage="1" showErrorMessage="1" xr:uid="{46091026-4AF0-4EAB-8E0A-A0ABDF2AB9FB}">
          <x14:formula1>
            <xm:f>Listas!$K$4:$K$7</xm:f>
          </x14:formula1>
          <xm:sqref>M3:M68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A4A3-6D27-47B0-8219-5FF8E6F6B99A}">
  <sheetPr codeName="Hoja6">
    <pageSetUpPr fitToPage="1"/>
  </sheetPr>
  <dimension ref="B1:R44"/>
  <sheetViews>
    <sheetView showGridLines="0" zoomScaleNormal="100" workbookViewId="0">
      <selection activeCell="B6" sqref="B6"/>
    </sheetView>
  </sheetViews>
  <sheetFormatPr defaultColWidth="11.5703125" defaultRowHeight="15"/>
  <cols>
    <col min="2" max="2" width="18.85546875" customWidth="1"/>
    <col min="3" max="3" width="15.28515625" customWidth="1"/>
    <col min="4" max="4" width="27" customWidth="1"/>
    <col min="5" max="6" width="40.5703125" customWidth="1"/>
    <col min="7" max="7" width="43.7109375" customWidth="1"/>
    <col min="8" max="11" width="20.85546875" customWidth="1"/>
    <col min="12" max="12" width="17" customWidth="1"/>
    <col min="13" max="13" width="33" customWidth="1"/>
    <col min="14" max="14" width="43.85546875" customWidth="1"/>
    <col min="15" max="15" width="32.42578125" customWidth="1"/>
    <col min="16" max="16" width="31.140625" customWidth="1"/>
    <col min="17" max="17" width="12.85546875" bestFit="1" customWidth="1"/>
    <col min="18" max="18" width="53.140625" customWidth="1"/>
  </cols>
  <sheetData>
    <row r="1" spans="2:18" ht="26.65" customHeight="1">
      <c r="B1" s="105" t="s">
        <v>118</v>
      </c>
      <c r="C1" s="106"/>
      <c r="D1" s="106"/>
      <c r="E1" s="107"/>
      <c r="F1" s="105" t="s">
        <v>119</v>
      </c>
      <c r="G1" s="106"/>
      <c r="H1" s="106"/>
      <c r="I1" s="106"/>
      <c r="J1" s="106"/>
      <c r="K1" s="106"/>
      <c r="L1" s="106"/>
      <c r="M1" s="104" t="s">
        <v>120</v>
      </c>
      <c r="N1" s="104"/>
      <c r="O1" s="104"/>
      <c r="P1" s="104"/>
      <c r="Q1" s="104" t="s">
        <v>121</v>
      </c>
      <c r="R1" s="104"/>
    </row>
    <row r="2" spans="2:18" ht="31.5">
      <c r="B2" s="32" t="s">
        <v>42</v>
      </c>
      <c r="C2" s="31" t="s">
        <v>122</v>
      </c>
      <c r="D2" s="31" t="s">
        <v>123</v>
      </c>
      <c r="E2" s="31" t="s">
        <v>4</v>
      </c>
      <c r="F2" s="31" t="s">
        <v>44</v>
      </c>
      <c r="G2" s="32" t="s">
        <v>124</v>
      </c>
      <c r="H2" s="32" t="s">
        <v>125</v>
      </c>
      <c r="I2" s="32" t="s">
        <v>126</v>
      </c>
      <c r="J2" s="32" t="s">
        <v>127</v>
      </c>
      <c r="K2" s="32" t="s">
        <v>30</v>
      </c>
      <c r="L2" s="32" t="s">
        <v>110</v>
      </c>
      <c r="M2" s="32" t="s">
        <v>128</v>
      </c>
      <c r="N2" s="32" t="s">
        <v>54</v>
      </c>
      <c r="O2" s="32" t="s">
        <v>57</v>
      </c>
      <c r="P2" s="32" t="s">
        <v>129</v>
      </c>
      <c r="Q2" s="32" t="s">
        <v>61</v>
      </c>
      <c r="R2" s="32" t="s">
        <v>130</v>
      </c>
    </row>
    <row r="3" spans="2:18" ht="60">
      <c r="B3" s="68" t="s">
        <v>131</v>
      </c>
      <c r="C3" s="68"/>
      <c r="D3" s="68" t="s">
        <v>132</v>
      </c>
      <c r="E3" s="68" t="s">
        <v>133</v>
      </c>
      <c r="F3" s="68" t="s">
        <v>134</v>
      </c>
      <c r="G3" s="69" t="s">
        <v>135</v>
      </c>
      <c r="H3" s="70">
        <v>10000</v>
      </c>
      <c r="I3" s="70">
        <v>50000</v>
      </c>
      <c r="J3" s="68">
        <f>(I3-H3)/H3</f>
        <v>4</v>
      </c>
      <c r="K3" s="68" t="s">
        <v>31</v>
      </c>
      <c r="L3" s="68" t="s">
        <v>136</v>
      </c>
      <c r="M3" s="69" t="s">
        <v>137</v>
      </c>
      <c r="N3" s="69" t="s">
        <v>138</v>
      </c>
      <c r="O3" s="68" t="s">
        <v>139</v>
      </c>
      <c r="P3" s="68" t="s">
        <v>140</v>
      </c>
      <c r="Q3" s="13" t="s">
        <v>141</v>
      </c>
      <c r="R3" s="68" t="s">
        <v>142</v>
      </c>
    </row>
    <row r="4" spans="2:18" ht="103.15" customHeight="1">
      <c r="B4" s="72">
        <v>45833</v>
      </c>
      <c r="C4" s="68" t="s">
        <v>143</v>
      </c>
      <c r="D4" s="68" t="s">
        <v>144</v>
      </c>
      <c r="E4" s="68" t="s">
        <v>145</v>
      </c>
      <c r="F4" s="68" t="s">
        <v>88</v>
      </c>
      <c r="G4" s="69" t="s">
        <v>146</v>
      </c>
      <c r="H4" s="70">
        <v>3000</v>
      </c>
      <c r="I4" s="70">
        <v>8000</v>
      </c>
      <c r="J4" s="68">
        <f>(I4-H4)/H4</f>
        <v>1.6666666666666667</v>
      </c>
      <c r="K4" s="68" t="s">
        <v>33</v>
      </c>
      <c r="L4" s="68" t="s">
        <v>136</v>
      </c>
      <c r="M4" s="71" t="s">
        <v>147</v>
      </c>
      <c r="N4" s="69" t="s">
        <v>148</v>
      </c>
      <c r="O4" s="68" t="s">
        <v>149</v>
      </c>
      <c r="P4" s="68" t="s">
        <v>150</v>
      </c>
      <c r="Q4" s="13" t="s">
        <v>151</v>
      </c>
      <c r="R4" s="13"/>
    </row>
    <row r="5" spans="2:18" ht="113.65" customHeight="1">
      <c r="B5" s="72">
        <v>45879</v>
      </c>
      <c r="C5" s="68" t="s">
        <v>152</v>
      </c>
      <c r="D5" s="68" t="s">
        <v>153</v>
      </c>
      <c r="E5" s="68" t="s">
        <v>154</v>
      </c>
      <c r="F5" s="68" t="s">
        <v>88</v>
      </c>
      <c r="G5" s="69" t="s">
        <v>155</v>
      </c>
      <c r="H5" s="70">
        <v>20000</v>
      </c>
      <c r="I5" s="70">
        <v>90000</v>
      </c>
      <c r="J5" s="68">
        <f>(I5-H5)/H5</f>
        <v>3.5</v>
      </c>
      <c r="K5" s="68" t="s">
        <v>31</v>
      </c>
      <c r="L5" s="68" t="s">
        <v>136</v>
      </c>
      <c r="M5" s="69" t="s">
        <v>156</v>
      </c>
      <c r="N5" s="69" t="s">
        <v>157</v>
      </c>
      <c r="O5" s="68" t="s">
        <v>158</v>
      </c>
      <c r="P5" s="68" t="s">
        <v>159</v>
      </c>
      <c r="Q5" s="13" t="s">
        <v>160</v>
      </c>
      <c r="R5" s="13"/>
    </row>
    <row r="6" spans="2:18" ht="103.15" customHeight="1">
      <c r="B6" s="68"/>
      <c r="C6" s="68"/>
      <c r="D6" s="68"/>
      <c r="E6" s="68"/>
      <c r="F6" s="68"/>
      <c r="G6" s="69"/>
      <c r="H6" s="13"/>
      <c r="I6" s="23"/>
      <c r="J6" s="13"/>
      <c r="K6" s="13"/>
      <c r="L6" s="68"/>
      <c r="M6" s="13"/>
      <c r="N6" s="13"/>
      <c r="O6" s="13"/>
      <c r="P6" s="13"/>
      <c r="Q6" s="13"/>
      <c r="R6" s="13"/>
    </row>
    <row r="7" spans="2:18" ht="103.15" customHeight="1">
      <c r="B7" s="13"/>
      <c r="C7" s="13"/>
      <c r="D7" s="13"/>
      <c r="E7" s="13"/>
      <c r="F7" s="13"/>
      <c r="G7" s="65"/>
      <c r="H7" s="13"/>
      <c r="I7" s="13"/>
      <c r="J7" s="13"/>
      <c r="K7" s="13"/>
      <c r="L7" s="13"/>
      <c r="M7" s="13"/>
      <c r="N7" s="13"/>
      <c r="O7" s="13"/>
      <c r="P7" s="13"/>
      <c r="Q7" s="13"/>
      <c r="R7" s="13"/>
    </row>
    <row r="8" spans="2:18" ht="103.15" customHeight="1">
      <c r="B8" s="13"/>
      <c r="C8" s="13"/>
      <c r="D8" s="13"/>
      <c r="E8" s="13"/>
      <c r="F8" s="13"/>
      <c r="G8" s="65"/>
      <c r="H8" s="13"/>
      <c r="I8" s="13"/>
      <c r="J8" s="13"/>
      <c r="K8" s="13"/>
      <c r="L8" s="13"/>
      <c r="M8" s="13"/>
      <c r="N8" s="13"/>
      <c r="O8" s="13"/>
      <c r="P8" s="13"/>
      <c r="Q8" s="13"/>
      <c r="R8" s="13"/>
    </row>
    <row r="9" spans="2:18" ht="103.15" customHeight="1">
      <c r="B9" s="13"/>
      <c r="C9" s="13"/>
      <c r="D9" s="13"/>
      <c r="E9" s="13"/>
      <c r="F9" s="13"/>
      <c r="G9" s="65"/>
      <c r="H9" s="13"/>
      <c r="I9" s="13"/>
      <c r="J9" s="13"/>
      <c r="K9" s="13"/>
      <c r="L9" s="13"/>
      <c r="M9" s="13"/>
      <c r="N9" s="13"/>
      <c r="O9" s="13"/>
      <c r="P9" s="13"/>
      <c r="Q9" s="13"/>
      <c r="R9" s="13"/>
    </row>
    <row r="10" spans="2:18" ht="103.15" customHeight="1">
      <c r="B10" s="13"/>
      <c r="C10" s="13"/>
      <c r="D10" s="13"/>
      <c r="E10" s="13"/>
      <c r="F10" s="13"/>
      <c r="G10" s="65"/>
      <c r="H10" s="13"/>
      <c r="I10" s="13"/>
      <c r="J10" s="13"/>
      <c r="K10" s="13"/>
      <c r="L10" s="13"/>
      <c r="M10" s="13"/>
      <c r="N10" s="13"/>
      <c r="O10" s="13"/>
      <c r="P10" s="13"/>
      <c r="Q10" s="13"/>
      <c r="R10" s="13"/>
    </row>
    <row r="11" spans="2:18" ht="103.15" customHeight="1">
      <c r="B11" s="13"/>
      <c r="C11" s="13"/>
      <c r="D11" s="13"/>
      <c r="E11" s="13"/>
      <c r="F11" s="13"/>
      <c r="G11" s="13"/>
      <c r="H11" s="13"/>
      <c r="I11" s="13"/>
      <c r="J11" s="13"/>
      <c r="K11" s="13"/>
      <c r="L11" s="13"/>
      <c r="M11" s="13"/>
      <c r="N11" s="13"/>
      <c r="O11" s="13"/>
      <c r="P11" s="13"/>
      <c r="Q11" s="13"/>
      <c r="R11" s="13"/>
    </row>
    <row r="12" spans="2:18" ht="103.15" customHeight="1">
      <c r="B12" s="13"/>
      <c r="C12" s="13"/>
      <c r="D12" s="13"/>
      <c r="E12" s="13"/>
      <c r="F12" s="13"/>
      <c r="G12" s="13"/>
      <c r="H12" s="13"/>
      <c r="I12" s="13"/>
      <c r="J12" s="13"/>
      <c r="K12" s="13"/>
      <c r="L12" s="13"/>
      <c r="M12" s="13"/>
      <c r="N12" s="13"/>
      <c r="O12" s="13"/>
      <c r="P12" s="13"/>
      <c r="Q12" s="13"/>
      <c r="R12" s="13"/>
    </row>
    <row r="13" spans="2:18" ht="103.15" customHeight="1">
      <c r="B13" s="13"/>
      <c r="C13" s="13"/>
      <c r="D13" s="13"/>
      <c r="E13" s="13"/>
      <c r="F13" s="13"/>
      <c r="G13" s="13"/>
      <c r="H13" s="13"/>
      <c r="I13" s="13"/>
      <c r="J13" s="13"/>
      <c r="K13" s="13"/>
      <c r="L13" s="13"/>
      <c r="M13" s="13"/>
      <c r="N13" s="13"/>
      <c r="O13" s="13"/>
      <c r="P13" s="13"/>
      <c r="Q13" s="13"/>
      <c r="R13" s="13"/>
    </row>
    <row r="14" spans="2:18" ht="103.15" customHeight="1">
      <c r="B14" s="13"/>
      <c r="C14" s="13"/>
      <c r="D14" s="13"/>
      <c r="E14" s="13"/>
      <c r="F14" s="13"/>
      <c r="G14" s="13"/>
      <c r="H14" s="13"/>
      <c r="I14" s="13"/>
      <c r="J14" s="13"/>
      <c r="K14" s="13"/>
      <c r="L14" s="13"/>
      <c r="M14" s="13"/>
      <c r="N14" s="13"/>
      <c r="O14" s="13"/>
      <c r="P14" s="13"/>
      <c r="Q14" s="13"/>
      <c r="R14" s="13"/>
    </row>
    <row r="15" spans="2:18" ht="103.15" customHeight="1">
      <c r="B15" s="13"/>
      <c r="C15" s="13"/>
      <c r="D15" s="13"/>
      <c r="E15" s="13"/>
      <c r="F15" s="13"/>
      <c r="G15" s="13"/>
      <c r="H15" s="13"/>
      <c r="I15" s="13"/>
      <c r="J15" s="13"/>
      <c r="K15" s="13"/>
      <c r="L15" s="13"/>
      <c r="M15" s="13"/>
      <c r="N15" s="13"/>
      <c r="O15" s="13"/>
      <c r="P15" s="13"/>
      <c r="Q15" s="13"/>
      <c r="R15" s="13"/>
    </row>
    <row r="16" spans="2:18" ht="103.15" customHeight="1">
      <c r="B16" s="13"/>
      <c r="C16" s="13"/>
      <c r="D16" s="13"/>
      <c r="E16" s="13"/>
      <c r="F16" s="13"/>
      <c r="G16" s="13"/>
      <c r="H16" s="13"/>
      <c r="I16" s="13"/>
      <c r="J16" s="13"/>
      <c r="K16" s="13"/>
      <c r="L16" s="13"/>
      <c r="M16" s="13"/>
      <c r="N16" s="13"/>
      <c r="O16" s="13"/>
      <c r="P16" s="13"/>
      <c r="Q16" s="13"/>
      <c r="R16" s="13"/>
    </row>
    <row r="17" spans="2:18" ht="103.15" customHeight="1">
      <c r="B17" s="13"/>
      <c r="C17" s="13"/>
      <c r="D17" s="13"/>
      <c r="E17" s="13"/>
      <c r="F17" s="13"/>
      <c r="G17" s="13"/>
      <c r="H17" s="13"/>
      <c r="I17" s="13"/>
      <c r="J17" s="13"/>
      <c r="K17" s="13"/>
      <c r="L17" s="13"/>
      <c r="M17" s="13"/>
      <c r="N17" s="13"/>
      <c r="O17" s="13"/>
      <c r="P17" s="13"/>
      <c r="Q17" s="13"/>
      <c r="R17" s="13"/>
    </row>
    <row r="18" spans="2:18" ht="103.15" customHeight="1">
      <c r="B18" s="13"/>
      <c r="C18" s="13"/>
      <c r="D18" s="13"/>
      <c r="E18" s="13"/>
      <c r="F18" s="13"/>
      <c r="G18" s="13"/>
      <c r="H18" s="13"/>
      <c r="I18" s="13"/>
      <c r="J18" s="13"/>
      <c r="K18" s="13"/>
      <c r="L18" s="13"/>
      <c r="M18" s="13"/>
      <c r="N18" s="13"/>
      <c r="O18" s="13"/>
      <c r="P18" s="13"/>
      <c r="Q18" s="13"/>
      <c r="R18" s="13"/>
    </row>
    <row r="19" spans="2:18" ht="103.15" customHeight="1">
      <c r="B19" s="13"/>
      <c r="C19" s="13"/>
      <c r="D19" s="13"/>
      <c r="E19" s="13"/>
      <c r="F19" s="13"/>
      <c r="G19" s="13"/>
      <c r="H19" s="13"/>
      <c r="I19" s="13"/>
      <c r="J19" s="13"/>
      <c r="K19" s="13"/>
      <c r="L19" s="13"/>
      <c r="M19" s="13"/>
      <c r="N19" s="13"/>
      <c r="O19" s="13"/>
      <c r="P19" s="13"/>
      <c r="Q19" s="13"/>
      <c r="R19" s="13"/>
    </row>
    <row r="20" spans="2:18" ht="103.15" customHeight="1">
      <c r="B20" s="13"/>
      <c r="C20" s="13"/>
      <c r="D20" s="13"/>
      <c r="E20" s="13"/>
      <c r="F20" s="13"/>
      <c r="G20" s="13"/>
      <c r="H20" s="13"/>
      <c r="I20" s="13"/>
      <c r="J20" s="13"/>
      <c r="K20" s="13"/>
      <c r="L20" s="13"/>
      <c r="M20" s="13"/>
      <c r="N20" s="13"/>
      <c r="O20" s="13"/>
      <c r="P20" s="13"/>
      <c r="Q20" s="13"/>
      <c r="R20" s="13"/>
    </row>
    <row r="21" spans="2:18" ht="103.15" customHeight="1">
      <c r="B21" s="13"/>
      <c r="C21" s="13"/>
      <c r="D21" s="13"/>
      <c r="E21" s="13"/>
      <c r="F21" s="13"/>
      <c r="G21" s="13"/>
      <c r="H21" s="13"/>
      <c r="I21" s="13"/>
      <c r="J21" s="13"/>
      <c r="K21" s="13"/>
      <c r="L21" s="13"/>
      <c r="M21" s="13"/>
      <c r="N21" s="13"/>
      <c r="O21" s="13"/>
      <c r="P21" s="13"/>
      <c r="Q21" s="13"/>
      <c r="R21" s="13"/>
    </row>
    <row r="22" spans="2:18" ht="103.15" customHeight="1">
      <c r="B22" s="13"/>
      <c r="C22" s="13"/>
      <c r="D22" s="13"/>
      <c r="E22" s="13"/>
      <c r="F22" s="13"/>
      <c r="G22" s="13"/>
      <c r="H22" s="13"/>
      <c r="I22" s="13"/>
      <c r="J22" s="13"/>
      <c r="K22" s="13"/>
      <c r="L22" s="13"/>
      <c r="M22" s="13"/>
      <c r="N22" s="13"/>
      <c r="O22" s="13"/>
      <c r="P22" s="13"/>
      <c r="Q22" s="13"/>
      <c r="R22" s="13"/>
    </row>
    <row r="23" spans="2:18" ht="103.15" customHeight="1">
      <c r="B23" s="13"/>
      <c r="C23" s="13"/>
      <c r="D23" s="13"/>
      <c r="E23" s="13"/>
      <c r="F23" s="13"/>
      <c r="G23" s="13"/>
      <c r="H23" s="13"/>
      <c r="I23" s="13"/>
      <c r="J23" s="13"/>
      <c r="K23" s="13"/>
      <c r="L23" s="13"/>
      <c r="M23" s="13"/>
      <c r="N23" s="13"/>
      <c r="O23" s="13"/>
      <c r="P23" s="13"/>
      <c r="Q23" s="13"/>
      <c r="R23" s="13"/>
    </row>
    <row r="24" spans="2:18" ht="103.15" customHeight="1">
      <c r="B24" s="13"/>
      <c r="C24" s="13"/>
      <c r="D24" s="13"/>
      <c r="E24" s="13"/>
      <c r="F24" s="13"/>
      <c r="G24" s="13"/>
      <c r="H24" s="13"/>
      <c r="I24" s="13"/>
      <c r="J24" s="13"/>
      <c r="K24" s="13"/>
      <c r="L24" s="13"/>
      <c r="M24" s="13"/>
      <c r="N24" s="13"/>
      <c r="O24" s="13"/>
      <c r="P24" s="13"/>
      <c r="Q24" s="13"/>
      <c r="R24" s="13"/>
    </row>
    <row r="25" spans="2:18" ht="103.15" customHeight="1">
      <c r="B25" s="13"/>
      <c r="C25" s="13"/>
      <c r="D25" s="13"/>
      <c r="E25" s="13"/>
      <c r="F25" s="13"/>
      <c r="G25" s="13"/>
      <c r="H25" s="13"/>
      <c r="I25" s="13"/>
      <c r="J25" s="13"/>
      <c r="K25" s="13"/>
      <c r="L25" s="13"/>
      <c r="M25" s="13"/>
      <c r="N25" s="13"/>
      <c r="O25" s="13"/>
      <c r="P25" s="13"/>
      <c r="Q25" s="13"/>
      <c r="R25" s="13"/>
    </row>
    <row r="26" spans="2:18" ht="103.15" customHeight="1">
      <c r="B26" s="13"/>
      <c r="C26" s="13"/>
      <c r="D26" s="13"/>
      <c r="E26" s="13"/>
      <c r="F26" s="13"/>
      <c r="G26" s="13"/>
      <c r="H26" s="13"/>
      <c r="I26" s="13"/>
      <c r="J26" s="13"/>
      <c r="K26" s="13"/>
      <c r="L26" s="13"/>
      <c r="M26" s="13"/>
      <c r="N26" s="13"/>
      <c r="O26" s="13"/>
      <c r="P26" s="13"/>
      <c r="Q26" s="13"/>
      <c r="R26" s="13"/>
    </row>
    <row r="27" spans="2:18" ht="103.15" customHeight="1">
      <c r="B27" s="13"/>
      <c r="C27" s="13"/>
      <c r="D27" s="13"/>
      <c r="E27" s="13"/>
      <c r="F27" s="13"/>
      <c r="G27" s="13"/>
      <c r="H27" s="13"/>
      <c r="I27" s="13"/>
      <c r="J27" s="13"/>
      <c r="K27" s="13"/>
      <c r="L27" s="13"/>
      <c r="M27" s="13"/>
      <c r="N27" s="13"/>
      <c r="O27" s="13"/>
      <c r="P27" s="13"/>
      <c r="Q27" s="13"/>
      <c r="R27" s="13"/>
    </row>
    <row r="28" spans="2:18" ht="103.15" customHeight="1">
      <c r="B28" s="13"/>
      <c r="C28" s="13"/>
      <c r="D28" s="13"/>
      <c r="E28" s="13"/>
      <c r="F28" s="13"/>
      <c r="G28" s="13"/>
      <c r="H28" s="13"/>
      <c r="I28" s="13"/>
      <c r="J28" s="13"/>
      <c r="K28" s="13"/>
      <c r="L28" s="13"/>
      <c r="M28" s="13"/>
      <c r="N28" s="13"/>
      <c r="O28" s="13"/>
      <c r="P28" s="13"/>
      <c r="Q28" s="13"/>
      <c r="R28" s="13"/>
    </row>
    <row r="29" spans="2:18" ht="103.15" customHeight="1">
      <c r="B29" s="13"/>
      <c r="C29" s="13"/>
      <c r="D29" s="13"/>
      <c r="E29" s="13"/>
      <c r="F29" s="13"/>
      <c r="G29" s="13"/>
      <c r="H29" s="13"/>
      <c r="I29" s="13"/>
      <c r="J29" s="13"/>
      <c r="K29" s="13"/>
      <c r="L29" s="13"/>
      <c r="M29" s="13"/>
      <c r="N29" s="13"/>
      <c r="O29" s="13"/>
      <c r="P29" s="13"/>
      <c r="Q29" s="13"/>
      <c r="R29" s="13"/>
    </row>
    <row r="30" spans="2:18" ht="103.15" customHeight="1">
      <c r="B30" s="13"/>
      <c r="C30" s="13"/>
      <c r="D30" s="13"/>
      <c r="E30" s="13"/>
      <c r="F30" s="13"/>
      <c r="G30" s="13"/>
      <c r="H30" s="13"/>
      <c r="I30" s="13"/>
      <c r="J30" s="13"/>
      <c r="K30" s="13"/>
      <c r="L30" s="13"/>
      <c r="M30" s="13"/>
      <c r="N30" s="13"/>
      <c r="O30" s="13"/>
      <c r="P30" s="13"/>
      <c r="Q30" s="13"/>
      <c r="R30" s="13"/>
    </row>
    <row r="31" spans="2:18" ht="103.15" customHeight="1">
      <c r="B31" s="13"/>
      <c r="C31" s="13"/>
      <c r="D31" s="13"/>
      <c r="E31" s="13"/>
      <c r="F31" s="13"/>
      <c r="G31" s="13"/>
      <c r="H31" s="13"/>
      <c r="I31" s="13"/>
      <c r="J31" s="13"/>
      <c r="K31" s="13"/>
      <c r="L31" s="13"/>
      <c r="M31" s="13"/>
      <c r="N31" s="13"/>
      <c r="O31" s="13"/>
      <c r="P31" s="13"/>
      <c r="Q31" s="13"/>
      <c r="R31" s="13"/>
    </row>
    <row r="32" spans="2:18" ht="103.15" customHeight="1">
      <c r="B32" s="13"/>
      <c r="C32" s="13"/>
      <c r="D32" s="13"/>
      <c r="E32" s="13"/>
      <c r="F32" s="13"/>
      <c r="G32" s="13"/>
      <c r="H32" s="13"/>
      <c r="I32" s="13"/>
      <c r="J32" s="13"/>
      <c r="K32" s="13"/>
      <c r="L32" s="13"/>
      <c r="M32" s="13"/>
      <c r="N32" s="13"/>
      <c r="O32" s="13"/>
      <c r="P32" s="13"/>
      <c r="Q32" s="13"/>
      <c r="R32" s="13"/>
    </row>
    <row r="33" spans="2:18" ht="103.15" customHeight="1">
      <c r="B33" s="13"/>
      <c r="C33" s="13"/>
      <c r="D33" s="13"/>
      <c r="E33" s="13"/>
      <c r="F33" s="13"/>
      <c r="G33" s="13"/>
      <c r="H33" s="13"/>
      <c r="I33" s="13"/>
      <c r="J33" s="13"/>
      <c r="K33" s="13"/>
      <c r="L33" s="13"/>
      <c r="M33" s="13"/>
      <c r="N33" s="13"/>
      <c r="O33" s="13"/>
      <c r="P33" s="13"/>
      <c r="Q33" s="13"/>
      <c r="R33" s="13"/>
    </row>
    <row r="34" spans="2:18" ht="103.15" customHeight="1">
      <c r="B34" s="13"/>
      <c r="C34" s="13"/>
      <c r="D34" s="13"/>
      <c r="E34" s="13"/>
      <c r="F34" s="13"/>
      <c r="G34" s="13"/>
      <c r="H34" s="13"/>
      <c r="I34" s="13"/>
      <c r="J34" s="13"/>
      <c r="K34" s="13"/>
      <c r="L34" s="13"/>
      <c r="M34" s="13"/>
      <c r="N34" s="13"/>
      <c r="O34" s="13"/>
      <c r="P34" s="13"/>
      <c r="Q34" s="13"/>
      <c r="R34" s="13"/>
    </row>
    <row r="35" spans="2:18" ht="103.15" customHeight="1">
      <c r="B35" s="13"/>
      <c r="C35" s="13"/>
      <c r="D35" s="13"/>
      <c r="E35" s="13"/>
      <c r="F35" s="13"/>
      <c r="G35" s="13"/>
      <c r="H35" s="13"/>
      <c r="I35" s="13"/>
      <c r="J35" s="13"/>
      <c r="K35" s="13"/>
      <c r="L35" s="13"/>
      <c r="M35" s="13"/>
      <c r="N35" s="13"/>
      <c r="O35" s="13"/>
      <c r="P35" s="13"/>
      <c r="Q35" s="13"/>
      <c r="R35" s="13"/>
    </row>
    <row r="36" spans="2:18" ht="103.15" customHeight="1">
      <c r="B36" s="13"/>
      <c r="C36" s="13"/>
      <c r="D36" s="13"/>
      <c r="E36" s="13"/>
      <c r="F36" s="13"/>
      <c r="G36" s="13"/>
      <c r="H36" s="13"/>
      <c r="I36" s="13"/>
      <c r="J36" s="13"/>
      <c r="K36" s="13"/>
      <c r="L36" s="13"/>
      <c r="M36" s="13"/>
      <c r="N36" s="13"/>
      <c r="O36" s="13"/>
      <c r="P36" s="13"/>
      <c r="Q36" s="13"/>
      <c r="R36" s="13"/>
    </row>
    <row r="37" spans="2:18" ht="103.15" customHeight="1">
      <c r="B37" s="13"/>
      <c r="C37" s="13"/>
      <c r="D37" s="13"/>
      <c r="E37" s="13"/>
      <c r="F37" s="13"/>
      <c r="G37" s="13"/>
      <c r="H37" s="13"/>
      <c r="I37" s="13"/>
      <c r="J37" s="13"/>
      <c r="K37" s="13"/>
      <c r="L37" s="13"/>
      <c r="M37" s="13"/>
      <c r="N37" s="13"/>
      <c r="O37" s="13"/>
      <c r="P37" s="13"/>
      <c r="Q37" s="13"/>
      <c r="R37" s="13"/>
    </row>
    <row r="38" spans="2:18" ht="103.15" customHeight="1">
      <c r="B38" s="13"/>
      <c r="C38" s="13"/>
      <c r="D38" s="13"/>
      <c r="E38" s="13"/>
      <c r="F38" s="13"/>
      <c r="G38" s="13"/>
      <c r="H38" s="13"/>
      <c r="I38" s="13"/>
      <c r="J38" s="13"/>
      <c r="K38" s="13"/>
      <c r="L38" s="13"/>
      <c r="M38" s="13"/>
      <c r="N38" s="13"/>
      <c r="O38" s="13"/>
      <c r="P38" s="13"/>
      <c r="Q38" s="13"/>
      <c r="R38" s="13"/>
    </row>
    <row r="39" spans="2:18" ht="103.15" customHeight="1">
      <c r="B39" s="13"/>
      <c r="C39" s="13"/>
      <c r="D39" s="13"/>
      <c r="E39" s="13"/>
      <c r="F39" s="13"/>
      <c r="G39" s="13"/>
      <c r="H39" s="13"/>
      <c r="I39" s="13"/>
      <c r="J39" s="13"/>
      <c r="K39" s="13"/>
      <c r="L39" s="13"/>
      <c r="M39" s="13"/>
      <c r="N39" s="13"/>
      <c r="O39" s="13"/>
      <c r="P39" s="13"/>
      <c r="Q39" s="13"/>
      <c r="R39" s="13"/>
    </row>
    <row r="40" spans="2:18" ht="103.15" customHeight="1">
      <c r="B40" s="13"/>
      <c r="C40" s="13"/>
      <c r="D40" s="13"/>
      <c r="E40" s="13"/>
      <c r="F40" s="13"/>
      <c r="G40" s="13"/>
      <c r="H40" s="13"/>
      <c r="I40" s="13"/>
      <c r="J40" s="13"/>
      <c r="K40" s="13"/>
      <c r="L40" s="13"/>
      <c r="M40" s="13"/>
      <c r="N40" s="13"/>
      <c r="O40" s="13"/>
      <c r="P40" s="13"/>
      <c r="Q40" s="13"/>
      <c r="R40" s="13"/>
    </row>
    <row r="41" spans="2:18" ht="103.15" customHeight="1">
      <c r="B41" s="13"/>
      <c r="C41" s="13"/>
      <c r="D41" s="13"/>
      <c r="E41" s="13"/>
      <c r="F41" s="13"/>
      <c r="G41" s="13"/>
      <c r="H41" s="13"/>
      <c r="I41" s="13"/>
      <c r="J41" s="13"/>
      <c r="K41" s="13"/>
      <c r="L41" s="13"/>
      <c r="M41" s="13"/>
      <c r="N41" s="13"/>
      <c r="O41" s="13"/>
      <c r="P41" s="13"/>
      <c r="Q41" s="13"/>
      <c r="R41" s="13"/>
    </row>
    <row r="42" spans="2:18" ht="103.15" customHeight="1">
      <c r="B42" s="13"/>
      <c r="C42" s="13"/>
      <c r="D42" s="13"/>
      <c r="E42" s="13"/>
      <c r="F42" s="13"/>
      <c r="G42" s="13"/>
      <c r="H42" s="13"/>
      <c r="I42" s="13"/>
      <c r="J42" s="13"/>
      <c r="K42" s="13"/>
      <c r="L42" s="13"/>
      <c r="M42" s="13"/>
      <c r="N42" s="13"/>
      <c r="O42" s="13"/>
      <c r="P42" s="13"/>
      <c r="Q42" s="13"/>
      <c r="R42" s="13"/>
    </row>
    <row r="43" spans="2:18" ht="140.1" customHeight="1">
      <c r="B43" s="13"/>
      <c r="C43" s="13"/>
      <c r="D43" s="13"/>
      <c r="E43" s="13"/>
      <c r="F43" s="13"/>
      <c r="G43" s="13"/>
      <c r="H43" s="13"/>
      <c r="I43" s="13"/>
      <c r="J43" s="13"/>
      <c r="K43" s="13"/>
      <c r="L43" s="13"/>
      <c r="M43" s="13"/>
      <c r="N43" s="13"/>
      <c r="O43" s="13"/>
      <c r="P43" s="13"/>
      <c r="Q43" s="13"/>
      <c r="R43" s="13"/>
    </row>
    <row r="44" spans="2:18" ht="140.1" customHeight="1">
      <c r="B44" s="13"/>
      <c r="C44" s="13"/>
      <c r="D44" s="13"/>
      <c r="E44" s="13"/>
      <c r="F44" s="13"/>
      <c r="G44" s="13"/>
      <c r="H44" s="13"/>
      <c r="I44" s="13"/>
      <c r="J44" s="13"/>
      <c r="K44" s="13"/>
      <c r="L44" s="13"/>
      <c r="M44" s="13"/>
      <c r="N44" s="13"/>
      <c r="O44" s="13"/>
      <c r="P44" s="13"/>
      <c r="Q44" s="13"/>
      <c r="R44" s="13"/>
    </row>
  </sheetData>
  <mergeCells count="4">
    <mergeCell ref="M1:P1"/>
    <mergeCell ref="B1:E1"/>
    <mergeCell ref="F1:L1"/>
    <mergeCell ref="Q1:R1"/>
  </mergeCells>
  <phoneticPr fontId="24" type="noConversion"/>
  <dataValidations count="2">
    <dataValidation type="list" allowBlank="1" showInputMessage="1" showErrorMessage="1" sqref="Q44" xr:uid="{8801785B-1B26-4F2F-BC1F-8E5358465079}">
      <formula1>Estado</formula1>
    </dataValidation>
    <dataValidation type="list" allowBlank="1" showInputMessage="1" showErrorMessage="1" sqref="L7:L44" xr:uid="{00054F9A-F141-4389-B05C-534A46658677}">
      <formula1>Estrategia</formula1>
    </dataValidation>
  </dataValidations>
  <pageMargins left="0.7" right="0.7" top="0.75" bottom="0.75" header="0.3" footer="0.3"/>
  <pageSetup scale="11" orientation="landscape" r:id="rId1"/>
  <legacyDrawing r:id="rId2"/>
  <extLst>
    <ext xmlns:x14="http://schemas.microsoft.com/office/spreadsheetml/2009/9/main" uri="{CCE6A557-97BC-4b89-ADB6-D9C93CAAB3DF}">
      <x14:dataValidations xmlns:xm="http://schemas.microsoft.com/office/excel/2006/main" count="5">
        <x14:dataValidation type="list" showInputMessage="1" showErrorMessage="1" xr:uid="{C9D8F4FC-FCC8-4143-B1F0-EB9BA2172E24}">
          <x14:formula1>
            <xm:f>Listas!$D$15:$D$18</xm:f>
          </x14:formula1>
          <xm:sqref>Q3:Q43</xm:sqref>
        </x14:dataValidation>
        <x14:dataValidation type="list" allowBlank="1" showInputMessage="1" showErrorMessage="1" xr:uid="{FEFAC1EA-69CC-4ED3-9296-90A0C8015951}">
          <x14:formula1>
            <xm:f>'1.1 - Parámetros'!$C$12:$C$14</xm:f>
          </x14:formula1>
          <xm:sqref>K3:K44</xm:sqref>
        </x14:dataValidation>
        <x14:dataValidation type="list" allowBlank="1" showInputMessage="1" showErrorMessage="1" xr:uid="{F0943228-0DFE-4CA6-86F9-ADBA6FDA5BDB}">
          <x14:formula1>
            <xm:f>Listas!$F$15:$F$17</xm:f>
          </x14:formula1>
          <xm:sqref>F3:F44</xm:sqref>
        </x14:dataValidation>
        <x14:dataValidation type="list" allowBlank="1" showInputMessage="1" showErrorMessage="1" xr:uid="{3CE90095-D176-4485-A8A3-8EFD4D781068}">
          <x14:formula1>
            <xm:f>Listas!$D$15:$D$18</xm:f>
          </x14:formula1>
          <xm:sqref>R4:R44</xm:sqref>
        </x14:dataValidation>
        <x14:dataValidation type="list" allowBlank="1" showInputMessage="1" showErrorMessage="1" xr:uid="{FDA276F7-0E5C-4E43-9294-B113EE625E25}">
          <x14:formula1>
            <xm:f>Listas!$B$15:$B$17</xm:f>
          </x14:formula1>
          <xm:sqref>L3:L6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81656-F6DE-44C7-8464-7988DD8BDFAB}">
  <sheetPr codeName="Hoja5"/>
  <dimension ref="B1:O18"/>
  <sheetViews>
    <sheetView showGridLines="0" workbookViewId="0">
      <selection activeCell="G26" sqref="G26"/>
    </sheetView>
  </sheetViews>
  <sheetFormatPr defaultColWidth="12.140625" defaultRowHeight="15"/>
  <cols>
    <col min="1" max="1" width="1.85546875" customWidth="1"/>
    <col min="2" max="2" width="13.42578125" customWidth="1"/>
    <col min="3" max="3" width="1.85546875" customWidth="1"/>
    <col min="4" max="4" width="19.85546875" bestFit="1" customWidth="1"/>
    <col min="5" max="5" width="13.85546875" customWidth="1"/>
    <col min="6" max="6" width="25" bestFit="1" customWidth="1"/>
    <col min="7" max="7" width="25.85546875" customWidth="1"/>
    <col min="8" max="8" width="23.140625" bestFit="1" customWidth="1"/>
    <col min="9" max="9" width="24.140625" customWidth="1"/>
    <col min="10" max="10" width="1.85546875" customWidth="1"/>
    <col min="11" max="11" width="19.140625" customWidth="1"/>
    <col min="12" max="12" width="1.85546875" customWidth="1"/>
    <col min="13" max="13" width="21.7109375" bestFit="1" customWidth="1"/>
    <col min="14" max="14" width="1.85546875" customWidth="1"/>
  </cols>
  <sheetData>
    <row r="1" spans="2:15" ht="21.75" thickBot="1">
      <c r="B1" s="109" t="s">
        <v>161</v>
      </c>
      <c r="C1" s="110"/>
      <c r="D1" s="110"/>
      <c r="E1" s="110"/>
      <c r="F1" s="110"/>
      <c r="G1" s="110"/>
      <c r="H1" s="110"/>
      <c r="I1" s="110"/>
      <c r="J1" s="110"/>
      <c r="K1" s="110"/>
      <c r="L1" s="110"/>
      <c r="M1" s="110"/>
      <c r="N1" s="110"/>
      <c r="O1" s="111"/>
    </row>
    <row r="2" spans="2:15" ht="18.75">
      <c r="F2" s="108" t="s">
        <v>162</v>
      </c>
      <c r="G2" s="108"/>
      <c r="H2" s="108"/>
      <c r="I2" s="108"/>
    </row>
    <row r="3" spans="2:15" ht="64.150000000000006" customHeight="1">
      <c r="B3" s="31" t="s">
        <v>43</v>
      </c>
      <c r="D3" s="31" t="s">
        <v>44</v>
      </c>
      <c r="E3" s="112" t="s">
        <v>163</v>
      </c>
      <c r="F3" s="59" t="s">
        <v>164</v>
      </c>
      <c r="G3" s="59" t="s">
        <v>89</v>
      </c>
      <c r="H3" s="59" t="s">
        <v>74</v>
      </c>
      <c r="I3" s="59" t="s">
        <v>165</v>
      </c>
      <c r="J3" s="2"/>
      <c r="K3" s="32" t="s">
        <v>51</v>
      </c>
      <c r="M3" s="60" t="s">
        <v>61</v>
      </c>
    </row>
    <row r="4" spans="2:15">
      <c r="B4" s="7" t="s">
        <v>73</v>
      </c>
      <c r="D4" s="6" t="s">
        <v>164</v>
      </c>
      <c r="E4" s="112"/>
      <c r="F4" s="62" t="s">
        <v>166</v>
      </c>
      <c r="G4" s="62" t="s">
        <v>167</v>
      </c>
      <c r="H4" s="62" t="s">
        <v>75</v>
      </c>
      <c r="I4" s="63" t="s">
        <v>168</v>
      </c>
      <c r="J4" s="5"/>
      <c r="K4" s="7" t="s">
        <v>169</v>
      </c>
      <c r="M4" s="6" t="s">
        <v>151</v>
      </c>
    </row>
    <row r="5" spans="2:15">
      <c r="B5" s="7" t="s">
        <v>88</v>
      </c>
      <c r="D5" s="6" t="s">
        <v>89</v>
      </c>
      <c r="E5" s="112"/>
      <c r="F5" s="9" t="s">
        <v>170</v>
      </c>
      <c r="G5" s="9" t="s">
        <v>171</v>
      </c>
      <c r="H5" s="9" t="s">
        <v>172</v>
      </c>
      <c r="I5" s="10" t="s">
        <v>173</v>
      </c>
      <c r="J5" s="5"/>
      <c r="K5" s="8" t="s">
        <v>79</v>
      </c>
      <c r="M5" s="6" t="s">
        <v>174</v>
      </c>
    </row>
    <row r="6" spans="2:15">
      <c r="B6" s="66" t="s">
        <v>170</v>
      </c>
      <c r="D6" s="6" t="s">
        <v>74</v>
      </c>
      <c r="E6" s="112"/>
      <c r="F6" s="62" t="s">
        <v>175</v>
      </c>
      <c r="G6" s="62" t="s">
        <v>176</v>
      </c>
      <c r="H6" s="64" t="s">
        <v>177</v>
      </c>
      <c r="I6" s="63" t="s">
        <v>178</v>
      </c>
      <c r="J6" s="5"/>
      <c r="K6" s="8" t="s">
        <v>94</v>
      </c>
      <c r="M6" s="6" t="s">
        <v>179</v>
      </c>
    </row>
    <row r="7" spans="2:15">
      <c r="B7" s="13" t="s">
        <v>89</v>
      </c>
      <c r="D7" s="6" t="s">
        <v>165</v>
      </c>
      <c r="E7" s="112"/>
      <c r="F7" s="9" t="s">
        <v>180</v>
      </c>
      <c r="G7" s="9" t="s">
        <v>90</v>
      </c>
      <c r="H7" s="9"/>
      <c r="I7" s="11" t="s">
        <v>181</v>
      </c>
      <c r="J7" s="5"/>
      <c r="K7" s="8" t="s">
        <v>182</v>
      </c>
      <c r="M7" s="6" t="s">
        <v>183</v>
      </c>
    </row>
    <row r="8" spans="2:15">
      <c r="B8" s="5"/>
      <c r="F8" s="64" t="s">
        <v>184</v>
      </c>
      <c r="G8" s="64" t="s">
        <v>185</v>
      </c>
      <c r="J8" s="5"/>
      <c r="K8" s="5"/>
      <c r="M8" s="6" t="s">
        <v>186</v>
      </c>
    </row>
    <row r="11" spans="2:15" ht="15.75" thickBot="1"/>
    <row r="12" spans="2:15" ht="21.75" thickBot="1">
      <c r="B12" s="109" t="s">
        <v>123</v>
      </c>
      <c r="C12" s="110"/>
      <c r="D12" s="110"/>
      <c r="E12" s="110"/>
      <c r="F12" s="110"/>
      <c r="G12" s="110"/>
      <c r="H12" s="110"/>
      <c r="I12" s="110"/>
      <c r="J12" s="110"/>
      <c r="K12" s="110"/>
      <c r="L12" s="110"/>
      <c r="M12" s="110"/>
      <c r="N12" s="110"/>
      <c r="O12" s="111"/>
    </row>
    <row r="13" spans="2:15" ht="17.649999999999999" customHeight="1">
      <c r="B13" s="28"/>
      <c r="C13" s="28"/>
      <c r="D13" s="28"/>
      <c r="E13" s="28"/>
      <c r="F13" s="28"/>
      <c r="G13" s="28"/>
      <c r="H13" s="28"/>
      <c r="I13" s="28"/>
      <c r="J13" s="28"/>
      <c r="K13" s="28"/>
      <c r="L13" s="28"/>
      <c r="M13" s="28"/>
      <c r="N13" s="28"/>
      <c r="O13" s="28"/>
    </row>
    <row r="14" spans="2:15" ht="15.75">
      <c r="B14" s="61" t="s">
        <v>110</v>
      </c>
      <c r="D14" s="61" t="s">
        <v>61</v>
      </c>
      <c r="F14" s="31" t="s">
        <v>187</v>
      </c>
    </row>
    <row r="15" spans="2:15">
      <c r="B15" s="12" t="s">
        <v>209</v>
      </c>
      <c r="D15" s="13" t="s">
        <v>188</v>
      </c>
      <c r="F15" s="12" t="s">
        <v>73</v>
      </c>
    </row>
    <row r="16" spans="2:15">
      <c r="B16" s="12" t="s">
        <v>210</v>
      </c>
      <c r="D16" s="6" t="s">
        <v>151</v>
      </c>
      <c r="F16" s="12" t="s">
        <v>134</v>
      </c>
    </row>
    <row r="17" spans="2:6">
      <c r="B17" s="12" t="s">
        <v>94</v>
      </c>
      <c r="D17" s="6" t="s">
        <v>160</v>
      </c>
      <c r="F17" s="12" t="s">
        <v>88</v>
      </c>
    </row>
    <row r="18" spans="2:6">
      <c r="D18" s="6" t="s">
        <v>141</v>
      </c>
    </row>
  </sheetData>
  <mergeCells count="4">
    <mergeCell ref="F2:I2"/>
    <mergeCell ref="B1:O1"/>
    <mergeCell ref="B12:O12"/>
    <mergeCell ref="E3:E7"/>
  </mergeCells>
  <pageMargins left="0.7" right="0.7" top="0.75" bottom="0.75" header="0.3" footer="0.3"/>
  <pageSetup paperSize="9" orientation="portrait" r:id="rId1"/>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stado xmlns="f1020bcf-9500-4749-8c84-b23cf1385772" xsi:nil="true"/>
    <Descripci_x00f3_n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C2F56B9-5679-4FC0-B760-E2EA65267B05}">
  <ds:schemaRefs>
    <ds:schemaRef ds:uri="http://schemas.microsoft.com/sharepoint/v3/contenttype/forms"/>
  </ds:schemaRefs>
</ds:datastoreItem>
</file>

<file path=customXml/itemProps2.xml><?xml version="1.0" encoding="utf-8"?>
<ds:datastoreItem xmlns:ds="http://schemas.openxmlformats.org/officeDocument/2006/customXml" ds:itemID="{93B3CE31-0E32-437F-8655-3484B38DCD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435D25-289D-495E-8EE6-37661A33AFCE}">
  <ds:schemaRefs>
    <ds:schemaRef ds:uri="http://schemas.openxmlformats.org/package/2006/metadata/core-properties"/>
    <ds:schemaRef ds:uri="http://purl.org/dc/terms/"/>
    <ds:schemaRef ds:uri="7a0a35da-276e-4c8e-b365-e7c47df80865"/>
    <ds:schemaRef ds:uri="http://schemas.microsoft.com/office/2006/metadata/properties"/>
    <ds:schemaRef ds:uri="http://schemas.microsoft.com/office/2006/documentManagement/types"/>
    <ds:schemaRef ds:uri="f1020bcf-9500-4749-8c84-b23cf1385772"/>
    <ds:schemaRef ds:uri="http://purl.org/dc/dcmitype/"/>
    <ds:schemaRef ds:uri="http://schemas.microsoft.com/office/infopath/2007/PartnerControl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0 - Información del documento</vt:lpstr>
      <vt:lpstr>1.1 - Parámetros</vt:lpstr>
      <vt:lpstr>1.2 - Matriz de aceptabilidad</vt:lpstr>
      <vt:lpstr>2.1 - Riesgos</vt:lpstr>
      <vt:lpstr>2.2 - Oportunidades</vt:lpstr>
      <vt:lpstr>Listas</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Documentación Innevo</dc:creator>
  <cp:keywords/>
  <dc:description/>
  <cp:lastModifiedBy>Documentación Innevo</cp:lastModifiedBy>
  <cp:revision/>
  <cp:lastPrinted>2024-07-12T17:23:43Z</cp:lastPrinted>
  <dcterms:created xsi:type="dcterms:W3CDTF">2019-08-08T21:59:40Z</dcterms:created>
  <dcterms:modified xsi:type="dcterms:W3CDTF">2026-06-17T20:30:14Z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