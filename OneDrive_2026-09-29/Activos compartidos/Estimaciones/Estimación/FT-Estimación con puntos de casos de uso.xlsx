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innevocorp.sharepoint.com/sites/PaqueteCMMIISO2023/Documentos compartidos/CMMI-DEV/SGCP/SGCP/Estimaciones/Estimación/"/>
    </mc:Choice>
  </mc:AlternateContent>
  <xr:revisionPtr revIDLastSave="200" documentId="8_{C4414234-B8CB-444B-BD4B-0419CA1A8294}" xr6:coauthVersionLast="47" xr6:coauthVersionMax="47" xr10:uidLastSave="{63A4BCA6-5327-4CCF-B030-54A365FDA90F}"/>
  <bookViews>
    <workbookView xWindow="2970" yWindow="10690" windowWidth="22620" windowHeight="14220" firstSheet="3" activeTab="5" xr2:uid="{00000000-000D-0000-FFFF-FFFF00000000}"/>
  </bookViews>
  <sheets>
    <sheet name="Históricos" sheetId="11" r:id="rId1"/>
    <sheet name="1.-Factores técnicos" sheetId="2" r:id="rId2"/>
    <sheet name="2.-Factores ambientales" sheetId="7" r:id="rId3"/>
    <sheet name="3.-Casos de uso" sheetId="8" r:id="rId4"/>
    <sheet name="4.-Actores" sheetId="9" r:id="rId5"/>
    <sheet name="5.-Resumen estimación de tamaño" sheetId="1" r:id="rId6"/>
    <sheet name="6.-Estimación esfuerzo y costo" sheetId="12"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8" l="1" a="1"/>
  <c r="E3" i="8" s="1"/>
  <c r="E3" i="9" a="1"/>
  <c r="E3" i="9" s="1"/>
  <c r="D31" i="12"/>
  <c r="E9" i="12" l="1"/>
  <c r="D16" i="8" l="1"/>
  <c r="D17" i="8"/>
  <c r="D15" i="9"/>
  <c r="D16" i="9"/>
  <c r="D14" i="9"/>
  <c r="B15" i="9"/>
  <c r="B16" i="9" s="1"/>
  <c r="B17" i="9" s="1"/>
  <c r="B18" i="9" s="1"/>
  <c r="B19" i="9" s="1"/>
  <c r="E5" i="9" a="1"/>
  <c r="E5" i="9" s="1"/>
  <c r="D12" i="9"/>
  <c r="E5" i="8" a="1"/>
  <c r="E5" i="8" s="1"/>
  <c r="E4" i="8" a="1"/>
  <c r="E4" i="8" s="1"/>
  <c r="B11" i="9"/>
  <c r="B11" i="8"/>
  <c r="B12" i="8" s="1"/>
  <c r="B13" i="8" s="1"/>
  <c r="B14" i="8" s="1"/>
  <c r="B15" i="8" s="1"/>
  <c r="B16" i="8" s="1"/>
  <c r="B17" i="8" s="1"/>
  <c r="B18" i="8" s="1"/>
  <c r="B19" i="8" s="1"/>
  <c r="D19" i="8"/>
  <c r="D18" i="8"/>
  <c r="D15" i="8"/>
  <c r="D14" i="8"/>
  <c r="D13" i="8"/>
  <c r="D12" i="8"/>
  <c r="D11" i="8"/>
  <c r="D10" i="8"/>
  <c r="D10" i="9"/>
  <c r="D19" i="9"/>
  <c r="B12" i="9"/>
  <c r="B13" i="9" s="1"/>
  <c r="B14" i="9" s="1"/>
  <c r="E4" i="9" a="1"/>
  <c r="E4" i="9" s="1"/>
  <c r="D18" i="9"/>
  <c r="D17" i="9"/>
  <c r="D13" i="9"/>
  <c r="D11" i="9"/>
  <c r="E12" i="7" a="1"/>
  <c r="E12" i="7" s="1"/>
  <c r="E4" i="1" s="1"/>
  <c r="E17" i="2" a="1"/>
  <c r="E17" i="2" s="1"/>
  <c r="E3" i="1" s="1"/>
  <c r="E6" i="9" l="1" a="1"/>
  <c r="E6" i="9" s="1"/>
  <c r="E6" i="1" s="1"/>
  <c r="E6" i="8" a="1"/>
  <c r="E6" i="8" s="1"/>
  <c r="E5" i="1" s="1"/>
  <c r="E8" i="1" l="1"/>
  <c r="E12" i="1" s="1"/>
  <c r="D6" i="12" l="1"/>
  <c r="D5" i="12" s="1"/>
  <c r="F5" i="12" s="1"/>
  <c r="F6" i="12" l="1"/>
  <c r="D7" i="12"/>
  <c r="F7" i="12" s="1"/>
  <c r="D4" i="12"/>
  <c r="F4" i="12" l="1"/>
  <c r="F9" i="12" s="1"/>
  <c r="D9" i="12"/>
  <c r="G12" i="12" l="1"/>
  <c r="C22" i="12" s="1"/>
  <c r="D33" i="12" s="1"/>
  <c r="E1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6" authorId="0" shapeId="0" xr:uid="{6CD06380-9AE2-402E-8386-CDEDDE8C381F}">
      <text>
        <r>
          <rPr>
            <sz val="9"/>
            <color indexed="81"/>
            <rFont val="Tahoma"/>
            <family val="2"/>
          </rPr>
          <t xml:space="preserve">En esta sección se debe hacer referencia a las estimaciones de otros proyectos en base a los cuales se realizó las estimaciones iniciales del proyecto.
Ver la información histórica de los proyectos en la carpeta métricas del repositorio del SGC.
</t>
        </r>
      </text>
    </comment>
    <comment ref="F8" authorId="0" shapeId="0" xr:uid="{6BA915D9-DB1B-4599-92F1-817A25DDD7A0}">
      <text>
        <r>
          <rPr>
            <sz val="9"/>
            <color indexed="81"/>
            <rFont val="Tahoma"/>
            <family val="2"/>
          </rPr>
          <t>Aspectos que se consideraron del proyecto para la estimación.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17" authorId="0" shapeId="0" xr:uid="{B0428E48-8B20-4B95-BFBD-3F0F0D3E3038}">
      <text>
        <r>
          <rPr>
            <b/>
            <sz val="9"/>
            <color indexed="81"/>
            <rFont val="Tahoma"/>
            <family val="2"/>
          </rPr>
          <t>TCF = Technical Complexity Factor.
Factor de complejidad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12" authorId="0" shapeId="0" xr:uid="{B5792A0B-6B1B-4682-9950-A65C6B247737}">
      <text>
        <r>
          <rPr>
            <sz val="9"/>
            <color indexed="81"/>
            <rFont val="Tahoma"/>
            <family val="2"/>
          </rPr>
          <t xml:space="preserve">EF = Enviromentar Factor (Factor ambiental)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Tania López</author>
    <author>Documentación Innevo</author>
  </authors>
  <commentList>
    <comment ref="F3" authorId="0" shapeId="0" xr:uid="{0C552EBE-4BAC-4731-BDEC-F7DDE2E719C2}">
      <text>
        <r>
          <rPr>
            <sz val="9"/>
            <color indexed="81"/>
            <rFont val="Tahoma"/>
            <family val="2"/>
          </rPr>
          <t>Una transacción es un intercambio, donde el actor hace algo y el sistema responde.</t>
        </r>
      </text>
    </comment>
    <comment ref="E10" authorId="1" shapeId="0" xr:uid="{9723882C-4107-4704-A211-B594F0585C1C}">
      <text>
        <r>
          <rPr>
            <b/>
            <sz val="9"/>
            <color indexed="81"/>
            <rFont val="Tahoma"/>
            <family val="2"/>
          </rPr>
          <t>Indispensable registrar nombre del caso de uso para que se adjunte la información en la tabla de arriba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Tania López</author>
    <author>Pedro Alatorre</author>
  </authors>
  <commentList>
    <comment ref="B2" authorId="0" shapeId="0" xr:uid="{03FB9323-D572-4E98-B4A1-24286DFB540C}">
      <text>
        <r>
          <rPr>
            <sz val="9"/>
            <color indexed="81"/>
            <rFont val="Tahoma"/>
            <family val="2"/>
          </rPr>
          <t xml:space="preserve">No solo las personas son actores. También otros sistemas son actores. </t>
        </r>
      </text>
    </comment>
    <comment ref="D2" authorId="1" shapeId="0" xr:uid="{30332FAF-547D-495C-8B2D-253831569C1E}">
      <text>
        <r>
          <rPr>
            <sz val="9"/>
            <color indexed="81"/>
            <rFont val="Tahoma"/>
            <family val="2"/>
          </rPr>
          <t>Este multiplicador se aplica en automático en relación al grado de complejidad.</t>
        </r>
      </text>
    </comment>
    <comment ref="E2" authorId="1" shapeId="0" xr:uid="{04096560-42C2-4077-BFC8-649B04C841E9}">
      <text>
        <r>
          <rPr>
            <sz val="9"/>
            <color indexed="81"/>
            <rFont val="Tahoma"/>
            <family val="2"/>
          </rPr>
          <t>Esta sección llena automáticamente de acuerdo a la información registrada en la tabla de actores individuales.</t>
        </r>
      </text>
    </comment>
    <comment ref="E9" authorId="1" shapeId="0" xr:uid="{59B53188-18C9-44BA-B102-FDE8AD93854B}">
      <text>
        <r>
          <rPr>
            <sz val="9"/>
            <color indexed="81"/>
            <rFont val="Tahoma"/>
            <family val="2"/>
          </rPr>
          <t>Es necesario registrar estas celdas o de lo contrario no se contaran los actores en la tabla de arriba.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E10" authorId="0" shapeId="0" xr:uid="{54D48D4F-6215-4AB7-B474-2B41D7D5138E}">
      <text>
        <r>
          <rPr>
            <sz val="9"/>
            <color indexed="81"/>
            <rFont val="Tahoma"/>
            <family val="2"/>
          </rPr>
          <t xml:space="preserve">La conversión de horas por punto de caso de uso se ajustará de acuerdo con los históricos.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Tania López</author>
    <author>Pedro Alatorre</author>
    <author>Documentación Innevo</author>
  </authors>
  <commentList>
    <comment ref="E3" authorId="0" shapeId="0" xr:uid="{6EAB75B4-D1D4-4293-9D7F-3021F39E6103}">
      <text>
        <r>
          <rPr>
            <sz val="9"/>
            <color indexed="81"/>
            <rFont val="Tahoma"/>
            <family val="2"/>
          </rPr>
          <t>Estos porcentajes se ajustarán de acuerdo con la información de cada proyecto y a los históricos.</t>
        </r>
      </text>
    </comment>
    <comment ref="A11" authorId="1" shapeId="0" xr:uid="{68483197-E1A6-4ED2-83FF-78C63386AC60}">
      <text>
        <r>
          <rPr>
            <b/>
            <sz val="9"/>
            <color indexed="81"/>
            <rFont val="Tahoma"/>
            <family val="2"/>
          </rPr>
          <t xml:space="preserve">Días por persona/mes
</t>
        </r>
        <r>
          <rPr>
            <sz val="9"/>
            <color indexed="81"/>
            <rFont val="Tahoma"/>
            <family val="2"/>
          </rPr>
          <t>Ingrese el factor de conversión que se usará para convertir meses-persona de esfuerzo en días-persona de esfuerzo, estos son los días laborales de la semana.
Nota: el valor predeterminado es 21.5 días establecido por nómina.</t>
        </r>
      </text>
    </comment>
    <comment ref="C11" authorId="1" shapeId="0" xr:uid="{15A72D43-8E8D-49A5-8CCC-93CF49C24E50}">
      <text>
        <r>
          <rPr>
            <sz val="9"/>
            <color indexed="81"/>
            <rFont val="Tahoma"/>
            <family val="2"/>
          </rPr>
          <t>Horas efectivas de trabajo.</t>
        </r>
      </text>
    </comment>
    <comment ref="E11" authorId="1" shapeId="0" xr:uid="{7A81648E-5A1C-4B94-8A6E-9CA40F0176B9}">
      <text>
        <r>
          <rPr>
            <sz val="9"/>
            <color indexed="81"/>
            <rFont val="Tahoma"/>
            <family val="2"/>
          </rPr>
          <t>Días redondeados</t>
        </r>
      </text>
    </comment>
    <comment ref="C12" authorId="2" shapeId="0" xr:uid="{94C3B288-135B-4651-899E-B152E36321E9}">
      <text>
        <r>
          <rPr>
            <sz val="9"/>
            <color indexed="81"/>
            <rFont val="Tahoma"/>
            <family val="2"/>
          </rPr>
          <t>Horas efectivas sugeridas, modificar en caso de conocer el tiempo efectivo real dentro de la organización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<sst xmlns="http://schemas.openxmlformats.org/spreadsheetml/2006/main" count="153" uniqueCount="136">
  <si>
    <t>AW</t>
  </si>
  <si>
    <t>Simple</t>
  </si>
  <si>
    <t>Factor de complejidad técnica</t>
  </si>
  <si>
    <t>Factor ambiental</t>
  </si>
  <si>
    <t>Puntos de caso de uso no ajustados</t>
  </si>
  <si>
    <t>Ponderación de actores</t>
  </si>
  <si>
    <t>Puntos de caso de uso</t>
  </si>
  <si>
    <t>Relación</t>
  </si>
  <si>
    <t>Horas de esfuerzo por punto de caso de uso</t>
  </si>
  <si>
    <t>Horas de esfuerzo</t>
  </si>
  <si>
    <t>Factor técnico</t>
  </si>
  <si>
    <t>Magnitud relativa
(Ingrese 0-5)</t>
  </si>
  <si>
    <t>Descripción</t>
  </si>
  <si>
    <t>Sistema Distribuido Requerido</t>
  </si>
  <si>
    <t>El tiempo de respuesta es importante</t>
  </si>
  <si>
    <t>Eficiencia del usuario final</t>
  </si>
  <si>
    <t>Procesamiento interno complejo requerido</t>
  </si>
  <si>
    <t>El código reutilizable debe ser un foco</t>
  </si>
  <si>
    <t>Fácil instalación</t>
  </si>
  <si>
    <t>Usabilidad</t>
  </si>
  <si>
    <t>Soporte multiplataforma</t>
  </si>
  <si>
    <t>Fácil de cambiar</t>
  </si>
  <si>
    <t>Altamente concurrente</t>
  </si>
  <si>
    <t>Seguridad personalizada</t>
  </si>
  <si>
    <t>Dependencia del código de terceros</t>
  </si>
  <si>
    <t>Entrenamiento de usuario</t>
  </si>
  <si>
    <t>Familiaridad con el proyecto</t>
  </si>
  <si>
    <t>Experiencia de aplicación</t>
  </si>
  <si>
    <t>Motivación</t>
  </si>
  <si>
    <t>Personal a tiempo parcial</t>
  </si>
  <si>
    <t>Lenguaje de programación difícil</t>
  </si>
  <si>
    <t>Este multiplicador también es negativo. Los idiomas más difíciles representan números más altos. Creemos que la dificultad está en el ojo del be-coder (gemido). Java puede ser difícil para un programador de Fortran. Piénsalo en términos de dificultad para tu equipo, no de dificultad abstracta.</t>
  </si>
  <si>
    <t>Número de casos de uso</t>
  </si>
  <si>
    <t>Caso de uso simple: hasta 3 transacciones.</t>
  </si>
  <si>
    <t>Caso de uso promedio: de 4 a 7 transacciones.</t>
  </si>
  <si>
    <t>Caso de uso complejo: más de 7 transacciones.</t>
  </si>
  <si>
    <t>Promedio</t>
  </si>
  <si>
    <t>Complejo</t>
  </si>
  <si>
    <t>Casos de uso individual</t>
  </si>
  <si>
    <t>Nombre de caso de uso</t>
  </si>
  <si>
    <t>Nombre del actor</t>
  </si>
  <si>
    <t>Número de actores</t>
  </si>
  <si>
    <t>AW Calculado</t>
  </si>
  <si>
    <t>Nota: Inserte filas adicionales encima de esta fila y copie los valores de celda para actualizar automáticamente los recuentos de actor por tipo</t>
  </si>
  <si>
    <t>Nota: Inserte filas adicionales encima de esta fila y copie los valores de celda para actualizar automáticamente los recuentos de actores por tipo</t>
  </si>
  <si>
    <r>
      <t>La definición original de</t>
    </r>
    <r>
      <rPr>
        <b/>
        <sz val="10"/>
        <rFont val="Arial"/>
        <family val="2"/>
      </rPr>
      <t xml:space="preserve"> actores complejos</t>
    </r>
    <r>
      <rPr>
        <sz val="10"/>
        <rFont val="Arial"/>
        <family val="2"/>
      </rPr>
      <t xml:space="preserve"> especifica que los</t>
    </r>
    <r>
      <rPr>
        <b/>
        <sz val="10"/>
        <rFont val="Arial"/>
        <family val="2"/>
      </rPr>
      <t xml:space="preserve"> usuarios que interactúan con el software a través de una interfaz gráfica</t>
    </r>
    <r>
      <rPr>
        <sz val="10"/>
        <rFont val="Arial"/>
        <family val="2"/>
      </rPr>
      <t xml:space="preserve"> de usuario son actores complejos. Si bien eso es cierto, la misma clasificación debería aplicarse a los usuarios que interactúan con el sistema de manera impredecible. Una interfaz AJAX que expone más de la aplicación subyacente (y almacenes de datos) de lo que estaría disponible a través de un protocolo rígido podría introducir una complejidad similar.</t>
    </r>
  </si>
  <si>
    <t>Puntos de caso de uso sin ajustar</t>
  </si>
  <si>
    <r>
      <rPr>
        <b/>
        <sz val="10"/>
        <rFont val="Arial"/>
        <family val="2"/>
      </rPr>
      <t>¿Cuánta experiencia tiene su equipo trabajando en este dominio?</t>
    </r>
    <r>
      <rPr>
        <sz val="10"/>
        <rFont val="Arial"/>
        <family val="2"/>
      </rPr>
      <t xml:space="preserve"> El dominio del proyecto será un reflejo de lo que el software pretende lograr, no el lenguaje de implementación. En otras palabras, para un sistema de compensación de seguros escrito en java, te importa la experiencia del equipo en el espacio de compensación de seguros, no cuánto java han escrito. Los niveles más altos de experiencia obtienen un número más alto.</t>
    </r>
  </si>
  <si>
    <r>
      <rPr>
        <b/>
        <sz val="10"/>
        <rFont val="Arial"/>
        <family val="2"/>
      </rPr>
      <t>¿Cuánta experiencia tiene su equipo con la aplicación?</t>
    </r>
    <r>
      <rPr>
        <sz val="10"/>
        <rFont val="Arial"/>
        <family val="2"/>
      </rPr>
      <t>. Esto solo será relevante cuando se realicen cambios en una aplicación existente. Los números más altos representan más experiencia. Para una nueva aplicación, la experiencia de todos será 0.</t>
    </r>
  </si>
  <si>
    <r>
      <rPr>
        <b/>
        <sz val="10"/>
        <rFont val="Arial"/>
        <family val="2"/>
      </rPr>
      <t>¿Cuánta experiencia tiene tu equipo en OO?</t>
    </r>
    <r>
      <rPr>
        <sz val="10"/>
        <rFont val="Arial"/>
        <family val="2"/>
      </rPr>
      <t xml:space="preserve"> Puede ser fácil olvidar que muchas personas no tienen experiencia en programación orientada a objetos si está acostumbrado a tenerla. Un proyecto centrado en el usuario o basado en casos de uso tendrá una estructura inherentemente OO en la implementación. Los números más altos representan más experiencia OO.</t>
    </r>
  </si>
  <si>
    <r>
      <rPr>
        <b/>
        <sz val="10"/>
        <rFont val="Arial"/>
        <family val="2"/>
      </rPr>
      <t>¿Qué tan conocedora y capaz es la persona responsable de los requisitos?</t>
    </r>
    <r>
      <rPr>
        <sz val="10"/>
        <rFont val="Arial"/>
        <family val="2"/>
      </rPr>
      <t xml:space="preserve"> Los malos requisitos son el asesino número uno de los proyectos: el Grupo Standish informa que del 40% al 60% de los defectos provienen de malos requisitos. Los números más altos representan una mayor habilidad y conocimiento.</t>
    </r>
  </si>
  <si>
    <r>
      <rPr>
        <b/>
        <sz val="10"/>
        <rFont val="Arial"/>
        <family val="2"/>
      </rPr>
      <t>¿Qué tan motivado está tu equipo?</t>
    </r>
    <r>
      <rPr>
        <sz val="10"/>
        <rFont val="Arial"/>
        <family val="2"/>
      </rPr>
      <t xml:space="preserve"> Los números más altos representan más motivación</t>
    </r>
  </si>
  <si>
    <r>
      <rPr>
        <b/>
        <sz val="10"/>
        <rFont val="Arial"/>
        <family val="2"/>
      </rPr>
      <t>¿La rapidez de respuesta de los usuarios es un factor importante?</t>
    </r>
    <r>
      <rPr>
        <sz val="10"/>
        <rFont val="Arial"/>
        <family val="2"/>
      </rPr>
      <t xml:space="preserve"> (y no trivial). Por ejemplo, si se espera que la carga del servidor sea muy baja, esto puede ser un factor trivial. Los números más altos representan una importancia creciente del tiempo de respuesta (un motor de búsqueda tendría un número alto, un agregador diario de noticias tendría un número bajo).</t>
    </r>
  </si>
  <si>
    <r>
      <t xml:space="preserve">La </t>
    </r>
    <r>
      <rPr>
        <b/>
        <sz val="10"/>
        <rFont val="Arial"/>
        <family val="2"/>
      </rPr>
      <t>arquitectura</t>
    </r>
    <r>
      <rPr>
        <sz val="10"/>
        <rFont val="Arial"/>
        <family val="2"/>
      </rPr>
      <t xml:space="preserve"> de la solución puede ser </t>
    </r>
    <r>
      <rPr>
        <b/>
        <sz val="10"/>
        <rFont val="Arial"/>
        <family val="2"/>
      </rPr>
      <t>centralizada o de un solo usuario</t>
    </r>
    <r>
      <rPr>
        <sz val="10"/>
        <rFont val="Arial"/>
        <family val="2"/>
      </rPr>
      <t>, o puede ser distribuida (como una solución de "n" niveles) o multiusuario. Los números más altos representan una arquitectura más compleja.</t>
    </r>
  </si>
  <si>
    <r>
      <rPr>
        <b/>
        <sz val="10"/>
        <rFont val="Arial"/>
        <family val="2"/>
      </rPr>
      <t>¿La aplicación se está desarrollando para optimizar la eficiencia del usuario o solo la capacidad?</t>
    </r>
    <r>
      <rPr>
        <sz val="10"/>
        <rFont val="Arial"/>
        <family val="2"/>
      </rPr>
      <t xml:space="preserve"> Los números más altos representan proyectos que dependen más de la aplicación para mejorar la eficiencia del usuario.</t>
    </r>
  </si>
  <si>
    <r>
      <rPr>
        <b/>
        <sz val="10"/>
        <rFont val="Arial"/>
        <family val="2"/>
      </rPr>
      <t>¿Hay mucho trabajo algorítmico difícil de hacer y probar?</t>
    </r>
    <r>
      <rPr>
        <sz val="10"/>
        <rFont val="Arial"/>
        <family val="2"/>
      </rPr>
      <t xml:space="preserve"> Los algoritmos complejos (nivelación de recursos, análisis de sistemas en el dominio del tiempo, cubos OLAP) tienen números más altos. Las consultas simples a la base de datos tendrían números bajos.</t>
    </r>
  </si>
  <si>
    <r>
      <rPr>
        <b/>
        <sz val="10"/>
        <rFont val="Arial"/>
        <family val="2"/>
      </rPr>
      <t>¿La reutilización de código pesado es un objetivo o una meta?</t>
    </r>
    <r>
      <rPr>
        <sz val="10"/>
        <rFont val="Arial"/>
        <family val="2"/>
      </rPr>
      <t xml:space="preserve"> La reutilización de código reduce la cantidad de esfuerzo necesario para implementar un proyecto. También reduce la cantidad de tiempo necesario para depurar un proyecto. Una función de biblioteca compartida se puede reutilizar varias veces y arreglar el código en un solo lugar puede resolver varios errores. Cuanto mayor sea el nivel de reutilización, menor será el número.</t>
    </r>
  </si>
  <si>
    <r>
      <rPr>
        <b/>
        <sz val="10"/>
        <rFont val="Arial"/>
        <family val="2"/>
      </rPr>
      <t>¿Es la facilidad de uso un criterio principal para la aceptación</t>
    </r>
    <r>
      <rPr>
        <sz val="10"/>
        <rFont val="Arial"/>
        <family val="2"/>
      </rPr>
      <t>? Cuanto mayor sea la importancia de la usabilidad, mayor será el número.</t>
    </r>
  </si>
  <si>
    <r>
      <rPr>
        <b/>
        <sz val="10"/>
        <rFont val="Arial"/>
        <family val="2"/>
      </rPr>
      <t>¿La facilidad de instalación para los usuarios finales es un factor clave?</t>
    </r>
    <r>
      <rPr>
        <sz val="10"/>
        <rFont val="Arial"/>
        <family val="2"/>
      </rPr>
      <t xml:space="preserve"> Cuanto mayor sea el nivel de competencia de los usuarios, menor será el número.</t>
    </r>
  </si>
  <si>
    <r>
      <rPr>
        <b/>
        <sz val="10"/>
        <rFont val="Arial"/>
        <family val="2"/>
      </rPr>
      <t xml:space="preserve">¿Se requiere soporte multiplataforma? </t>
    </r>
    <r>
      <rPr>
        <sz val="10"/>
        <rFont val="Arial"/>
        <family val="2"/>
      </rPr>
      <t>Cuantas más plataformas deban ser compatibles (esto podría ser versiones de navegador, dispositivos móviles, etc. o Windows/OSX/Unix), mayor será el valor.</t>
    </r>
  </si>
  <si>
    <r>
      <rPr>
        <b/>
        <sz val="10"/>
        <rFont val="Arial"/>
        <family val="2"/>
      </rPr>
      <t>¿El cliente requiere la capacidad de cambiar o personalizar la aplicación en el futuro?</t>
    </r>
    <r>
      <rPr>
        <sz val="10"/>
        <rFont val="Arial"/>
        <family val="2"/>
      </rPr>
      <t xml:space="preserve"> Cuantos más cambios/personalizaciones se requieran en el futuro, mayor será el valor.</t>
    </r>
  </si>
  <si>
    <r>
      <rPr>
        <b/>
        <sz val="10"/>
        <rFont val="Arial"/>
        <family val="2"/>
      </rPr>
      <t>¿Tendrá que abordar el bloqueo de la base de datos y otros problemas de simultaneidad?</t>
    </r>
    <r>
      <rPr>
        <sz val="10"/>
        <rFont val="Arial"/>
        <family val="2"/>
      </rPr>
      <t xml:space="preserve"> Cuanta más atención deba dedicar a resolver conflictos en los datos o la aplicación, mayor será el valor.</t>
    </r>
  </si>
  <si>
    <r>
      <rPr>
        <b/>
        <sz val="10"/>
        <rFont val="Arial"/>
        <family val="2"/>
      </rPr>
      <t>¿Se pueden aprovechar las soluciones de seguridad existentes o se debe desarrollar un código personalizado?</t>
    </r>
    <r>
      <rPr>
        <sz val="10"/>
        <rFont val="Arial"/>
        <family val="2"/>
      </rPr>
      <t xml:space="preserve"> Cuanto más trabajo de seguridad personalizado tenga que hacer (nivel de campo, nivel de página o seguridad basada en funciones, por ejemplo), mayor será el valor.</t>
    </r>
  </si>
  <si>
    <r>
      <rPr>
        <b/>
        <sz val="10"/>
        <rFont val="Arial"/>
        <family val="2"/>
      </rPr>
      <t>¿La aplicación requerirá el uso de controles o bibliotecas de terceros?</t>
    </r>
    <r>
      <rPr>
        <sz val="10"/>
        <rFont val="Arial"/>
        <family val="2"/>
      </rPr>
      <t xml:space="preserve"> Al igual que el código reutilizable, el código de terceros puede reducir el esfuerzo necesario para implementar una solución. Cuanto más código de terceros (y más fiable sea el código de terceros), menor será el número.</t>
    </r>
  </si>
  <si>
    <r>
      <rPr>
        <b/>
        <sz val="10"/>
        <rFont val="Arial"/>
        <family val="2"/>
      </rPr>
      <t>¿Cuánta capacitación del usuario se requiere?</t>
    </r>
    <r>
      <rPr>
        <sz val="10"/>
        <rFont val="Arial"/>
        <family val="2"/>
      </rPr>
      <t xml:space="preserve"> </t>
    </r>
    <r>
      <rPr>
        <b/>
        <sz val="10"/>
        <rFont val="Arial"/>
        <family val="2"/>
      </rPr>
      <t>¿La aplicación es compleja o admite actividades complejas?</t>
    </r>
    <r>
      <rPr>
        <sz val="10"/>
        <rFont val="Arial"/>
        <family val="2"/>
      </rPr>
      <t xml:space="preserve"> Cuanto más tarden los usuarios en cruzar el umbral de succión (lograr un nivel de dominio del producto), mayor será el valor.</t>
    </r>
  </si>
  <si>
    <t>Peso</t>
  </si>
  <si>
    <t>Estabilidad de los requisitos</t>
  </si>
  <si>
    <t>Listado de actores</t>
  </si>
  <si>
    <r>
      <rPr>
        <b/>
        <sz val="10"/>
        <rFont val="Arial"/>
        <family val="2"/>
      </rPr>
      <t>¿Qué tanto nos desestabiliza el cambio?</t>
    </r>
    <r>
      <rPr>
        <sz val="10"/>
        <rFont val="Arial"/>
        <family val="2"/>
      </rPr>
      <t>, Los cambios en los requisitos pueden causar aumentos en el trabajo. La forma de evitar esto es planificando el cambio e instituyendo un sistema de cronometraje para administrar esos cambios. Algunos retrabajos serán inevitables. Los números más altos representan más cambios (o un sistema menos efectivo para gestionar el cambio).</t>
    </r>
  </si>
  <si>
    <r>
      <rPr>
        <b/>
        <sz val="10"/>
        <rFont val="Arial"/>
        <family val="2"/>
      </rPr>
      <t>¿Hay personal de manera parcial en el proyecto?</t>
    </r>
    <r>
      <rPr>
        <sz val="10"/>
        <rFont val="Arial"/>
        <family val="2"/>
      </rPr>
      <t>, se involucran en varios proyectos al mismo tiempo, al tener una persona en tiempo parcial el número es mayor a 0 (cero). Tenga en cuenta que el multiplicador para este número es negativo. Los números más altos reflejan a los miembros del equipo que son a tiempo parcial, consultores externos y desarrolladores que dividen su tiempo en proyectos. El cambio de contexto y otros factores intangibles hacen que estos miembros del equipo sean menos eficientes.</t>
    </r>
  </si>
  <si>
    <t>TCF</t>
  </si>
  <si>
    <t>EF</t>
  </si>
  <si>
    <t>UUCP</t>
  </si>
  <si>
    <t>UCP</t>
  </si>
  <si>
    <t>Costo</t>
  </si>
  <si>
    <t>DPM</t>
  </si>
  <si>
    <t>Multiplicador</t>
  </si>
  <si>
    <t xml:space="preserve">Actor </t>
  </si>
  <si>
    <r>
      <t xml:space="preserve">Los </t>
    </r>
    <r>
      <rPr>
        <b/>
        <sz val="10"/>
        <rFont val="Arial"/>
        <family val="2"/>
      </rPr>
      <t>actores simples</t>
    </r>
    <r>
      <rPr>
        <sz val="10"/>
        <rFont val="Arial"/>
        <family val="2"/>
      </rPr>
      <t xml:space="preserve"> son</t>
    </r>
    <r>
      <rPr>
        <b/>
        <sz val="10"/>
        <rFont val="Arial"/>
        <family val="2"/>
      </rPr>
      <t xml:space="preserve"> otros sistemas que se comunican con el software a través de una API predefinida</t>
    </r>
    <r>
      <rPr>
        <sz val="10"/>
        <rFont val="Arial"/>
        <family val="2"/>
      </rPr>
      <t>. Una API podría exponerse a través de una dll, o como REST, SOAP o cualquier API de servicio web o llamada a procedimiento remoto (RPC). El elemento clave es que está exponiendo la interacción con su software a través de un mecanismo específico y bien definido.</t>
    </r>
  </si>
  <si>
    <t>Nombre del proyecto</t>
  </si>
  <si>
    <r>
      <rPr>
        <b/>
        <sz val="12"/>
        <color theme="1"/>
        <rFont val="Calibri"/>
        <family val="2"/>
        <scheme val="minor"/>
      </rPr>
      <t>Proyecto:</t>
    </r>
    <r>
      <rPr>
        <sz val="12"/>
        <color theme="1"/>
        <rFont val="Calibri"/>
        <family val="2"/>
        <scheme val="minor"/>
      </rPr>
      <t xml:space="preserve"> </t>
    </r>
  </si>
  <si>
    <r>
      <rPr>
        <b/>
        <sz val="12"/>
        <color theme="1"/>
        <rFont val="Calibri"/>
        <family val="2"/>
        <scheme val="minor"/>
      </rPr>
      <t>Cliente:</t>
    </r>
    <r>
      <rPr>
        <sz val="12"/>
        <color theme="1"/>
        <rFont val="Calibri"/>
        <family val="2"/>
        <scheme val="minor"/>
      </rPr>
      <t xml:space="preserve"> </t>
    </r>
  </si>
  <si>
    <t>Nombre del cliente</t>
  </si>
  <si>
    <t>Aspectos considerados</t>
  </si>
  <si>
    <t>Proyecto de Referencia 1</t>
  </si>
  <si>
    <t>Proyecto de Referencia 2</t>
  </si>
  <si>
    <t>Proyecto de Referencia 3</t>
  </si>
  <si>
    <t>Proyecto de Referencia 4</t>
  </si>
  <si>
    <t>Indique el nombre del proyecto o proyectos de referencia revisados</t>
  </si>
  <si>
    <t>Información histórica de referencia</t>
  </si>
  <si>
    <t>Capacidad del analista principal</t>
  </si>
  <si>
    <t>Determinar el valor que caracteriza a cada factor de 0 a 5.</t>
  </si>
  <si>
    <t>EF Calculados</t>
  </si>
  <si>
    <t xml:space="preserve"> TCF calculados</t>
  </si>
  <si>
    <t xml:space="preserve"> UUCP calculados</t>
  </si>
  <si>
    <r>
      <t>Los</t>
    </r>
    <r>
      <rPr>
        <b/>
        <sz val="10"/>
        <rFont val="Arial"/>
        <family val="2"/>
      </rPr>
      <t xml:space="preserve"> actores promedio</t>
    </r>
    <r>
      <rPr>
        <sz val="10"/>
        <rFont val="Arial"/>
        <family val="2"/>
      </rPr>
      <t xml:space="preserve"> pueden ser personas</t>
    </r>
    <r>
      <rPr>
        <b/>
        <sz val="10"/>
        <rFont val="Arial"/>
        <family val="2"/>
      </rPr>
      <t xml:space="preserve"> que interactúan en un protocolo bien definido</t>
    </r>
    <r>
      <rPr>
        <sz val="10"/>
        <rFont val="Arial"/>
        <family val="2"/>
      </rPr>
      <t xml:space="preserve">, </t>
    </r>
    <r>
      <rPr>
        <b/>
        <sz val="10"/>
        <rFont val="Arial"/>
        <family val="2"/>
      </rPr>
      <t>o</t>
    </r>
    <r>
      <rPr>
        <sz val="10"/>
        <rFont val="Arial"/>
        <family val="2"/>
      </rPr>
      <t xml:space="preserve"> podrían ser </t>
    </r>
    <r>
      <rPr>
        <b/>
        <sz val="10"/>
        <rFont val="Arial"/>
        <family val="2"/>
      </rPr>
      <t>sistemas que interactúan a través de una API</t>
    </r>
    <r>
      <rPr>
        <sz val="10"/>
        <rFont val="Arial"/>
        <family val="2"/>
      </rPr>
      <t xml:space="preserve"> más compleja o flexible.</t>
    </r>
  </si>
  <si>
    <t>Cálculos de otras tablas</t>
  </si>
  <si>
    <t>Cálculo de puntos de caso de uso</t>
  </si>
  <si>
    <t>Cálculo del esfuerzo estimado</t>
  </si>
  <si>
    <t>Actividades</t>
  </si>
  <si>
    <t>Horas</t>
  </si>
  <si>
    <t>%</t>
  </si>
  <si>
    <t>Análisis</t>
  </si>
  <si>
    <t>AN</t>
  </si>
  <si>
    <t>Diseño</t>
  </si>
  <si>
    <t>AR</t>
  </si>
  <si>
    <t>Construcción</t>
  </si>
  <si>
    <t>DE</t>
  </si>
  <si>
    <t xml:space="preserve">Total </t>
  </si>
  <si>
    <t>Pruebas</t>
  </si>
  <si>
    <t>LT</t>
  </si>
  <si>
    <t>Otros conceptos</t>
  </si>
  <si>
    <t>Compras</t>
  </si>
  <si>
    <t>Licencias</t>
  </si>
  <si>
    <t>Formación</t>
  </si>
  <si>
    <t>Consumibles</t>
  </si>
  <si>
    <t>Presupuesto total</t>
  </si>
  <si>
    <t>Líder de proyecto</t>
  </si>
  <si>
    <t>Líder técnico</t>
  </si>
  <si>
    <t>Analista</t>
  </si>
  <si>
    <t>Arquitecto</t>
  </si>
  <si>
    <t>Tester</t>
  </si>
  <si>
    <t>Desarrollador</t>
  </si>
  <si>
    <t>Rol</t>
  </si>
  <si>
    <t>Conceptos</t>
  </si>
  <si>
    <t>Horas efectivas de trabajo</t>
  </si>
  <si>
    <t>Costo por mes</t>
  </si>
  <si>
    <t>Días hombre</t>
  </si>
  <si>
    <t>Plazo en meses</t>
  </si>
  <si>
    <t>Desglose de horas por actividad</t>
  </si>
  <si>
    <t>Razonamiento o base para la estimación y motivo de ajuste en la estimación. Describir el fundamento de las estimaciones de esfuerzo, duración y costo, para que proporcionen el contexto para el uso de datos históricos.</t>
  </si>
  <si>
    <t>Costos</t>
  </si>
  <si>
    <t>Magnitud relativa 
(Ingrese 0-5)</t>
  </si>
  <si>
    <t>Experiencia en programación orientada a objeto</t>
  </si>
  <si>
    <t xml:space="preserve">Días totales </t>
  </si>
  <si>
    <t>hacer una compra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</si>
</sst>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quot;$&quot;#,##0;[Red]\-&quot;$&quot;#,##0"/>
    <numFmt numFmtId="165" formatCode="_-&quot;$&quot;* #,##0.00_-;\-&quot;$&quot;* #,##0.00_-;_-&quot;$&quot;* &quot;-&quot;??_-;_-@_-"/>
    <numFmt numFmtId="166" formatCode="_(* #,##0_);_(* \(#,##0\);_(* &quot;-&quot;??_);_(@_)"/>
    <numFmt numFmtId="167" formatCode="0.0"/>
    <numFmt numFmtId="168" formatCode="#,##0.00\ &quot;€&quot;"/>
    <numFmt numFmtId="169" formatCode="0.00%;[Red]\-0.00%"/>
    <numFmt numFmtId="170" formatCode="_-[$$-80A]* #,##0.00_-;\-[$$-80A]* #,##0.00_-;_-[$$-80A]* &quot;-&quot;??_-;_-@_-"/>
    <numFmt numFmtId="171" formatCode="_-&quot;$&quot;* #,##0_-;\-&quot;$&quot;* #,##0_-;_-&quot;$&quot;* &quot;-&quot;??_-;_-@_-"/>
    <numFmt numFmtId="172" formatCode="#,##0.00\ &quot;€&quot;;\-#,##0.00\ &quot;€&quot;"/>
  </numFmts>
  <fonts count="41" x14ac:knownFonts="1">
    <font>
      <sz val="10"/>
      <name val="Arial"/>
    </font>
    <font>
      <sz val="10"/>
      <name val="Arial"/>
      <family val="2"/>
    </font>
    <font>
      <sz val="8"/>
      <name val="Arial"/>
      <family val="2"/>
    </font>
    <font>
      <sz val="12"/>
      <name val="Arial"/>
      <family val="2"/>
    </font>
    <font>
      <b/>
      <sz val="12"/>
      <name val="Arial"/>
      <family val="2"/>
    </font>
    <font>
      <sz val="10"/>
      <name val="Arial"/>
      <family val="2"/>
    </font>
    <font>
      <b/>
      <sz val="10"/>
      <name val="Arial"/>
      <family val="2"/>
    </font>
    <font>
      <b/>
      <sz val="11"/>
      <color indexed="9"/>
      <name val="Arial"/>
      <family val="2"/>
    </font>
    <font>
      <sz val="12"/>
      <name val="Arial"/>
      <family val="2"/>
    </font>
    <font>
      <b/>
      <sz val="12"/>
      <color indexed="9"/>
      <name val="Arial"/>
      <family val="2"/>
    </font>
    <font>
      <b/>
      <sz val="12"/>
      <color theme="0"/>
      <name val="Arial"/>
      <family val="2"/>
    </font>
    <font>
      <b/>
      <sz val="14"/>
      <color theme="1"/>
      <name val="Arial"/>
      <family val="2"/>
    </font>
    <font>
      <b/>
      <sz val="12"/>
      <color theme="1"/>
      <name val="Arial"/>
      <family val="2"/>
    </font>
    <font>
      <b/>
      <sz val="10"/>
      <color theme="1"/>
      <name val="Arial"/>
      <family val="2"/>
    </font>
    <font>
      <b/>
      <sz val="10"/>
      <color theme="0"/>
      <name val="Arial"/>
      <family val="2"/>
    </font>
    <font>
      <b/>
      <sz val="14"/>
      <name val="Arial"/>
      <family val="2"/>
    </font>
    <font>
      <sz val="9"/>
      <color indexed="81"/>
      <name val="Tahoma"/>
      <family val="2"/>
    </font>
    <font>
      <b/>
      <sz val="9"/>
      <color indexed="81"/>
      <name val="Tahoma"/>
      <family val="2"/>
    </font>
    <font>
      <b/>
      <sz val="11"/>
      <color theme="0"/>
      <name val="Arial"/>
      <family val="2"/>
    </font>
    <font>
      <sz val="12"/>
      <color theme="0"/>
      <name val="Arial"/>
      <family val="2"/>
    </font>
    <font>
      <sz val="8"/>
      <name val="Arial"/>
      <family val="2"/>
    </font>
    <font>
      <b/>
      <sz val="16"/>
      <color theme="0"/>
      <name val="Calibri"/>
      <family val="2"/>
      <scheme val="minor"/>
    </font>
    <font>
      <b/>
      <sz val="12"/>
      <name val="Calibri"/>
      <family val="2"/>
      <scheme val="minor"/>
    </font>
    <font>
      <sz val="12"/>
      <color theme="1"/>
      <name val="Calibri"/>
      <family val="2"/>
      <scheme val="minor"/>
    </font>
    <font>
      <b/>
      <sz val="12"/>
      <color theme="1"/>
      <name val="Calibri"/>
      <family val="2"/>
      <scheme val="minor"/>
    </font>
    <font>
      <i/>
      <sz val="11"/>
      <color theme="1" tint="0.249977111117893"/>
      <name val="Calibri"/>
      <family val="2"/>
      <scheme val="minor"/>
    </font>
    <font>
      <sz val="10"/>
      <name val="Arial"/>
      <family val="2"/>
    </font>
    <font>
      <sz val="10"/>
      <name val="Calibri"/>
      <family val="2"/>
      <scheme val="minor"/>
    </font>
    <font>
      <b/>
      <sz val="10"/>
      <name val="Calibri"/>
      <family val="2"/>
      <scheme val="minor"/>
    </font>
    <font>
      <sz val="10"/>
      <color theme="1"/>
      <name val="Calibri"/>
      <family val="2"/>
      <scheme val="minor"/>
    </font>
    <font>
      <sz val="9"/>
      <color indexed="63"/>
      <name val="Verdana"/>
      <family val="2"/>
    </font>
    <font>
      <sz val="9"/>
      <name val="Verdana"/>
      <family val="2"/>
    </font>
    <font>
      <sz val="11"/>
      <name val="Calibri"/>
      <family val="2"/>
      <scheme val="minor"/>
    </font>
    <font>
      <sz val="10"/>
      <color indexed="63"/>
      <name val="Calibri"/>
      <family val="2"/>
      <scheme val="minor"/>
    </font>
    <font>
      <b/>
      <sz val="11"/>
      <color indexed="63"/>
      <name val="Calibri"/>
      <family val="2"/>
      <scheme val="minor"/>
    </font>
    <font>
      <b/>
      <i/>
      <sz val="9"/>
      <name val="Calibri"/>
      <family val="2"/>
      <scheme val="minor"/>
    </font>
    <font>
      <b/>
      <sz val="9"/>
      <color indexed="63"/>
      <name val="Verdana"/>
      <family val="2"/>
    </font>
    <font>
      <b/>
      <sz val="12"/>
      <color theme="0"/>
      <name val="Calibri"/>
      <family val="2"/>
      <scheme val="minor"/>
    </font>
    <font>
      <i/>
      <sz val="10"/>
      <color theme="1" tint="0.34998626667073579"/>
      <name val="Calibri"/>
      <family val="2"/>
      <scheme val="minor"/>
    </font>
    <font>
      <b/>
      <i/>
      <sz val="11"/>
      <color theme="1"/>
      <name val="Calibri"/>
      <family val="2"/>
      <scheme val="minor"/>
    </font>
    <font>
      <b/>
      <sz val="9"/>
      <color theme="0"/>
      <name val="Arial"/>
      <family val="2"/>
    </font>
  </fonts>
  <fills count="8">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4.9989318521683403E-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165" fontId="1" fillId="0" borderId="0" applyFont="0" applyFill="0" applyBorder="0" applyAlignment="0" applyProtection="0"/>
    <xf numFmtId="9" fontId="26" fillId="0" borderId="0" applyFont="0" applyFill="0" applyBorder="0" applyAlignment="0" applyProtection="0"/>
  </cellStyleXfs>
  <cellXfs count="181">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right"/>
    </xf>
    <xf numFmtId="0" fontId="0" fillId="0" borderId="0" xfId="0" applyAlignment="1">
      <alignment horizontal="left"/>
    </xf>
    <xf numFmtId="166" fontId="4" fillId="3" borderId="15" xfId="1" applyNumberFormat="1" applyFont="1" applyFill="1" applyBorder="1"/>
    <xf numFmtId="0" fontId="9" fillId="2" borderId="6" xfId="0" applyFont="1" applyFill="1" applyBorder="1" applyAlignment="1">
      <alignment horizontal="center" vertical="center"/>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10" fillId="2" borderId="6" xfId="0" applyFont="1" applyFill="1" applyBorder="1" applyAlignment="1">
      <alignment horizontal="center" vertical="center"/>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1" fillId="5" borderId="18" xfId="0" applyFont="1" applyFill="1" applyBorder="1" applyAlignment="1">
      <alignment horizontal="center" vertical="center"/>
    </xf>
    <xf numFmtId="0" fontId="13" fillId="5" borderId="18" xfId="0" applyFont="1" applyFill="1" applyBorder="1" applyAlignment="1">
      <alignment horizontal="center"/>
    </xf>
    <xf numFmtId="0" fontId="13" fillId="5" borderId="15" xfId="0" applyFont="1" applyFill="1" applyBorder="1" applyAlignment="1">
      <alignment wrapText="1"/>
    </xf>
    <xf numFmtId="0" fontId="18" fillId="2" borderId="6" xfId="0" applyFont="1" applyFill="1" applyBorder="1" applyAlignment="1">
      <alignment horizontal="center" vertical="center" wrapText="1"/>
    </xf>
    <xf numFmtId="0" fontId="5" fillId="3" borderId="1" xfId="0" applyFont="1" applyFill="1" applyBorder="1" applyAlignment="1">
      <alignment horizontal="right" indent="1"/>
    </xf>
    <xf numFmtId="0" fontId="3" fillId="3" borderId="9" xfId="0" applyFont="1" applyFill="1" applyBorder="1"/>
    <xf numFmtId="167" fontId="3" fillId="3" borderId="9" xfId="0" applyNumberFormat="1" applyFont="1" applyFill="1" applyBorder="1"/>
    <xf numFmtId="0" fontId="5" fillId="0" borderId="0" xfId="0" applyFont="1"/>
    <xf numFmtId="0" fontId="0" fillId="5" borderId="1" xfId="0" applyFill="1" applyBorder="1" applyAlignment="1">
      <alignment horizontal="center" vertical="center"/>
    </xf>
    <xf numFmtId="0" fontId="0" fillId="5" borderId="10" xfId="0" applyFill="1" applyBorder="1" applyAlignment="1">
      <alignment horizontal="center" vertical="center"/>
    </xf>
    <xf numFmtId="0" fontId="4" fillId="5" borderId="1" xfId="0" applyFont="1" applyFill="1" applyBorder="1" applyAlignment="1">
      <alignment horizontal="center" vertical="center" wrapText="1"/>
    </xf>
    <xf numFmtId="0" fontId="5" fillId="5" borderId="9" xfId="0" applyFont="1" applyFill="1" applyBorder="1" applyAlignment="1">
      <alignment vertical="center" wrapText="1"/>
    </xf>
    <xf numFmtId="0" fontId="5" fillId="5" borderId="18" xfId="0" applyFont="1" applyFill="1" applyBorder="1" applyAlignment="1">
      <alignment horizontal="center"/>
    </xf>
    <xf numFmtId="0" fontId="15" fillId="5" borderId="18" xfId="0" applyFont="1" applyFill="1" applyBorder="1" applyAlignment="1">
      <alignment horizontal="center" vertical="center"/>
    </xf>
    <xf numFmtId="0" fontId="5" fillId="5" borderId="15" xfId="0" applyFont="1" applyFill="1" applyBorder="1" applyAlignment="1">
      <alignment wrapText="1"/>
    </xf>
    <xf numFmtId="0" fontId="6" fillId="5" borderId="18" xfId="0" applyFont="1" applyFill="1" applyBorder="1" applyAlignment="1">
      <alignment horizontal="center"/>
    </xf>
    <xf numFmtId="0" fontId="0" fillId="5" borderId="9" xfId="0" applyFill="1" applyBorder="1" applyAlignment="1">
      <alignment vertical="center" wrapText="1"/>
    </xf>
    <xf numFmtId="0" fontId="6" fillId="5" borderId="15" xfId="0" applyFont="1" applyFill="1" applyBorder="1" applyAlignment="1">
      <alignment wrapText="1"/>
    </xf>
    <xf numFmtId="0" fontId="15" fillId="5" borderId="1" xfId="0" applyFont="1" applyFill="1" applyBorder="1" applyAlignment="1">
      <alignment horizontal="center" vertical="center"/>
    </xf>
    <xf numFmtId="0" fontId="6" fillId="0" borderId="0" xfId="0" applyFont="1" applyAlignment="1">
      <alignment horizontal="center"/>
    </xf>
    <xf numFmtId="0" fontId="6" fillId="0" borderId="0" xfId="0" applyFont="1" applyAlignment="1">
      <alignment horizontal="center" vertical="center" wrapText="1"/>
    </xf>
    <xf numFmtId="0" fontId="23" fillId="3" borderId="1" xfId="0" applyFont="1" applyFill="1" applyBorder="1" applyAlignment="1">
      <alignment horizontal="center" vertical="center"/>
    </xf>
    <xf numFmtId="0" fontId="27" fillId="4" borderId="0" xfId="0" applyFont="1" applyFill="1"/>
    <xf numFmtId="168" fontId="27" fillId="4" borderId="0" xfId="0" applyNumberFormat="1" applyFont="1" applyFill="1"/>
    <xf numFmtId="0" fontId="27" fillId="0" borderId="0" xfId="0" applyFont="1"/>
    <xf numFmtId="168" fontId="27" fillId="0" borderId="0" xfId="0" applyNumberFormat="1" applyFont="1"/>
    <xf numFmtId="10" fontId="27" fillId="4" borderId="0" xfId="0" applyNumberFormat="1" applyFont="1" applyFill="1"/>
    <xf numFmtId="0" fontId="31" fillId="4" borderId="0" xfId="0" applyFont="1" applyFill="1"/>
    <xf numFmtId="168" fontId="31" fillId="4" borderId="0" xfId="0" applyNumberFormat="1" applyFont="1" applyFill="1"/>
    <xf numFmtId="10" fontId="31" fillId="4" borderId="0" xfId="0" applyNumberFormat="1" applyFont="1" applyFill="1"/>
    <xf numFmtId="168" fontId="30" fillId="6" borderId="1" xfId="0" applyNumberFormat="1" applyFont="1" applyFill="1" applyBorder="1" applyAlignment="1">
      <alignment horizontal="center" vertical="center"/>
    </xf>
    <xf numFmtId="169" fontId="31" fillId="4" borderId="1" xfId="0" applyNumberFormat="1" applyFont="1" applyFill="1" applyBorder="1" applyAlignment="1">
      <alignment vertical="center" shrinkToFit="1"/>
    </xf>
    <xf numFmtId="164" fontId="27" fillId="4" borderId="1" xfId="0" applyNumberFormat="1" applyFont="1" applyFill="1" applyBorder="1" applyAlignment="1">
      <alignment horizontal="center"/>
    </xf>
    <xf numFmtId="165" fontId="27" fillId="0" borderId="1" xfId="2" applyFont="1" applyFill="1" applyBorder="1" applyAlignment="1">
      <alignment shrinkToFit="1"/>
    </xf>
    <xf numFmtId="2" fontId="31" fillId="4" borderId="0" xfId="0" applyNumberFormat="1" applyFont="1" applyFill="1"/>
    <xf numFmtId="2" fontId="0" fillId="0" borderId="0" xfId="0" applyNumberFormat="1"/>
    <xf numFmtId="0" fontId="1" fillId="0" borderId="0" xfId="0" applyFont="1"/>
    <xf numFmtId="0" fontId="28" fillId="0" borderId="0" xfId="0" applyFont="1" applyAlignment="1">
      <alignment horizontal="center" vertical="center"/>
    </xf>
    <xf numFmtId="0" fontId="0" fillId="0" borderId="0" xfId="0" applyAlignment="1"/>
    <xf numFmtId="0" fontId="35" fillId="0" borderId="0" xfId="0" applyFont="1"/>
    <xf numFmtId="0" fontId="14" fillId="2" borderId="1" xfId="0" applyFont="1" applyFill="1" applyBorder="1"/>
    <xf numFmtId="1" fontId="29" fillId="3" borderId="1" xfId="0" applyNumberFormat="1" applyFont="1" applyFill="1" applyBorder="1" applyAlignment="1">
      <alignment horizontal="center" vertical="center" shrinkToFit="1"/>
    </xf>
    <xf numFmtId="10" fontId="31" fillId="3" borderId="1" xfId="0" applyNumberFormat="1" applyFont="1" applyFill="1" applyBorder="1" applyAlignment="1">
      <alignment vertical="center" shrinkToFit="1"/>
    </xf>
    <xf numFmtId="2" fontId="31" fillId="3" borderId="1" xfId="0" applyNumberFormat="1" applyFont="1" applyFill="1" applyBorder="1" applyAlignment="1">
      <alignment vertical="center" shrinkToFit="1"/>
    </xf>
    <xf numFmtId="0" fontId="0" fillId="3" borderId="1" xfId="0" applyFill="1" applyBorder="1"/>
    <xf numFmtId="168" fontId="36" fillId="3" borderId="1" xfId="0" applyNumberFormat="1" applyFont="1" applyFill="1" applyBorder="1" applyAlignment="1">
      <alignment horizontal="center" vertical="center"/>
    </xf>
    <xf numFmtId="0" fontId="36" fillId="3" borderId="1" xfId="0" applyFont="1" applyFill="1" applyBorder="1" applyAlignment="1">
      <alignment horizontal="center" vertical="center"/>
    </xf>
    <xf numFmtId="168" fontId="36" fillId="3" borderId="1" xfId="0" applyNumberFormat="1" applyFont="1" applyFill="1" applyBorder="1" applyAlignment="1">
      <alignment horizontal="center" vertical="center" wrapText="1"/>
    </xf>
    <xf numFmtId="165" fontId="28" fillId="3" borderId="1" xfId="2" applyFont="1" applyFill="1" applyBorder="1" applyAlignment="1">
      <alignment horizontal="center" vertical="center" shrinkToFit="1"/>
    </xf>
    <xf numFmtId="0" fontId="0" fillId="0" borderId="0" xfId="0" applyBorder="1" applyAlignment="1">
      <alignment horizontal="center" vertical="center"/>
    </xf>
    <xf numFmtId="2" fontId="0" fillId="0" borderId="0" xfId="0" applyNumberFormat="1" applyFill="1" applyBorder="1" applyAlignment="1">
      <alignment horizontal="center"/>
    </xf>
    <xf numFmtId="0" fontId="0" fillId="0" borderId="0" xfId="0" applyFill="1" applyBorder="1"/>
    <xf numFmtId="0" fontId="0" fillId="0" borderId="0" xfId="0" applyFill="1"/>
    <xf numFmtId="168" fontId="27" fillId="0" borderId="0" xfId="0" applyNumberFormat="1" applyFont="1" applyFill="1"/>
    <xf numFmtId="0" fontId="33" fillId="0" borderId="0" xfId="0" applyFont="1" applyBorder="1" applyAlignment="1">
      <alignment vertical="center"/>
    </xf>
    <xf numFmtId="168" fontId="27" fillId="0" borderId="0" xfId="0" applyNumberFormat="1" applyFont="1" applyBorder="1"/>
    <xf numFmtId="0" fontId="27" fillId="0" borderId="0" xfId="0" applyFont="1" applyBorder="1"/>
    <xf numFmtId="168" fontId="27" fillId="4" borderId="0" xfId="0" applyNumberFormat="1" applyFont="1" applyFill="1" applyBorder="1"/>
    <xf numFmtId="0" fontId="0" fillId="0" borderId="0" xfId="0" applyBorder="1"/>
    <xf numFmtId="49" fontId="32" fillId="0" borderId="0" xfId="0" applyNumberFormat="1" applyFont="1" applyBorder="1" applyAlignment="1">
      <alignment vertical="top" wrapText="1" shrinkToFit="1"/>
    </xf>
    <xf numFmtId="171" fontId="28" fillId="3" borderId="3" xfId="2" applyNumberFormat="1" applyFont="1" applyFill="1" applyBorder="1" applyAlignment="1">
      <alignment horizontal="center" vertical="center" shrinkToFit="1"/>
    </xf>
    <xf numFmtId="165" fontId="27" fillId="0" borderId="25" xfId="2" applyFont="1" applyFill="1" applyBorder="1" applyAlignment="1">
      <alignment shrinkToFit="1"/>
    </xf>
    <xf numFmtId="170" fontId="27" fillId="3" borderId="1" xfId="2" applyNumberFormat="1" applyFont="1" applyFill="1" applyBorder="1" applyAlignment="1">
      <alignment vertical="center" shrinkToFit="1"/>
    </xf>
    <xf numFmtId="0" fontId="1" fillId="3" borderId="1" xfId="0" applyFont="1" applyFill="1" applyBorder="1" applyAlignment="1">
      <alignment horizontal="right" indent="1"/>
    </xf>
    <xf numFmtId="0" fontId="1" fillId="5" borderId="9" xfId="0" applyFont="1" applyFill="1" applyBorder="1" applyAlignment="1">
      <alignment vertical="center" wrapText="1"/>
    </xf>
    <xf numFmtId="0" fontId="3" fillId="4" borderId="9" xfId="0" applyFont="1" applyFill="1" applyBorder="1"/>
    <xf numFmtId="0" fontId="4" fillId="5" borderId="1" xfId="0" applyFont="1" applyFill="1" applyBorder="1" applyAlignment="1">
      <alignment horizontal="center" vertical="center"/>
    </xf>
    <xf numFmtId="0" fontId="15" fillId="7" borderId="1" xfId="0" applyFont="1" applyFill="1" applyBorder="1" applyAlignment="1">
      <alignment horizontal="center" vertical="center"/>
    </xf>
    <xf numFmtId="0" fontId="25" fillId="0" borderId="1" xfId="0" applyFont="1" applyBorder="1" applyAlignment="1">
      <alignment horizontal="left" vertical="center" wrapText="1"/>
    </xf>
    <xf numFmtId="0" fontId="25" fillId="0" borderId="10" xfId="0" applyFont="1" applyBorder="1" applyAlignment="1">
      <alignment horizontal="center" vertical="center" wrapText="1"/>
    </xf>
    <xf numFmtId="0" fontId="2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9"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18"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5" xfId="0" applyFont="1" applyBorder="1" applyAlignment="1">
      <alignment horizontal="center" vertical="center" wrapText="1"/>
    </xf>
    <xf numFmtId="0" fontId="21" fillId="2" borderId="16" xfId="0" applyFont="1" applyFill="1" applyBorder="1" applyAlignment="1">
      <alignment horizontal="center" vertical="center"/>
    </xf>
    <xf numFmtId="0" fontId="21" fillId="2" borderId="23" xfId="0" applyFont="1" applyFill="1" applyBorder="1" applyAlignment="1">
      <alignment horizontal="center" vertical="center"/>
    </xf>
    <xf numFmtId="0" fontId="21" fillId="2" borderId="20" xfId="0" applyFont="1" applyFill="1" applyBorder="1" applyAlignment="1">
      <alignment horizontal="center" vertical="center"/>
    </xf>
    <xf numFmtId="0" fontId="22" fillId="3" borderId="10"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9" xfId="0" applyFont="1" applyFill="1" applyBorder="1" applyAlignment="1">
      <alignment horizontal="center" vertical="center" wrapText="1"/>
    </xf>
    <xf numFmtId="0" fontId="9" fillId="2" borderId="16" xfId="0" applyFont="1" applyFill="1" applyBorder="1" applyAlignment="1">
      <alignment horizontal="center" vertical="center"/>
    </xf>
    <xf numFmtId="0" fontId="9" fillId="2" borderId="17" xfId="0" applyFont="1" applyFill="1" applyBorder="1" applyAlignment="1">
      <alignment horizontal="center" vertical="center"/>
    </xf>
    <xf numFmtId="0" fontId="8" fillId="5" borderId="12" xfId="0" applyFont="1" applyFill="1" applyBorder="1" applyAlignment="1">
      <alignment horizontal="center" vertical="center"/>
    </xf>
    <xf numFmtId="0" fontId="8" fillId="5" borderId="14" xfId="0" applyFont="1" applyFill="1" applyBorder="1" applyAlignment="1">
      <alignment horizontal="center" vertical="center"/>
    </xf>
    <xf numFmtId="0" fontId="10" fillId="2" borderId="16" xfId="0" applyFont="1" applyFill="1" applyBorder="1" applyAlignment="1">
      <alignment horizontal="center" vertical="center"/>
    </xf>
    <xf numFmtId="0" fontId="10" fillId="2" borderId="17"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4" xfId="0" applyFont="1" applyFill="1" applyBorder="1" applyAlignment="1">
      <alignment horizontal="center" vertical="center"/>
    </xf>
    <xf numFmtId="0" fontId="5" fillId="0" borderId="24" xfId="0" applyFont="1" applyBorder="1" applyAlignment="1">
      <alignment horizontal="left" vertical="center" readingOrder="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2" fillId="5" borderId="12" xfId="0" applyFont="1" applyFill="1" applyBorder="1" applyAlignment="1">
      <alignment horizontal="center" vertical="center"/>
    </xf>
    <xf numFmtId="0" fontId="12" fillId="5" borderId="14" xfId="0" applyFont="1" applyFill="1" applyBorder="1" applyAlignment="1">
      <alignment horizontal="center" vertical="center"/>
    </xf>
    <xf numFmtId="0" fontId="9" fillId="2" borderId="16" xfId="0" applyFont="1" applyFill="1" applyBorder="1" applyAlignment="1">
      <alignment horizontal="center" vertical="center" wrapText="1"/>
    </xf>
    <xf numFmtId="0" fontId="9" fillId="2" borderId="19"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39" fillId="0" borderId="12" xfId="0" applyFont="1" applyFill="1" applyBorder="1" applyAlignment="1">
      <alignment horizontal="center" vertical="center" wrapText="1"/>
    </xf>
    <xf numFmtId="0" fontId="39" fillId="0" borderId="13" xfId="0" applyFont="1" applyFill="1" applyBorder="1" applyAlignment="1">
      <alignment horizontal="center" vertical="center" wrapText="1"/>
    </xf>
    <xf numFmtId="0" fontId="39" fillId="0" borderId="21" xfId="0" applyFont="1" applyFill="1" applyBorder="1" applyAlignment="1">
      <alignment horizontal="center" vertical="center" wrapText="1"/>
    </xf>
    <xf numFmtId="0" fontId="0" fillId="4" borderId="1" xfId="0" applyFill="1" applyBorder="1" applyAlignment="1">
      <alignment vertical="center" wrapText="1"/>
    </xf>
    <xf numFmtId="0" fontId="0" fillId="4" borderId="9" xfId="0" applyFill="1" applyBorder="1" applyAlignment="1">
      <alignment vertical="center" wrapText="1"/>
    </xf>
    <xf numFmtId="0" fontId="0" fillId="4" borderId="4" xfId="0" applyFill="1" applyBorder="1" applyAlignment="1">
      <alignment vertical="center" wrapText="1"/>
    </xf>
    <xf numFmtId="0" fontId="0" fillId="4" borderId="11" xfId="0" applyFill="1" applyBorder="1" applyAlignment="1">
      <alignment vertical="center" wrapText="1"/>
    </xf>
    <xf numFmtId="0" fontId="0" fillId="0" borderId="1" xfId="0" applyBorder="1"/>
    <xf numFmtId="0" fontId="0" fillId="0" borderId="4" xfId="0" applyBorder="1"/>
    <xf numFmtId="0" fontId="0" fillId="0" borderId="11" xfId="0" applyBorder="1"/>
    <xf numFmtId="0" fontId="5" fillId="4" borderId="1" xfId="0" applyFont="1" applyFill="1" applyBorder="1" applyAlignment="1">
      <alignment horizontal="left" vertical="center" wrapText="1"/>
    </xf>
    <xf numFmtId="0" fontId="5" fillId="4" borderId="9" xfId="0" applyFont="1" applyFill="1" applyBorder="1" applyAlignment="1">
      <alignment horizontal="left" vertical="center" wrapText="1"/>
    </xf>
    <xf numFmtId="0" fontId="0" fillId="4" borderId="9" xfId="0" applyFill="1" applyBorder="1" applyAlignment="1">
      <alignment horizontal="left" vertical="center" wrapText="1"/>
    </xf>
    <xf numFmtId="0" fontId="0" fillId="4" borderId="4" xfId="0" applyFill="1" applyBorder="1" applyAlignment="1">
      <alignment horizontal="left" vertical="center" wrapText="1"/>
    </xf>
    <xf numFmtId="0" fontId="0" fillId="4" borderId="11" xfId="0" applyFill="1" applyBorder="1" applyAlignment="1">
      <alignment horizontal="left" vertical="center" wrapText="1"/>
    </xf>
    <xf numFmtId="0" fontId="5" fillId="0" borderId="12" xfId="0" applyFont="1" applyFill="1" applyBorder="1" applyAlignment="1">
      <alignment horizontal="center" vertical="center"/>
    </xf>
    <xf numFmtId="0" fontId="5" fillId="0" borderId="13" xfId="0" applyFont="1" applyFill="1" applyBorder="1" applyAlignment="1">
      <alignment horizontal="center" vertical="center"/>
    </xf>
    <xf numFmtId="0" fontId="5" fillId="0" borderId="21" xfId="0" applyFont="1" applyFill="1" applyBorder="1" applyAlignment="1">
      <alignment horizontal="center" vertical="center"/>
    </xf>
    <xf numFmtId="0" fontId="0" fillId="4" borderId="1" xfId="0" applyFill="1" applyBorder="1" applyAlignment="1">
      <alignment horizontal="left" vertical="center" wrapText="1"/>
    </xf>
    <xf numFmtId="0" fontId="10"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5" fillId="3" borderId="8" xfId="0" applyFont="1" applyFill="1" applyBorder="1" applyAlignment="1">
      <alignment horizontal="right"/>
    </xf>
    <xf numFmtId="0" fontId="5" fillId="3" borderId="3" xfId="0" applyFont="1" applyFill="1" applyBorder="1" applyAlignment="1">
      <alignment horizontal="right"/>
    </xf>
    <xf numFmtId="0" fontId="3" fillId="0" borderId="8" xfId="0" applyFont="1" applyBorder="1" applyAlignment="1"/>
    <xf numFmtId="0" fontId="0" fillId="0" borderId="2" xfId="0" applyBorder="1" applyAlignment="1"/>
    <xf numFmtId="0" fontId="0" fillId="0" borderId="11" xfId="0" applyBorder="1" applyAlignment="1"/>
    <xf numFmtId="0" fontId="10" fillId="2" borderId="12" xfId="0" applyFont="1" applyFill="1" applyBorder="1" applyAlignment="1">
      <alignment horizontal="right" indent="1"/>
    </xf>
    <xf numFmtId="0" fontId="19" fillId="2" borderId="13" xfId="0" applyFont="1" applyFill="1" applyBorder="1" applyAlignment="1">
      <alignment horizontal="right"/>
    </xf>
    <xf numFmtId="0" fontId="19" fillId="2" borderId="14" xfId="0" applyFont="1" applyFill="1" applyBorder="1" applyAlignment="1">
      <alignment horizontal="right"/>
    </xf>
    <xf numFmtId="0" fontId="7" fillId="2" borderId="5" xfId="0" applyFont="1" applyFill="1" applyBorder="1" applyAlignment="1"/>
    <xf numFmtId="0" fontId="7" fillId="2" borderId="6" xfId="0" applyFont="1" applyFill="1" applyBorder="1" applyAlignment="1"/>
    <xf numFmtId="0" fontId="7" fillId="2" borderId="7" xfId="0" applyFont="1" applyFill="1" applyBorder="1" applyAlignment="1"/>
    <xf numFmtId="0" fontId="7" fillId="2" borderId="10" xfId="0" applyFont="1" applyFill="1" applyBorder="1" applyAlignment="1"/>
    <xf numFmtId="0" fontId="7" fillId="2" borderId="1" xfId="0" applyFont="1" applyFill="1" applyBorder="1" applyAlignment="1"/>
    <xf numFmtId="0" fontId="7" fillId="2" borderId="9" xfId="0" applyFont="1" applyFill="1" applyBorder="1" applyAlignment="1"/>
    <xf numFmtId="0" fontId="36" fillId="3" borderId="4" xfId="0" applyFont="1" applyFill="1" applyBorder="1" applyAlignment="1">
      <alignment horizontal="center"/>
    </xf>
    <xf numFmtId="0" fontId="36" fillId="3" borderId="3" xfId="0" applyFont="1" applyFill="1" applyBorder="1" applyAlignment="1">
      <alignment horizontal="center"/>
    </xf>
    <xf numFmtId="172" fontId="27" fillId="4" borderId="27" xfId="3" applyNumberFormat="1" applyFont="1" applyFill="1" applyBorder="1" applyAlignment="1">
      <alignment horizontal="center" shrinkToFit="1"/>
    </xf>
    <xf numFmtId="172" fontId="27" fillId="4" borderId="28" xfId="3" applyNumberFormat="1" applyFont="1" applyFill="1" applyBorder="1" applyAlignment="1">
      <alignment horizontal="center" shrinkToFit="1"/>
    </xf>
    <xf numFmtId="172" fontId="27" fillId="4" borderId="29" xfId="3" applyNumberFormat="1" applyFont="1" applyFill="1" applyBorder="1" applyAlignment="1">
      <alignment horizontal="center" shrinkToFit="1"/>
    </xf>
    <xf numFmtId="0" fontId="28" fillId="3" borderId="1" xfId="0" applyFont="1" applyFill="1" applyBorder="1" applyAlignment="1">
      <alignment horizontal="right"/>
    </xf>
    <xf numFmtId="0" fontId="28" fillId="3" borderId="1" xfId="0" applyFont="1" applyFill="1" applyBorder="1" applyAlignment="1">
      <alignment horizontal="center"/>
    </xf>
    <xf numFmtId="0" fontId="37" fillId="2" borderId="26" xfId="0" applyFont="1" applyFill="1" applyBorder="1" applyAlignment="1">
      <alignment horizontal="center"/>
    </xf>
    <xf numFmtId="0" fontId="30" fillId="6" borderId="1" xfId="0" applyFont="1" applyFill="1" applyBorder="1" applyAlignment="1">
      <alignment horizontal="center" vertical="center"/>
    </xf>
    <xf numFmtId="172" fontId="27" fillId="4" borderId="1" xfId="3" applyNumberFormat="1" applyFont="1" applyFill="1" applyBorder="1" applyAlignment="1">
      <alignment horizontal="center" shrinkToFit="1"/>
    </xf>
    <xf numFmtId="49" fontId="38" fillId="0" borderId="3" xfId="0" applyNumberFormat="1" applyFont="1" applyBorder="1" applyAlignment="1">
      <alignment horizontal="center" vertical="top" wrapText="1" shrinkToFit="1"/>
    </xf>
    <xf numFmtId="49" fontId="38" fillId="0" borderId="1" xfId="0" applyNumberFormat="1" applyFont="1" applyBorder="1" applyAlignment="1">
      <alignment horizontal="center" vertical="top" wrapText="1" shrinkToFit="1"/>
    </xf>
    <xf numFmtId="0" fontId="34" fillId="3" borderId="1" xfId="0" applyFont="1" applyFill="1" applyBorder="1" applyAlignment="1">
      <alignment horizontal="center"/>
    </xf>
    <xf numFmtId="172" fontId="27" fillId="4" borderId="4" xfId="3" applyNumberFormat="1" applyFont="1" applyFill="1" applyBorder="1" applyAlignment="1">
      <alignment horizontal="center" shrinkToFit="1"/>
    </xf>
    <xf numFmtId="172" fontId="27" fillId="4" borderId="2" xfId="3" applyNumberFormat="1" applyFont="1" applyFill="1" applyBorder="1" applyAlignment="1">
      <alignment horizontal="center" shrinkToFit="1"/>
    </xf>
    <xf numFmtId="172" fontId="27" fillId="4" borderId="3" xfId="3" applyNumberFormat="1" applyFont="1" applyFill="1" applyBorder="1" applyAlignment="1">
      <alignment horizontal="center" shrinkToFit="1"/>
    </xf>
    <xf numFmtId="4" fontId="32" fillId="0" borderId="1" xfId="0" applyNumberFormat="1" applyFont="1" applyBorder="1" applyAlignment="1">
      <alignment horizontal="center"/>
    </xf>
    <xf numFmtId="0" fontId="36" fillId="3" borderId="1" xfId="0" applyFont="1" applyFill="1" applyBorder="1" applyAlignment="1">
      <alignment horizontal="center"/>
    </xf>
    <xf numFmtId="0" fontId="37" fillId="2" borderId="4" xfId="0" applyFont="1" applyFill="1" applyBorder="1" applyAlignment="1">
      <alignment horizontal="center"/>
    </xf>
    <xf numFmtId="0" fontId="37" fillId="2" borderId="2" xfId="0" applyFont="1" applyFill="1" applyBorder="1" applyAlignment="1">
      <alignment horizontal="center"/>
    </xf>
    <xf numFmtId="0" fontId="37" fillId="2" borderId="3" xfId="0" applyFont="1" applyFill="1" applyBorder="1" applyAlignment="1">
      <alignment horizontal="center"/>
    </xf>
    <xf numFmtId="168" fontId="36" fillId="3" borderId="4" xfId="0" applyNumberFormat="1" applyFont="1" applyFill="1" applyBorder="1" applyAlignment="1">
      <alignment horizontal="center" vertical="center"/>
    </xf>
    <xf numFmtId="168" fontId="36" fillId="3" borderId="3" xfId="0" applyNumberFormat="1" applyFont="1" applyFill="1" applyBorder="1" applyAlignment="1">
      <alignment horizontal="center" vertical="center"/>
    </xf>
    <xf numFmtId="0" fontId="36" fillId="3" borderId="1" xfId="0" applyFont="1" applyFill="1" applyBorder="1" applyAlignment="1">
      <alignment horizontal="center" vertical="center"/>
    </xf>
    <xf numFmtId="0" fontId="14"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0" fillId="0" borderId="1" xfId="0" applyBorder="1" applyAlignment="1">
      <alignment horizontal="center" vertical="center"/>
    </xf>
    <xf numFmtId="0" fontId="37" fillId="2" borderId="0" xfId="0" applyFont="1" applyFill="1" applyAlignment="1">
      <alignment horizontal="center" vertical="center"/>
    </xf>
    <xf numFmtId="2" fontId="0" fillId="3" borderId="4" xfId="0" applyNumberFormat="1" applyFill="1" applyBorder="1" applyAlignment="1">
      <alignment horizontal="center"/>
    </xf>
    <xf numFmtId="2" fontId="0" fillId="3" borderId="3" xfId="0" applyNumberFormat="1" applyFill="1" applyBorder="1" applyAlignment="1">
      <alignment horizontal="center"/>
    </xf>
    <xf numFmtId="0" fontId="29" fillId="4" borderId="1" xfId="0" applyFont="1" applyFill="1" applyBorder="1" applyAlignment="1">
      <alignment horizontal="center" vertical="center"/>
    </xf>
    <xf numFmtId="0" fontId="14" fillId="2" borderId="25" xfId="0" applyFont="1" applyFill="1" applyBorder="1" applyAlignment="1">
      <alignment horizontal="center" vertic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6CF98-38F6-4D47-98EF-0CF4B65EB355}">
  <dimension ref="B2:K13"/>
  <sheetViews>
    <sheetView showGridLines="0" workbookViewId="0">
      <selection activeCell="D14" sqref="D14"/>
    </sheetView>
  </sheetViews>
  <sheetFormatPr defaultColWidth="11.42578125" defaultRowHeight="12.75" x14ac:dyDescent="0.2"/>
  <sheetData>
    <row r="2" spans="2:11" ht="15.75" x14ac:dyDescent="0.2">
      <c r="B2" s="36" t="s">
        <v>81</v>
      </c>
      <c r="C2" s="83" t="s">
        <v>82</v>
      </c>
      <c r="D2" s="83"/>
    </row>
    <row r="3" spans="2:11" ht="15.75" x14ac:dyDescent="0.2">
      <c r="B3" s="36" t="s">
        <v>80</v>
      </c>
      <c r="C3" s="83" t="s">
        <v>79</v>
      </c>
      <c r="D3" s="83"/>
    </row>
    <row r="5" spans="2:11" ht="13.5" thickBot="1" x14ac:dyDescent="0.25"/>
    <row r="6" spans="2:11" ht="21" x14ac:dyDescent="0.2">
      <c r="B6" s="92" t="s">
        <v>89</v>
      </c>
      <c r="C6" s="93"/>
      <c r="D6" s="93"/>
      <c r="E6" s="93"/>
      <c r="F6" s="93"/>
      <c r="G6" s="93"/>
      <c r="H6" s="93"/>
      <c r="I6" s="93"/>
      <c r="J6" s="93"/>
      <c r="K6" s="94"/>
    </row>
    <row r="7" spans="2:11" ht="17.649999999999999" customHeight="1" x14ac:dyDescent="0.2">
      <c r="B7" s="95" t="s">
        <v>88</v>
      </c>
      <c r="C7" s="96"/>
      <c r="D7" s="96"/>
      <c r="E7" s="96"/>
      <c r="F7" s="96"/>
      <c r="G7" s="96"/>
      <c r="H7" s="96"/>
      <c r="I7" s="96"/>
      <c r="J7" s="96"/>
      <c r="K7" s="97"/>
    </row>
    <row r="8" spans="2:11" ht="13.35" customHeight="1" x14ac:dyDescent="0.2">
      <c r="B8" s="95" t="s">
        <v>79</v>
      </c>
      <c r="C8" s="96"/>
      <c r="D8" s="96"/>
      <c r="E8" s="96"/>
      <c r="F8" s="96" t="s">
        <v>83</v>
      </c>
      <c r="G8" s="96"/>
      <c r="H8" s="96"/>
      <c r="I8" s="96"/>
      <c r="J8" s="96"/>
      <c r="K8" s="97"/>
    </row>
    <row r="9" spans="2:11" ht="14.45" customHeight="1" x14ac:dyDescent="0.2">
      <c r="B9" s="84" t="s">
        <v>84</v>
      </c>
      <c r="C9" s="85"/>
      <c r="D9" s="85"/>
      <c r="E9" s="85"/>
      <c r="F9" s="86"/>
      <c r="G9" s="86"/>
      <c r="H9" s="86"/>
      <c r="I9" s="86"/>
      <c r="J9" s="86"/>
      <c r="K9" s="87"/>
    </row>
    <row r="10" spans="2:11" ht="14.45" customHeight="1" x14ac:dyDescent="0.2">
      <c r="B10" s="84" t="s">
        <v>85</v>
      </c>
      <c r="C10" s="85"/>
      <c r="D10" s="85"/>
      <c r="E10" s="85"/>
      <c r="F10" s="86"/>
      <c r="G10" s="86"/>
      <c r="H10" s="86"/>
      <c r="I10" s="86"/>
      <c r="J10" s="86"/>
      <c r="K10" s="87"/>
    </row>
    <row r="11" spans="2:11" ht="14.45" customHeight="1" x14ac:dyDescent="0.2">
      <c r="B11" s="84" t="s">
        <v>86</v>
      </c>
      <c r="C11" s="85"/>
      <c r="D11" s="85"/>
      <c r="E11" s="85"/>
      <c r="F11" s="86"/>
      <c r="G11" s="86"/>
      <c r="H11" s="86"/>
      <c r="I11" s="86"/>
      <c r="J11" s="86"/>
      <c r="K11" s="87"/>
    </row>
    <row r="12" spans="2:11" ht="15" customHeight="1" thickBot="1" x14ac:dyDescent="0.25">
      <c r="B12" s="88" t="s">
        <v>87</v>
      </c>
      <c r="C12" s="89"/>
      <c r="D12" s="89"/>
      <c r="E12" s="89"/>
      <c r="F12" s="90"/>
      <c r="G12" s="90"/>
      <c r="H12" s="90"/>
      <c r="I12" s="90"/>
      <c r="J12" s="90"/>
      <c r="K12" s="91"/>
    </row>
    <row r="13" spans="2:11" x14ac:dyDescent="0.2">
      <c r="B13" s="34"/>
      <c r="C13" s="34"/>
      <c r="D13" s="34"/>
      <c r="E13" s="34"/>
      <c r="F13" s="35"/>
      <c r="G13" s="35"/>
      <c r="H13" s="35"/>
      <c r="I13" s="35"/>
      <c r="J13" s="35"/>
      <c r="K13" s="35"/>
    </row>
  </sheetData>
  <mergeCells count="14">
    <mergeCell ref="B12:E12"/>
    <mergeCell ref="F12:K12"/>
    <mergeCell ref="B6:K6"/>
    <mergeCell ref="B7:K7"/>
    <mergeCell ref="B8:E8"/>
    <mergeCell ref="F8:K8"/>
    <mergeCell ref="B9:E9"/>
    <mergeCell ref="F9:K9"/>
    <mergeCell ref="C2:D2"/>
    <mergeCell ref="C3:D3"/>
    <mergeCell ref="B10:E10"/>
    <mergeCell ref="F10:K10"/>
    <mergeCell ref="B11:E11"/>
    <mergeCell ref="F11:K11"/>
  </mergeCells>
  <phoneticPr fontId="20" type="noConversion"/>
  <pageMargins left="0.7" right="0.7" top="0.75" bottom="0.75" header="0.3" footer="0.3"/>
  <pageSetup paperSize="9"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B2:F22"/>
  <sheetViews>
    <sheetView showGridLines="0" topLeftCell="A6" zoomScale="70" zoomScaleNormal="70" workbookViewId="0">
      <selection activeCell="E17" sqref="E17"/>
    </sheetView>
  </sheetViews>
  <sheetFormatPr defaultColWidth="8.85546875" defaultRowHeight="12.75" x14ac:dyDescent="0.2"/>
  <cols>
    <col min="1" max="1" width="5.7109375" customWidth="1"/>
    <col min="3" max="3" width="20.7109375" style="2" customWidth="1"/>
    <col min="4" max="4" width="19.42578125" style="2" customWidth="1"/>
    <col min="5" max="5" width="21.7109375" customWidth="1"/>
    <col min="6" max="6" width="61.28515625" style="1" customWidth="1"/>
  </cols>
  <sheetData>
    <row r="2" spans="2:6" ht="13.5" thickBot="1" x14ac:dyDescent="0.25">
      <c r="E2" s="22" t="s">
        <v>91</v>
      </c>
    </row>
    <row r="3" spans="2:6" s="3" customFormat="1" ht="31.5" x14ac:dyDescent="0.2">
      <c r="B3" s="98" t="s">
        <v>10</v>
      </c>
      <c r="C3" s="99"/>
      <c r="D3" s="8" t="s">
        <v>65</v>
      </c>
      <c r="E3" s="9" t="s">
        <v>11</v>
      </c>
      <c r="F3" s="10" t="s">
        <v>12</v>
      </c>
    </row>
    <row r="4" spans="2:6" s="3" customFormat="1" ht="51" x14ac:dyDescent="0.2">
      <c r="B4" s="24">
        <v>1</v>
      </c>
      <c r="C4" s="25" t="s">
        <v>13</v>
      </c>
      <c r="D4" s="23">
        <v>2</v>
      </c>
      <c r="E4" s="82">
        <v>1</v>
      </c>
      <c r="F4" s="26" t="s">
        <v>53</v>
      </c>
    </row>
    <row r="5" spans="2:6" s="3" customFormat="1" ht="88.15" customHeight="1" x14ac:dyDescent="0.2">
      <c r="B5" s="24">
        <v>2</v>
      </c>
      <c r="C5" s="25" t="s">
        <v>14</v>
      </c>
      <c r="D5" s="23">
        <v>1</v>
      </c>
      <c r="E5" s="82">
        <v>3</v>
      </c>
      <c r="F5" s="26" t="s">
        <v>52</v>
      </c>
    </row>
    <row r="6" spans="2:6" s="3" customFormat="1" ht="54" customHeight="1" x14ac:dyDescent="0.2">
      <c r="B6" s="24">
        <v>3</v>
      </c>
      <c r="C6" s="25" t="s">
        <v>15</v>
      </c>
      <c r="D6" s="23">
        <v>1</v>
      </c>
      <c r="E6" s="82">
        <v>5</v>
      </c>
      <c r="F6" s="26" t="s">
        <v>54</v>
      </c>
    </row>
    <row r="7" spans="2:6" s="3" customFormat="1" ht="56.45" customHeight="1" x14ac:dyDescent="0.2">
      <c r="B7" s="24">
        <v>4</v>
      </c>
      <c r="C7" s="25" t="s">
        <v>16</v>
      </c>
      <c r="D7" s="23">
        <v>1</v>
      </c>
      <c r="E7" s="82">
        <v>2</v>
      </c>
      <c r="F7" s="26" t="s">
        <v>55</v>
      </c>
    </row>
    <row r="8" spans="2:6" s="3" customFormat="1" ht="97.9" customHeight="1" x14ac:dyDescent="0.2">
      <c r="B8" s="24">
        <v>5</v>
      </c>
      <c r="C8" s="25" t="s">
        <v>17</v>
      </c>
      <c r="D8" s="23">
        <v>1</v>
      </c>
      <c r="E8" s="82">
        <v>4</v>
      </c>
      <c r="F8" s="26" t="s">
        <v>56</v>
      </c>
    </row>
    <row r="9" spans="2:6" s="3" customFormat="1" ht="44.65" customHeight="1" x14ac:dyDescent="0.2">
      <c r="B9" s="24">
        <v>6</v>
      </c>
      <c r="C9" s="25" t="s">
        <v>18</v>
      </c>
      <c r="D9" s="23">
        <v>0.5</v>
      </c>
      <c r="E9" s="82">
        <v>2</v>
      </c>
      <c r="F9" s="26" t="s">
        <v>58</v>
      </c>
    </row>
    <row r="10" spans="2:6" s="3" customFormat="1" ht="39" customHeight="1" x14ac:dyDescent="0.2">
      <c r="B10" s="24">
        <v>7</v>
      </c>
      <c r="C10" s="25" t="s">
        <v>19</v>
      </c>
      <c r="D10" s="23">
        <v>0.5</v>
      </c>
      <c r="E10" s="82">
        <v>2</v>
      </c>
      <c r="F10" s="26" t="s">
        <v>57</v>
      </c>
    </row>
    <row r="11" spans="2:6" s="3" customFormat="1" ht="45" customHeight="1" x14ac:dyDescent="0.2">
      <c r="B11" s="24">
        <v>8</v>
      </c>
      <c r="C11" s="25" t="s">
        <v>20</v>
      </c>
      <c r="D11" s="23">
        <v>2</v>
      </c>
      <c r="E11" s="82">
        <v>5</v>
      </c>
      <c r="F11" s="26" t="s">
        <v>59</v>
      </c>
    </row>
    <row r="12" spans="2:6" s="3" customFormat="1" ht="49.7" customHeight="1" x14ac:dyDescent="0.2">
      <c r="B12" s="24">
        <v>9</v>
      </c>
      <c r="C12" s="25" t="s">
        <v>21</v>
      </c>
      <c r="D12" s="23">
        <v>1</v>
      </c>
      <c r="E12" s="82">
        <v>5</v>
      </c>
      <c r="F12" s="26" t="s">
        <v>60</v>
      </c>
    </row>
    <row r="13" spans="2:6" s="3" customFormat="1" ht="43.9" customHeight="1" x14ac:dyDescent="0.2">
      <c r="B13" s="24">
        <v>10</v>
      </c>
      <c r="C13" s="25" t="s">
        <v>22</v>
      </c>
      <c r="D13" s="23">
        <v>1</v>
      </c>
      <c r="E13" s="82">
        <v>1</v>
      </c>
      <c r="F13" s="26" t="s">
        <v>61</v>
      </c>
    </row>
    <row r="14" spans="2:6" s="3" customFormat="1" ht="65.45" customHeight="1" x14ac:dyDescent="0.2">
      <c r="B14" s="24">
        <v>11</v>
      </c>
      <c r="C14" s="25" t="s">
        <v>23</v>
      </c>
      <c r="D14" s="23">
        <v>1</v>
      </c>
      <c r="E14" s="82">
        <v>2</v>
      </c>
      <c r="F14" s="26" t="s">
        <v>62</v>
      </c>
    </row>
    <row r="15" spans="2:6" s="3" customFormat="1" ht="75" customHeight="1" x14ac:dyDescent="0.2">
      <c r="B15" s="24">
        <v>12</v>
      </c>
      <c r="C15" s="25" t="s">
        <v>24</v>
      </c>
      <c r="D15" s="23">
        <v>1</v>
      </c>
      <c r="E15" s="82">
        <v>3</v>
      </c>
      <c r="F15" s="26" t="s">
        <v>63</v>
      </c>
    </row>
    <row r="16" spans="2:6" s="3" customFormat="1" ht="61.15" customHeight="1" x14ac:dyDescent="0.2">
      <c r="B16" s="24">
        <v>13</v>
      </c>
      <c r="C16" s="25" t="s">
        <v>25</v>
      </c>
      <c r="D16" s="23">
        <v>1</v>
      </c>
      <c r="E16" s="82">
        <v>4</v>
      </c>
      <c r="F16" s="26" t="s">
        <v>64</v>
      </c>
    </row>
    <row r="17" spans="2:6" ht="18.75" thickBot="1" x14ac:dyDescent="0.25">
      <c r="B17" s="100" t="s">
        <v>93</v>
      </c>
      <c r="C17" s="101"/>
      <c r="D17" s="27"/>
      <c r="E17" s="28">
        <f t="array" ref="E17">0.6+(SUM(D4:D16*E4:E16)/100)</f>
        <v>1.03</v>
      </c>
      <c r="F17" s="29"/>
    </row>
    <row r="19" spans="2:6" ht="35.65" customHeight="1" x14ac:dyDescent="0.2">
      <c r="F19"/>
    </row>
    <row r="20" spans="2:6" x14ac:dyDescent="0.2">
      <c r="F20"/>
    </row>
    <row r="21" spans="2:6" x14ac:dyDescent="0.2">
      <c r="F21"/>
    </row>
    <row r="22" spans="2:6" x14ac:dyDescent="0.2">
      <c r="F22"/>
    </row>
  </sheetData>
  <mergeCells count="2">
    <mergeCell ref="B3:C3"/>
    <mergeCell ref="B17:C17"/>
  </mergeCells>
  <phoneticPr fontId="2" type="noConversion"/>
  <pageMargins left="0.75" right="0.75" top="1" bottom="1" header="0.5" footer="0.5"/>
  <pageSetup scale="65"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B2:J17"/>
  <sheetViews>
    <sheetView showGridLines="0" zoomScale="70" zoomScaleNormal="70" workbookViewId="0">
      <selection activeCell="E7" sqref="E7"/>
    </sheetView>
  </sheetViews>
  <sheetFormatPr defaultColWidth="8.85546875" defaultRowHeight="12.75" x14ac:dyDescent="0.2"/>
  <cols>
    <col min="1" max="1" width="5.7109375" customWidth="1"/>
    <col min="3" max="3" width="20.7109375" style="2" customWidth="1"/>
    <col min="4" max="4" width="14.85546875" style="2" customWidth="1"/>
    <col min="5" max="5" width="16.42578125" customWidth="1"/>
    <col min="6" max="6" width="61.28515625" style="1" customWidth="1"/>
  </cols>
  <sheetData>
    <row r="2" spans="2:10" ht="13.5" thickBot="1" x14ac:dyDescent="0.25">
      <c r="E2" s="106" t="s">
        <v>91</v>
      </c>
      <c r="F2" s="106"/>
    </row>
    <row r="3" spans="2:10" s="3" customFormat="1" ht="45" x14ac:dyDescent="0.2">
      <c r="B3" s="102" t="s">
        <v>3</v>
      </c>
      <c r="C3" s="103"/>
      <c r="D3" s="11" t="s">
        <v>65</v>
      </c>
      <c r="E3" s="18" t="s">
        <v>132</v>
      </c>
      <c r="F3" s="13" t="s">
        <v>12</v>
      </c>
    </row>
    <row r="4" spans="2:10" s="3" customFormat="1" ht="96" customHeight="1" x14ac:dyDescent="0.2">
      <c r="B4" s="24">
        <v>1</v>
      </c>
      <c r="C4" s="25" t="s">
        <v>26</v>
      </c>
      <c r="D4" s="23">
        <v>1.5</v>
      </c>
      <c r="E4" s="82">
        <v>0</v>
      </c>
      <c r="F4" s="26" t="s">
        <v>47</v>
      </c>
    </row>
    <row r="5" spans="2:10" s="3" customFormat="1" ht="61.15" customHeight="1" x14ac:dyDescent="0.2">
      <c r="B5" s="24">
        <v>2</v>
      </c>
      <c r="C5" s="25" t="s">
        <v>27</v>
      </c>
      <c r="D5" s="23">
        <v>0.5</v>
      </c>
      <c r="E5" s="82">
        <v>0</v>
      </c>
      <c r="F5" s="26" t="s">
        <v>48</v>
      </c>
    </row>
    <row r="6" spans="2:10" s="3" customFormat="1" ht="76.7" customHeight="1" x14ac:dyDescent="0.2">
      <c r="B6" s="24">
        <v>3</v>
      </c>
      <c r="C6" s="25" t="s">
        <v>133</v>
      </c>
      <c r="D6" s="23">
        <v>1</v>
      </c>
      <c r="E6" s="82">
        <v>5</v>
      </c>
      <c r="F6" s="26" t="s">
        <v>49</v>
      </c>
    </row>
    <row r="7" spans="2:10" s="3" customFormat="1" ht="67.7" customHeight="1" x14ac:dyDescent="0.2">
      <c r="B7" s="24">
        <v>4</v>
      </c>
      <c r="C7" s="25" t="s">
        <v>90</v>
      </c>
      <c r="D7" s="23">
        <v>0.5</v>
      </c>
      <c r="E7" s="82">
        <v>0</v>
      </c>
      <c r="F7" s="26" t="s">
        <v>50</v>
      </c>
    </row>
    <row r="8" spans="2:10" s="3" customFormat="1" ht="25.5" x14ac:dyDescent="0.2">
      <c r="B8" s="24">
        <v>5</v>
      </c>
      <c r="C8" s="25" t="s">
        <v>28</v>
      </c>
      <c r="D8" s="23">
        <v>1</v>
      </c>
      <c r="E8" s="82">
        <v>3</v>
      </c>
      <c r="F8" s="26" t="s">
        <v>51</v>
      </c>
    </row>
    <row r="9" spans="2:10" s="3" customFormat="1" ht="84.6" customHeight="1" x14ac:dyDescent="0.2">
      <c r="B9" s="24">
        <v>6</v>
      </c>
      <c r="C9" s="25" t="s">
        <v>66</v>
      </c>
      <c r="D9" s="23">
        <v>2</v>
      </c>
      <c r="E9" s="82">
        <v>4</v>
      </c>
      <c r="F9" s="26" t="s">
        <v>68</v>
      </c>
      <c r="G9"/>
      <c r="H9"/>
      <c r="I9"/>
      <c r="J9"/>
    </row>
    <row r="10" spans="2:10" s="3" customFormat="1" ht="102" x14ac:dyDescent="0.2">
      <c r="B10" s="24">
        <v>7</v>
      </c>
      <c r="C10" s="25" t="s">
        <v>29</v>
      </c>
      <c r="D10" s="23">
        <v>-1</v>
      </c>
      <c r="E10" s="82">
        <v>4</v>
      </c>
      <c r="F10" s="26" t="s">
        <v>69</v>
      </c>
      <c r="G10"/>
      <c r="H10"/>
      <c r="I10"/>
      <c r="J10"/>
    </row>
    <row r="11" spans="2:10" s="3" customFormat="1" ht="70.150000000000006" customHeight="1" x14ac:dyDescent="0.2">
      <c r="B11" s="24">
        <v>8</v>
      </c>
      <c r="C11" s="25" t="s">
        <v>30</v>
      </c>
      <c r="D11" s="23">
        <v>-1</v>
      </c>
      <c r="E11" s="82">
        <v>5</v>
      </c>
      <c r="F11" s="31" t="s">
        <v>31</v>
      </c>
    </row>
    <row r="12" spans="2:10" ht="18.75" thickBot="1" x14ac:dyDescent="0.25">
      <c r="B12" s="104" t="s">
        <v>92</v>
      </c>
      <c r="C12" s="105"/>
      <c r="D12" s="30"/>
      <c r="E12" s="28">
        <f t="array" ref="E12">1.4-(0.03*SUM(D4:D11*E4:E11))</f>
        <v>1.19</v>
      </c>
      <c r="F12" s="32"/>
    </row>
    <row r="14" spans="2:10" ht="33.75" customHeight="1" x14ac:dyDescent="0.2">
      <c r="F14"/>
    </row>
    <row r="15" spans="2:10" x14ac:dyDescent="0.2">
      <c r="F15"/>
    </row>
    <row r="16" spans="2:10" x14ac:dyDescent="0.2">
      <c r="F16"/>
    </row>
    <row r="17" spans="6:6" x14ac:dyDescent="0.2">
      <c r="F17"/>
    </row>
  </sheetData>
  <mergeCells count="3">
    <mergeCell ref="B3:C3"/>
    <mergeCell ref="B12:C12"/>
    <mergeCell ref="E2:F2"/>
  </mergeCells>
  <phoneticPr fontId="2" type="noConversion"/>
  <pageMargins left="0.75" right="0.75" top="1" bottom="1" header="0.5" footer="0.5"/>
  <pageSetup scale="70"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B1:F26"/>
  <sheetViews>
    <sheetView showGridLines="0" zoomScale="85" zoomScaleNormal="85" workbookViewId="0">
      <selection activeCell="H8" sqref="H8"/>
    </sheetView>
  </sheetViews>
  <sheetFormatPr defaultColWidth="8.85546875" defaultRowHeight="12.75" x14ac:dyDescent="0.2"/>
  <cols>
    <col min="1" max="1" width="5.7109375" customWidth="1"/>
    <col min="3" max="3" width="20.7109375" style="2" customWidth="1"/>
    <col min="4" max="4" width="11.5703125" style="2" customWidth="1"/>
    <col min="5" max="5" width="18.42578125" customWidth="1"/>
    <col min="6" max="6" width="61.28515625" style="1" customWidth="1"/>
  </cols>
  <sheetData>
    <row r="1" spans="2:6" ht="13.5" thickBot="1" x14ac:dyDescent="0.25"/>
    <row r="2" spans="2:6" s="3" customFormat="1" ht="30" customHeight="1" x14ac:dyDescent="0.2">
      <c r="B2" s="107" t="s">
        <v>46</v>
      </c>
      <c r="C2" s="108"/>
      <c r="D2" s="11" t="s">
        <v>65</v>
      </c>
      <c r="E2" s="12" t="s">
        <v>32</v>
      </c>
      <c r="F2" s="13" t="s">
        <v>12</v>
      </c>
    </row>
    <row r="3" spans="2:6" s="3" customFormat="1" ht="15.75" x14ac:dyDescent="0.2">
      <c r="B3" s="24">
        <v>1</v>
      </c>
      <c r="C3" s="25" t="s">
        <v>1</v>
      </c>
      <c r="D3" s="23">
        <v>5</v>
      </c>
      <c r="E3" s="81" cm="1">
        <f t="array" ref="E3">SUM(IF(C$9:C$20=C3,1,0)*IF(E$9:F$20&lt;&gt;"",1,0))</f>
        <v>0</v>
      </c>
      <c r="F3" s="31" t="s">
        <v>33</v>
      </c>
    </row>
    <row r="4" spans="2:6" s="3" customFormat="1" ht="15.75" x14ac:dyDescent="0.2">
      <c r="B4" s="24">
        <v>2</v>
      </c>
      <c r="C4" s="25" t="s">
        <v>36</v>
      </c>
      <c r="D4" s="23">
        <v>10</v>
      </c>
      <c r="E4" s="81">
        <f t="array" ref="E4">SUM(IF(C$9:C$20=C4,1,0)*IF(E$9:F$20&lt;&gt;"",1,0))</f>
        <v>1</v>
      </c>
      <c r="F4" s="26" t="s">
        <v>34</v>
      </c>
    </row>
    <row r="5" spans="2:6" s="3" customFormat="1" ht="15.75" x14ac:dyDescent="0.2">
      <c r="B5" s="24">
        <v>3</v>
      </c>
      <c r="C5" s="25" t="s">
        <v>37</v>
      </c>
      <c r="D5" s="23">
        <v>15</v>
      </c>
      <c r="E5" s="81">
        <f t="array" ref="E5">SUM(IF(C$9:C$20=C5,1,0)*IF(E$9:F$20&lt;&gt;"",1,0))</f>
        <v>0</v>
      </c>
      <c r="F5" s="31" t="s">
        <v>35</v>
      </c>
    </row>
    <row r="6" spans="2:6" ht="18.75" thickBot="1" x14ac:dyDescent="0.25">
      <c r="B6" s="109" t="s">
        <v>94</v>
      </c>
      <c r="C6" s="110"/>
      <c r="D6" s="16"/>
      <c r="E6" s="15">
        <f t="array" ref="E6">SUM(D3:D5*E3:E5)</f>
        <v>10</v>
      </c>
      <c r="F6" s="17"/>
    </row>
    <row r="8" spans="2:6" ht="13.5" thickBot="1" x14ac:dyDescent="0.25"/>
    <row r="9" spans="2:6" ht="15.75" x14ac:dyDescent="0.2">
      <c r="B9" s="111" t="s">
        <v>38</v>
      </c>
      <c r="C9" s="99"/>
      <c r="D9" s="8" t="s">
        <v>65</v>
      </c>
      <c r="E9" s="112" t="s">
        <v>39</v>
      </c>
      <c r="F9" s="113"/>
    </row>
    <row r="10" spans="2:6" x14ac:dyDescent="0.2">
      <c r="B10" s="24">
        <v>1</v>
      </c>
      <c r="C10" s="14" t="s">
        <v>36</v>
      </c>
      <c r="D10" s="23">
        <f>SUMIF(C$3:C$5,C10,D$3:D$5)</f>
        <v>10</v>
      </c>
      <c r="E10" s="121" t="s">
        <v>135</v>
      </c>
      <c r="F10" s="118"/>
    </row>
    <row r="11" spans="2:6" x14ac:dyDescent="0.2">
      <c r="B11" s="24">
        <f t="shared" ref="B11:B19" si="0">B10+1</f>
        <v>2</v>
      </c>
      <c r="C11" s="14"/>
      <c r="D11" s="23">
        <f>SUMIF(C$3:C$5,C11,D$3:D$5)</f>
        <v>0</v>
      </c>
      <c r="E11" s="121"/>
      <c r="F11" s="118"/>
    </row>
    <row r="12" spans="2:6" x14ac:dyDescent="0.2">
      <c r="B12" s="24">
        <f t="shared" si="0"/>
        <v>3</v>
      </c>
      <c r="C12" s="14"/>
      <c r="D12" s="23">
        <f t="shared" ref="D12:D19" si="1">SUMIF(C$3:C$5,C12,D$3:D$5)</f>
        <v>0</v>
      </c>
      <c r="E12" s="122"/>
      <c r="F12" s="123"/>
    </row>
    <row r="13" spans="2:6" x14ac:dyDescent="0.2">
      <c r="B13" s="24">
        <f t="shared" si="0"/>
        <v>4</v>
      </c>
      <c r="C13" s="14"/>
      <c r="D13" s="23">
        <f t="shared" si="1"/>
        <v>0</v>
      </c>
      <c r="E13" s="117"/>
      <c r="F13" s="118"/>
    </row>
    <row r="14" spans="2:6" x14ac:dyDescent="0.2">
      <c r="B14" s="24">
        <f t="shared" si="0"/>
        <v>5</v>
      </c>
      <c r="C14" s="14"/>
      <c r="D14" s="23">
        <f t="shared" si="1"/>
        <v>0</v>
      </c>
      <c r="E14" s="117"/>
      <c r="F14" s="118"/>
    </row>
    <row r="15" spans="2:6" x14ac:dyDescent="0.2">
      <c r="B15" s="24">
        <f t="shared" si="0"/>
        <v>6</v>
      </c>
      <c r="C15" s="14"/>
      <c r="D15" s="23">
        <f t="shared" si="1"/>
        <v>0</v>
      </c>
      <c r="E15" s="117"/>
      <c r="F15" s="118"/>
    </row>
    <row r="16" spans="2:6" x14ac:dyDescent="0.2">
      <c r="B16" s="24">
        <f t="shared" si="0"/>
        <v>7</v>
      </c>
      <c r="C16" s="14"/>
      <c r="D16" s="23">
        <f t="shared" si="1"/>
        <v>0</v>
      </c>
      <c r="E16" s="124"/>
      <c r="F16" s="125"/>
    </row>
    <row r="17" spans="2:6" x14ac:dyDescent="0.2">
      <c r="B17" s="24">
        <f t="shared" si="0"/>
        <v>8</v>
      </c>
      <c r="C17" s="14"/>
      <c r="D17" s="23">
        <f t="shared" si="1"/>
        <v>0</v>
      </c>
      <c r="E17" s="124"/>
      <c r="F17" s="126"/>
    </row>
    <row r="18" spans="2:6" x14ac:dyDescent="0.2">
      <c r="B18" s="24">
        <f t="shared" si="0"/>
        <v>9</v>
      </c>
      <c r="C18" s="14"/>
      <c r="D18" s="23">
        <f t="shared" si="1"/>
        <v>0</v>
      </c>
      <c r="E18" s="117"/>
      <c r="F18" s="118"/>
    </row>
    <row r="19" spans="2:6" x14ac:dyDescent="0.2">
      <c r="B19" s="24">
        <f t="shared" si="0"/>
        <v>10</v>
      </c>
      <c r="C19" s="14"/>
      <c r="D19" s="23">
        <f t="shared" si="1"/>
        <v>0</v>
      </c>
      <c r="E19" s="119"/>
      <c r="F19" s="120"/>
    </row>
    <row r="20" spans="2:6" ht="21" customHeight="1" thickBot="1" x14ac:dyDescent="0.25">
      <c r="B20" s="114" t="s">
        <v>43</v>
      </c>
      <c r="C20" s="115"/>
      <c r="D20" s="115"/>
      <c r="E20" s="115"/>
      <c r="F20" s="116"/>
    </row>
    <row r="22" spans="2:6" ht="34.15" customHeight="1" x14ac:dyDescent="0.2">
      <c r="F22"/>
    </row>
    <row r="23" spans="2:6" x14ac:dyDescent="0.2">
      <c r="F23"/>
    </row>
    <row r="24" spans="2:6" x14ac:dyDescent="0.2">
      <c r="F24"/>
    </row>
    <row r="25" spans="2:6" x14ac:dyDescent="0.2">
      <c r="F25"/>
    </row>
    <row r="26" spans="2:6" x14ac:dyDescent="0.2">
      <c r="F26"/>
    </row>
  </sheetData>
  <mergeCells count="15">
    <mergeCell ref="B2:C2"/>
    <mergeCell ref="B6:C6"/>
    <mergeCell ref="B9:C9"/>
    <mergeCell ref="E9:F9"/>
    <mergeCell ref="B20:F20"/>
    <mergeCell ref="E14:F14"/>
    <mergeCell ref="E15:F15"/>
    <mergeCell ref="E18:F18"/>
    <mergeCell ref="E19:F19"/>
    <mergeCell ref="E10:F10"/>
    <mergeCell ref="E11:F11"/>
    <mergeCell ref="E12:F12"/>
    <mergeCell ref="E13:F13"/>
    <mergeCell ref="E16:F16"/>
    <mergeCell ref="E17:F17"/>
  </mergeCells>
  <phoneticPr fontId="2" type="noConversion"/>
  <dataValidations count="1">
    <dataValidation type="list" allowBlank="1" showInputMessage="1" showErrorMessage="1" sqref="C10:C19" xr:uid="{00000000-0002-0000-0300-000000000000}">
      <formula1>$C$3:$C$5</formula1>
    </dataValidation>
  </dataValidations>
  <pageMargins left="0.75" right="0.75" top="1" bottom="1" header="0.5" footer="0.5"/>
  <pageSetup scale="96"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B1:G25"/>
  <sheetViews>
    <sheetView showGridLines="0" zoomScale="85" zoomScaleNormal="85" workbookViewId="0">
      <selection activeCell="E3" sqref="E3"/>
    </sheetView>
  </sheetViews>
  <sheetFormatPr defaultColWidth="8.85546875" defaultRowHeight="12.75" x14ac:dyDescent="0.2"/>
  <cols>
    <col min="1" max="1" width="5.7109375" customWidth="1"/>
    <col min="3" max="3" width="20.7109375" style="2" customWidth="1"/>
    <col min="4" max="4" width="16.28515625" style="2" bestFit="1" customWidth="1"/>
    <col min="5" max="5" width="13.5703125" customWidth="1"/>
    <col min="6" max="6" width="61.28515625" style="1" customWidth="1"/>
  </cols>
  <sheetData>
    <row r="1" spans="2:6" ht="13.5" thickBot="1" x14ac:dyDescent="0.25"/>
    <row r="2" spans="2:6" s="3" customFormat="1" ht="31.5" x14ac:dyDescent="0.2">
      <c r="B2" s="111" t="s">
        <v>67</v>
      </c>
      <c r="C2" s="99"/>
      <c r="D2" s="8" t="s">
        <v>76</v>
      </c>
      <c r="E2" s="9" t="s">
        <v>41</v>
      </c>
      <c r="F2" s="10" t="s">
        <v>12</v>
      </c>
    </row>
    <row r="3" spans="2:6" s="3" customFormat="1" ht="84.6" customHeight="1" x14ac:dyDescent="0.2">
      <c r="B3" s="24">
        <v>1</v>
      </c>
      <c r="C3" s="25" t="s">
        <v>1</v>
      </c>
      <c r="D3" s="23">
        <v>1</v>
      </c>
      <c r="E3" s="33" cm="1">
        <f t="array" ref="E3">SUM(IF(C$9:C$20=C3,1,0)*IF(E$9:F$20&lt;&gt;"",1,0))</f>
        <v>0</v>
      </c>
      <c r="F3" s="79" t="s">
        <v>78</v>
      </c>
    </row>
    <row r="4" spans="2:6" s="3" customFormat="1" ht="49.35" customHeight="1" x14ac:dyDescent="0.2">
      <c r="B4" s="24">
        <v>2</v>
      </c>
      <c r="C4" s="25" t="s">
        <v>36</v>
      </c>
      <c r="D4" s="23">
        <v>2</v>
      </c>
      <c r="E4" s="33">
        <f t="array" ref="E4">SUM(IF(C$9:C$20=C4,1,0)*IF(E$9:F$20&lt;&gt;"",1,0))</f>
        <v>0</v>
      </c>
      <c r="F4" s="26" t="s">
        <v>95</v>
      </c>
    </row>
    <row r="5" spans="2:6" s="3" customFormat="1" ht="102" x14ac:dyDescent="0.2">
      <c r="B5" s="24">
        <v>3</v>
      </c>
      <c r="C5" s="25" t="s">
        <v>37</v>
      </c>
      <c r="D5" s="23">
        <v>3</v>
      </c>
      <c r="E5" s="33" cm="1">
        <f t="array" ref="E5">SUM(IF(C$9:C$20=C5,1,0)*IF(E$9:F$20&lt;&gt;"",1,0))</f>
        <v>0</v>
      </c>
      <c r="F5" s="79" t="s">
        <v>45</v>
      </c>
    </row>
    <row r="6" spans="2:6" ht="18.75" thickBot="1" x14ac:dyDescent="0.25">
      <c r="B6" s="109" t="s">
        <v>42</v>
      </c>
      <c r="C6" s="110"/>
      <c r="D6" s="16"/>
      <c r="E6" s="15" cm="1">
        <f t="array" ref="E6">SUM(D3:D5*E3:E5)</f>
        <v>0</v>
      </c>
      <c r="F6" s="17"/>
    </row>
    <row r="8" spans="2:6" ht="13.5" thickBot="1" x14ac:dyDescent="0.25"/>
    <row r="9" spans="2:6" ht="15.75" x14ac:dyDescent="0.2">
      <c r="B9" s="107" t="s">
        <v>77</v>
      </c>
      <c r="C9" s="103"/>
      <c r="D9" s="11" t="s">
        <v>65</v>
      </c>
      <c r="E9" s="133" t="s">
        <v>40</v>
      </c>
      <c r="F9" s="134"/>
    </row>
    <row r="10" spans="2:6" x14ac:dyDescent="0.2">
      <c r="B10" s="24">
        <v>1</v>
      </c>
      <c r="C10" s="14"/>
      <c r="D10" s="23">
        <f>SUMIF(C$3:C$5,C10,D$3:D$5)</f>
        <v>0</v>
      </c>
      <c r="E10" s="121"/>
      <c r="F10" s="118"/>
    </row>
    <row r="11" spans="2:6" x14ac:dyDescent="0.2">
      <c r="B11" s="24">
        <f t="shared" ref="B11:B19" si="0">B10+1</f>
        <v>2</v>
      </c>
      <c r="C11" s="14"/>
      <c r="D11" s="23">
        <f t="shared" ref="D11:D19" si="1">SUMIF(C$3:C$5,C11,D$3:D$5)</f>
        <v>0</v>
      </c>
      <c r="E11" s="121"/>
      <c r="F11" s="118"/>
    </row>
    <row r="12" spans="2:6" x14ac:dyDescent="0.2">
      <c r="B12" s="24">
        <f t="shared" si="0"/>
        <v>3</v>
      </c>
      <c r="C12" s="14"/>
      <c r="D12" s="23">
        <f>SUMIF(C$3:C$5,C12,D$3:D$5)</f>
        <v>0</v>
      </c>
      <c r="E12" s="121"/>
      <c r="F12" s="118"/>
    </row>
    <row r="13" spans="2:6" x14ac:dyDescent="0.2">
      <c r="B13" s="24">
        <f t="shared" si="0"/>
        <v>4</v>
      </c>
      <c r="C13" s="14"/>
      <c r="D13" s="23">
        <f t="shared" si="1"/>
        <v>0</v>
      </c>
      <c r="E13" s="132"/>
      <c r="F13" s="126"/>
    </row>
    <row r="14" spans="2:6" x14ac:dyDescent="0.2">
      <c r="B14" s="24">
        <f t="shared" si="0"/>
        <v>5</v>
      </c>
      <c r="C14" s="14"/>
      <c r="D14" s="23">
        <f>SUMIF(C$3:C$5,C14,D$3:D$5)</f>
        <v>0</v>
      </c>
      <c r="E14" s="132"/>
      <c r="F14" s="126"/>
    </row>
    <row r="15" spans="2:6" x14ac:dyDescent="0.2">
      <c r="B15" s="24">
        <f t="shared" si="0"/>
        <v>6</v>
      </c>
      <c r="C15" s="14"/>
      <c r="D15" s="23">
        <f t="shared" ref="D15:D16" si="2">SUMIF(C$3:C$5,C15,D$3:D$5)</f>
        <v>0</v>
      </c>
      <c r="E15" s="124"/>
      <c r="F15" s="126"/>
    </row>
    <row r="16" spans="2:6" x14ac:dyDescent="0.2">
      <c r="B16" s="24">
        <f t="shared" si="0"/>
        <v>7</v>
      </c>
      <c r="C16" s="14"/>
      <c r="D16" s="23">
        <f t="shared" si="2"/>
        <v>0</v>
      </c>
      <c r="E16" s="124"/>
      <c r="F16" s="126"/>
    </row>
    <row r="17" spans="2:7" x14ac:dyDescent="0.2">
      <c r="B17" s="24">
        <f t="shared" si="0"/>
        <v>8</v>
      </c>
      <c r="C17" s="14"/>
      <c r="D17" s="23">
        <f t="shared" si="1"/>
        <v>0</v>
      </c>
      <c r="E17" s="127"/>
      <c r="F17" s="128"/>
    </row>
    <row r="18" spans="2:7" x14ac:dyDescent="0.2">
      <c r="B18" s="24">
        <f t="shared" si="0"/>
        <v>9</v>
      </c>
      <c r="C18" s="14"/>
      <c r="D18" s="23">
        <f t="shared" si="1"/>
        <v>0</v>
      </c>
      <c r="E18" s="127"/>
      <c r="F18" s="128"/>
    </row>
    <row r="19" spans="2:7" x14ac:dyDescent="0.2">
      <c r="B19" s="24">
        <f t="shared" si="0"/>
        <v>10</v>
      </c>
      <c r="C19" s="14"/>
      <c r="D19" s="23">
        <f t="shared" si="1"/>
        <v>0</v>
      </c>
      <c r="E19" s="127"/>
      <c r="F19" s="128"/>
      <c r="G19" s="54"/>
    </row>
    <row r="20" spans="2:7" s="4" customFormat="1" ht="21.75" customHeight="1" thickBot="1" x14ac:dyDescent="0.25">
      <c r="B20" s="129" t="s">
        <v>44</v>
      </c>
      <c r="C20" s="130"/>
      <c r="D20" s="130"/>
      <c r="E20" s="130"/>
      <c r="F20" s="131"/>
    </row>
    <row r="22" spans="2:7" ht="38.450000000000003" customHeight="1" x14ac:dyDescent="0.2">
      <c r="F22"/>
    </row>
    <row r="23" spans="2:7" x14ac:dyDescent="0.2">
      <c r="F23"/>
    </row>
    <row r="24" spans="2:7" x14ac:dyDescent="0.2">
      <c r="F24"/>
    </row>
    <row r="25" spans="2:7" x14ac:dyDescent="0.2">
      <c r="F25"/>
    </row>
  </sheetData>
  <mergeCells count="15">
    <mergeCell ref="B2:C2"/>
    <mergeCell ref="B6:C6"/>
    <mergeCell ref="B9:C9"/>
    <mergeCell ref="E9:F9"/>
    <mergeCell ref="E10:F10"/>
    <mergeCell ref="E17:F17"/>
    <mergeCell ref="E18:F18"/>
    <mergeCell ref="E19:F19"/>
    <mergeCell ref="B20:F20"/>
    <mergeCell ref="E11:F11"/>
    <mergeCell ref="E12:F12"/>
    <mergeCell ref="E13:F13"/>
    <mergeCell ref="E14:F14"/>
    <mergeCell ref="E15:F15"/>
    <mergeCell ref="E16:F16"/>
  </mergeCells>
  <phoneticPr fontId="2" type="noConversion"/>
  <dataValidations count="1">
    <dataValidation type="list" allowBlank="1" showInputMessage="1" showErrorMessage="1" sqref="C10:C19" xr:uid="{00000000-0002-0000-0400-000000000000}">
      <formula1>$C$3:$C$5</formula1>
    </dataValidation>
  </dataValidations>
  <pageMargins left="0.75" right="0.75" top="1" bottom="1" header="0.5" footer="0.5"/>
  <pageSetup scale="96"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E22"/>
  <sheetViews>
    <sheetView showGridLines="0" tabSelected="1" zoomScale="115" zoomScaleNormal="115" workbookViewId="0">
      <selection activeCell="K17" sqref="K17"/>
    </sheetView>
  </sheetViews>
  <sheetFormatPr defaultColWidth="8.85546875" defaultRowHeight="12.75" x14ac:dyDescent="0.2"/>
  <cols>
    <col min="1" max="1" width="5.7109375" customWidth="1"/>
    <col min="2" max="2" width="3.140625" customWidth="1"/>
    <col min="3" max="3" width="6.5703125" customWidth="1"/>
    <col min="4" max="4" width="49.42578125" style="5" customWidth="1"/>
    <col min="5" max="5" width="12.5703125" customWidth="1"/>
  </cols>
  <sheetData>
    <row r="1" spans="2:5" ht="13.5" thickBot="1" x14ac:dyDescent="0.25"/>
    <row r="2" spans="2:5" ht="15" x14ac:dyDescent="0.25">
      <c r="B2" s="143" t="s">
        <v>96</v>
      </c>
      <c r="C2" s="144"/>
      <c r="D2" s="144"/>
      <c r="E2" s="145"/>
    </row>
    <row r="3" spans="2:5" ht="15" x14ac:dyDescent="0.2">
      <c r="B3" s="135" t="s">
        <v>70</v>
      </c>
      <c r="C3" s="136"/>
      <c r="D3" s="19" t="s">
        <v>2</v>
      </c>
      <c r="E3" s="20">
        <f>'1.-Factores técnicos'!E17</f>
        <v>1.03</v>
      </c>
    </row>
    <row r="4" spans="2:5" ht="15" x14ac:dyDescent="0.2">
      <c r="B4" s="135" t="s">
        <v>71</v>
      </c>
      <c r="C4" s="136"/>
      <c r="D4" s="19" t="s">
        <v>3</v>
      </c>
      <c r="E4" s="20">
        <f>'2.-Factores ambientales'!E12</f>
        <v>1.19</v>
      </c>
    </row>
    <row r="5" spans="2:5" ht="15" x14ac:dyDescent="0.2">
      <c r="B5" s="135" t="s">
        <v>72</v>
      </c>
      <c r="C5" s="136"/>
      <c r="D5" s="78" t="s">
        <v>4</v>
      </c>
      <c r="E5" s="20">
        <f>'3.-Casos de uso'!E6</f>
        <v>10</v>
      </c>
    </row>
    <row r="6" spans="2:5" ht="15" x14ac:dyDescent="0.2">
      <c r="B6" s="135" t="s">
        <v>0</v>
      </c>
      <c r="C6" s="136"/>
      <c r="D6" s="19" t="s">
        <v>5</v>
      </c>
      <c r="E6" s="20">
        <f>'4.-Actores'!E6</f>
        <v>0</v>
      </c>
    </row>
    <row r="7" spans="2:5" ht="15" x14ac:dyDescent="0.25">
      <c r="B7" s="146" t="s">
        <v>97</v>
      </c>
      <c r="C7" s="147"/>
      <c r="D7" s="147"/>
      <c r="E7" s="148"/>
    </row>
    <row r="8" spans="2:5" ht="15" x14ac:dyDescent="0.2">
      <c r="B8" s="135" t="s">
        <v>73</v>
      </c>
      <c r="C8" s="136"/>
      <c r="D8" s="19" t="s">
        <v>6</v>
      </c>
      <c r="E8" s="21">
        <f>(E5+E6)*E3*E4</f>
        <v>12.257</v>
      </c>
    </row>
    <row r="9" spans="2:5" ht="15" x14ac:dyDescent="0.25">
      <c r="B9" s="146" t="s">
        <v>98</v>
      </c>
      <c r="C9" s="147"/>
      <c r="D9" s="147"/>
      <c r="E9" s="148"/>
    </row>
    <row r="10" spans="2:5" ht="15" x14ac:dyDescent="0.2">
      <c r="B10" s="135" t="s">
        <v>7</v>
      </c>
      <c r="C10" s="136"/>
      <c r="D10" s="19" t="s">
        <v>8</v>
      </c>
      <c r="E10" s="80">
        <v>5</v>
      </c>
    </row>
    <row r="11" spans="2:5" ht="15" x14ac:dyDescent="0.2">
      <c r="B11" s="137"/>
      <c r="C11" s="138"/>
      <c r="D11" s="138"/>
      <c r="E11" s="139"/>
    </row>
    <row r="12" spans="2:5" ht="16.5" thickBot="1" x14ac:dyDescent="0.3">
      <c r="B12" s="140" t="s">
        <v>9</v>
      </c>
      <c r="C12" s="141"/>
      <c r="D12" s="142"/>
      <c r="E12" s="7">
        <f>E8*E10</f>
        <v>61.284999999999997</v>
      </c>
    </row>
    <row r="16" spans="2:5" x14ac:dyDescent="0.2">
      <c r="D16"/>
    </row>
    <row r="17" spans="4:4" x14ac:dyDescent="0.2">
      <c r="D17"/>
    </row>
    <row r="18" spans="4:4" x14ac:dyDescent="0.2">
      <c r="D18"/>
    </row>
    <row r="19" spans="4:4" x14ac:dyDescent="0.2">
      <c r="D19"/>
    </row>
    <row r="20" spans="4:4" x14ac:dyDescent="0.2">
      <c r="D20"/>
    </row>
    <row r="21" spans="4:4" x14ac:dyDescent="0.2">
      <c r="D21"/>
    </row>
    <row r="22" spans="4:4" x14ac:dyDescent="0.2">
      <c r="D22" s="6"/>
    </row>
  </sheetData>
  <mergeCells count="11">
    <mergeCell ref="B10:C10"/>
    <mergeCell ref="B11:E11"/>
    <mergeCell ref="B12:D12"/>
    <mergeCell ref="B2:E2"/>
    <mergeCell ref="B7:E7"/>
    <mergeCell ref="B9:E9"/>
    <mergeCell ref="B3:C3"/>
    <mergeCell ref="B4:C4"/>
    <mergeCell ref="B5:C5"/>
    <mergeCell ref="B6:C6"/>
    <mergeCell ref="B8:C8"/>
  </mergeCells>
  <phoneticPr fontId="2" type="noConversion"/>
  <pageMargins left="0.75" right="0.75" top="1" bottom="1" header="0.5" footer="0.5"/>
  <pageSetup paperSize="9" orientation="landscape" horizontalDpi="0" verticalDpi="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8B45-D4CE-45C5-9680-4AEC51E9296C}">
  <sheetPr>
    <pageSetUpPr fitToPage="1"/>
  </sheetPr>
  <dimension ref="A2:I45"/>
  <sheetViews>
    <sheetView showGridLines="0" zoomScale="115" zoomScaleNormal="115" workbookViewId="0">
      <selection activeCell="F16" sqref="F16"/>
    </sheetView>
  </sheetViews>
  <sheetFormatPr defaultColWidth="11.42578125" defaultRowHeight="12.75" x14ac:dyDescent="0.2"/>
  <cols>
    <col min="6" max="6" width="12.7109375" bestFit="1" customWidth="1"/>
    <col min="7" max="7" width="14" bestFit="1" customWidth="1"/>
    <col min="8" max="8" width="13.7109375" customWidth="1"/>
  </cols>
  <sheetData>
    <row r="2" spans="1:9" ht="15.75" x14ac:dyDescent="0.2">
      <c r="A2" s="176" t="s">
        <v>129</v>
      </c>
      <c r="B2" s="176"/>
      <c r="C2" s="176"/>
      <c r="D2" s="176"/>
      <c r="E2" s="176"/>
      <c r="F2" s="176"/>
    </row>
    <row r="3" spans="1:9" x14ac:dyDescent="0.2">
      <c r="A3" s="172" t="s">
        <v>99</v>
      </c>
      <c r="B3" s="172"/>
      <c r="C3" s="172"/>
      <c r="D3" s="60" t="s">
        <v>100</v>
      </c>
      <c r="E3" s="61" t="s">
        <v>101</v>
      </c>
      <c r="F3" s="60" t="s">
        <v>127</v>
      </c>
    </row>
    <row r="4" spans="1:9" x14ac:dyDescent="0.2">
      <c r="A4" s="179" t="s">
        <v>102</v>
      </c>
      <c r="B4" s="179"/>
      <c r="C4" s="179"/>
      <c r="D4" s="56">
        <f>D6*E4</f>
        <v>12.257</v>
      </c>
      <c r="E4" s="46">
        <v>0.2</v>
      </c>
      <c r="F4" s="58">
        <f>D4/$C12</f>
        <v>2.0428333333333333</v>
      </c>
    </row>
    <row r="5" spans="1:9" x14ac:dyDescent="0.2">
      <c r="A5" s="179" t="s">
        <v>104</v>
      </c>
      <c r="B5" s="179"/>
      <c r="C5" s="179"/>
      <c r="D5" s="56">
        <f>D6*E5</f>
        <v>12.257</v>
      </c>
      <c r="E5" s="46">
        <v>0.2</v>
      </c>
      <c r="F5" s="58">
        <f>D5/$C12</f>
        <v>2.0428333333333333</v>
      </c>
    </row>
    <row r="6" spans="1:9" x14ac:dyDescent="0.2">
      <c r="A6" s="179" t="s">
        <v>106</v>
      </c>
      <c r="B6" s="179"/>
      <c r="C6" s="179"/>
      <c r="D6" s="56">
        <f>'5.-Resumen estimación de tamaño'!E12</f>
        <v>61.284999999999997</v>
      </c>
      <c r="E6" s="46">
        <v>0.4</v>
      </c>
      <c r="F6" s="58">
        <f>D6/$C12</f>
        <v>10.214166666666666</v>
      </c>
    </row>
    <row r="7" spans="1:9" x14ac:dyDescent="0.2">
      <c r="A7" s="179" t="s">
        <v>109</v>
      </c>
      <c r="B7" s="179"/>
      <c r="C7" s="179"/>
      <c r="D7" s="56">
        <f>D6*E7</f>
        <v>12.257</v>
      </c>
      <c r="E7" s="46">
        <v>0.2</v>
      </c>
      <c r="F7" s="58">
        <f>D7/$C12</f>
        <v>2.0428333333333333</v>
      </c>
      <c r="H7" s="50"/>
    </row>
    <row r="8" spans="1:9" ht="6.75" customHeight="1" x14ac:dyDescent="0.2">
      <c r="A8" s="42"/>
      <c r="B8" s="42"/>
      <c r="C8" s="42"/>
      <c r="D8" s="43"/>
      <c r="E8" s="44"/>
      <c r="F8" s="49"/>
    </row>
    <row r="9" spans="1:9" x14ac:dyDescent="0.2">
      <c r="A9" s="166" t="s">
        <v>108</v>
      </c>
      <c r="B9" s="166"/>
      <c r="C9" s="166"/>
      <c r="D9" s="56">
        <f>SUM(D4:D7)</f>
        <v>98.055999999999997</v>
      </c>
      <c r="E9" s="57">
        <f>SUM(E4:E7)</f>
        <v>1</v>
      </c>
      <c r="F9" s="58">
        <f>SUM(F4:F7)</f>
        <v>16.342666666666666</v>
      </c>
      <c r="G9" s="51"/>
    </row>
    <row r="10" spans="1:9" x14ac:dyDescent="0.2">
      <c r="A10" s="42"/>
      <c r="B10" s="42"/>
      <c r="C10" s="42"/>
      <c r="D10" s="43"/>
      <c r="E10" s="43"/>
      <c r="F10" s="49"/>
      <c r="G10" s="53"/>
      <c r="H10" s="53"/>
      <c r="I10" s="53"/>
    </row>
    <row r="11" spans="1:9" x14ac:dyDescent="0.2">
      <c r="A11" s="173" t="s">
        <v>75</v>
      </c>
      <c r="B11" s="173"/>
      <c r="C11" s="174" t="s">
        <v>125</v>
      </c>
      <c r="D11" s="174"/>
      <c r="E11" s="180" t="s">
        <v>134</v>
      </c>
      <c r="F11" s="180"/>
      <c r="G11" s="55" t="s">
        <v>128</v>
      </c>
    </row>
    <row r="12" spans="1:9" x14ac:dyDescent="0.2">
      <c r="A12" s="175">
        <v>21.5</v>
      </c>
      <c r="B12" s="175"/>
      <c r="C12" s="175">
        <v>6</v>
      </c>
      <c r="D12" s="175"/>
      <c r="E12" s="177">
        <f>ROUNDUP(F9,0)</f>
        <v>17</v>
      </c>
      <c r="F12" s="178"/>
      <c r="G12" s="59">
        <f>ROUNDUP((F9/A12),0)</f>
        <v>1</v>
      </c>
    </row>
    <row r="13" spans="1:9" x14ac:dyDescent="0.2">
      <c r="A13" s="64"/>
      <c r="B13" s="64"/>
      <c r="C13" s="64"/>
      <c r="D13" s="64"/>
      <c r="E13" s="65"/>
      <c r="F13" s="65"/>
      <c r="G13" s="66"/>
      <c r="H13" s="67"/>
    </row>
    <row r="14" spans="1:9" ht="15.75" x14ac:dyDescent="0.25">
      <c r="A14" s="167" t="s">
        <v>131</v>
      </c>
      <c r="B14" s="168"/>
      <c r="C14" s="169"/>
      <c r="D14" s="38"/>
      <c r="E14" s="68"/>
      <c r="F14" s="68"/>
      <c r="G14" s="68"/>
      <c r="H14" s="68"/>
      <c r="I14" s="37"/>
    </row>
    <row r="15" spans="1:9" ht="22.5" x14ac:dyDescent="0.2">
      <c r="A15" s="170" t="s">
        <v>123</v>
      </c>
      <c r="B15" s="171"/>
      <c r="C15" s="62" t="s">
        <v>126</v>
      </c>
      <c r="D15" s="40"/>
      <c r="E15" s="40"/>
      <c r="F15" s="40"/>
      <c r="G15" s="40"/>
    </row>
    <row r="16" spans="1:9" ht="15" x14ac:dyDescent="0.25">
      <c r="A16" s="165" t="s">
        <v>117</v>
      </c>
      <c r="B16" s="165"/>
      <c r="C16" s="47"/>
      <c r="D16" s="40"/>
      <c r="E16" s="40"/>
      <c r="F16" s="40"/>
      <c r="G16" s="40"/>
    </row>
    <row r="17" spans="1:9" ht="15" x14ac:dyDescent="0.25">
      <c r="A17" s="165" t="s">
        <v>118</v>
      </c>
      <c r="B17" s="165" t="s">
        <v>110</v>
      </c>
      <c r="C17" s="47"/>
      <c r="D17" s="40"/>
      <c r="E17" s="40"/>
      <c r="F17" s="40"/>
      <c r="G17" s="40"/>
    </row>
    <row r="18" spans="1:9" ht="15" x14ac:dyDescent="0.25">
      <c r="A18" s="165" t="s">
        <v>119</v>
      </c>
      <c r="B18" s="165" t="s">
        <v>103</v>
      </c>
      <c r="C18" s="47"/>
      <c r="D18" s="40"/>
      <c r="E18" s="40"/>
      <c r="F18" s="37"/>
      <c r="G18" s="37"/>
    </row>
    <row r="19" spans="1:9" ht="15" x14ac:dyDescent="0.25">
      <c r="A19" s="165" t="s">
        <v>120</v>
      </c>
      <c r="B19" s="165" t="s">
        <v>105</v>
      </c>
      <c r="C19" s="47"/>
      <c r="D19" s="40"/>
      <c r="E19" s="40"/>
      <c r="F19" s="37"/>
      <c r="G19" s="37"/>
    </row>
    <row r="20" spans="1:9" ht="15" x14ac:dyDescent="0.25">
      <c r="A20" s="165" t="s">
        <v>122</v>
      </c>
      <c r="B20" s="165"/>
      <c r="C20" s="47"/>
      <c r="D20" s="40"/>
      <c r="E20" s="40"/>
      <c r="F20" s="37"/>
      <c r="G20" s="37"/>
    </row>
    <row r="21" spans="1:9" ht="15" x14ac:dyDescent="0.25">
      <c r="A21" s="165" t="s">
        <v>121</v>
      </c>
      <c r="B21" s="165" t="s">
        <v>107</v>
      </c>
      <c r="C21" s="47"/>
      <c r="D21" s="40"/>
      <c r="E21" s="40"/>
      <c r="F21" s="37"/>
      <c r="G21" s="37"/>
    </row>
    <row r="22" spans="1:9" x14ac:dyDescent="0.2">
      <c r="A22" s="149" t="s">
        <v>108</v>
      </c>
      <c r="B22" s="150"/>
      <c r="C22" s="63">
        <f>SUM(C16:C21)*G12</f>
        <v>0</v>
      </c>
      <c r="E22" s="38"/>
      <c r="F22" s="38"/>
      <c r="G22" s="37"/>
      <c r="H22" s="37"/>
    </row>
    <row r="23" spans="1:9" x14ac:dyDescent="0.2">
      <c r="A23" s="37"/>
      <c r="B23" s="37"/>
      <c r="C23" s="37"/>
      <c r="D23" s="38"/>
      <c r="E23" s="38"/>
      <c r="F23" s="38"/>
      <c r="G23" s="38"/>
      <c r="H23" s="38"/>
    </row>
    <row r="24" spans="1:9" ht="15.75" x14ac:dyDescent="0.25">
      <c r="A24" s="156" t="s">
        <v>111</v>
      </c>
      <c r="B24" s="156"/>
      <c r="C24" s="156"/>
      <c r="D24" s="156"/>
      <c r="E24" s="38"/>
      <c r="F24" s="38"/>
      <c r="G24" s="38"/>
      <c r="H24" s="38"/>
      <c r="I24" s="38"/>
    </row>
    <row r="25" spans="1:9" x14ac:dyDescent="0.2">
      <c r="A25" s="157" t="s">
        <v>124</v>
      </c>
      <c r="B25" s="157"/>
      <c r="C25" s="157"/>
      <c r="D25" s="45" t="s">
        <v>74</v>
      </c>
      <c r="E25" s="38"/>
      <c r="F25" s="38"/>
      <c r="G25" s="38"/>
      <c r="H25" s="38"/>
      <c r="I25" s="38"/>
    </row>
    <row r="26" spans="1:9" x14ac:dyDescent="0.2">
      <c r="A26" s="158" t="s">
        <v>112</v>
      </c>
      <c r="B26" s="158"/>
      <c r="C26" s="158"/>
      <c r="D26" s="48"/>
      <c r="E26" s="38"/>
      <c r="F26" s="38"/>
      <c r="G26" s="38"/>
      <c r="H26" s="38"/>
      <c r="I26" s="38"/>
    </row>
    <row r="27" spans="1:9" x14ac:dyDescent="0.2">
      <c r="A27" s="158" t="s">
        <v>113</v>
      </c>
      <c r="B27" s="158"/>
      <c r="C27" s="158"/>
      <c r="D27" s="48"/>
      <c r="E27" s="38"/>
      <c r="F27" s="38"/>
      <c r="G27" s="38"/>
      <c r="H27" s="38"/>
      <c r="I27" s="38"/>
    </row>
    <row r="28" spans="1:9" x14ac:dyDescent="0.2">
      <c r="A28" s="162" t="s">
        <v>114</v>
      </c>
      <c r="B28" s="163"/>
      <c r="C28" s="164"/>
      <c r="D28" s="48"/>
      <c r="E28" s="38"/>
      <c r="F28" s="38"/>
      <c r="G28" s="38"/>
      <c r="H28" s="38"/>
      <c r="I28" s="38"/>
    </row>
    <row r="29" spans="1:9" x14ac:dyDescent="0.2">
      <c r="A29" s="158" t="s">
        <v>115</v>
      </c>
      <c r="B29" s="158"/>
      <c r="C29" s="158"/>
      <c r="D29" s="48"/>
      <c r="E29" s="38"/>
      <c r="F29" s="38"/>
      <c r="G29" s="38"/>
      <c r="H29" s="38"/>
      <c r="I29" s="38"/>
    </row>
    <row r="30" spans="1:9" x14ac:dyDescent="0.2">
      <c r="A30" s="151"/>
      <c r="B30" s="152"/>
      <c r="C30" s="153"/>
      <c r="D30" s="76"/>
      <c r="E30" s="38"/>
      <c r="F30" s="38"/>
      <c r="G30" s="38"/>
      <c r="H30" s="38"/>
      <c r="I30" s="38"/>
    </row>
    <row r="31" spans="1:9" x14ac:dyDescent="0.2">
      <c r="A31" s="154" t="s">
        <v>108</v>
      </c>
      <c r="B31" s="154"/>
      <c r="C31" s="154"/>
      <c r="D31" s="77">
        <f>SUM(D26:D30)</f>
        <v>0</v>
      </c>
      <c r="E31" s="38"/>
      <c r="F31" s="38"/>
      <c r="G31" s="40"/>
      <c r="H31" s="40"/>
      <c r="I31" s="40"/>
    </row>
    <row r="32" spans="1:9" x14ac:dyDescent="0.2">
      <c r="A32" s="37"/>
      <c r="B32" s="39"/>
      <c r="C32" s="37"/>
      <c r="D32" s="40"/>
      <c r="E32" s="38"/>
      <c r="F32" s="38"/>
      <c r="G32" s="40"/>
      <c r="H32" s="40"/>
      <c r="I32" s="40"/>
    </row>
    <row r="33" spans="1:9" x14ac:dyDescent="0.2">
      <c r="B33" s="155" t="s">
        <v>116</v>
      </c>
      <c r="C33" s="155"/>
      <c r="D33" s="75">
        <f>C22+D31</f>
        <v>0</v>
      </c>
      <c r="E33" s="38"/>
      <c r="F33" s="38"/>
      <c r="G33" s="52"/>
      <c r="H33" s="69"/>
      <c r="I33" s="70"/>
    </row>
    <row r="34" spans="1:9" x14ac:dyDescent="0.2">
      <c r="A34" s="37"/>
      <c r="B34" s="37"/>
      <c r="C34" s="37"/>
      <c r="D34" s="38"/>
      <c r="E34" s="38"/>
      <c r="F34" s="38"/>
      <c r="G34" s="40"/>
      <c r="H34" s="71"/>
      <c r="I34" s="70"/>
    </row>
    <row r="35" spans="1:9" x14ac:dyDescent="0.2">
      <c r="A35" s="37"/>
      <c r="B35" s="39"/>
      <c r="C35" s="37"/>
      <c r="D35" s="40"/>
      <c r="E35" s="41"/>
      <c r="F35" s="41"/>
      <c r="G35" s="41"/>
      <c r="H35" s="72"/>
      <c r="I35" s="72"/>
    </row>
    <row r="36" spans="1:9" ht="15" customHeight="1" x14ac:dyDescent="0.25">
      <c r="B36" s="161" t="s">
        <v>102</v>
      </c>
      <c r="C36" s="161"/>
      <c r="D36" s="159" t="s">
        <v>130</v>
      </c>
      <c r="E36" s="160"/>
      <c r="F36" s="160"/>
      <c r="G36" s="160"/>
      <c r="H36" s="73"/>
      <c r="I36" s="74"/>
    </row>
    <row r="37" spans="1:9" ht="13.7" customHeight="1" x14ac:dyDescent="0.2">
      <c r="A37" s="37"/>
      <c r="B37" s="37"/>
      <c r="C37" s="37"/>
      <c r="D37" s="160"/>
      <c r="E37" s="160"/>
      <c r="F37" s="160"/>
      <c r="G37" s="160"/>
      <c r="H37" s="74"/>
      <c r="I37" s="74"/>
    </row>
    <row r="38" spans="1:9" ht="13.7" customHeight="1" x14ac:dyDescent="0.2">
      <c r="A38" s="37"/>
      <c r="B38" s="37"/>
      <c r="C38" s="37"/>
      <c r="D38" s="160"/>
      <c r="E38" s="160"/>
      <c r="F38" s="160"/>
      <c r="G38" s="160"/>
      <c r="H38" s="74"/>
      <c r="I38" s="74"/>
    </row>
    <row r="39" spans="1:9" ht="13.7" customHeight="1" x14ac:dyDescent="0.2">
      <c r="A39" s="37"/>
      <c r="B39" s="37"/>
      <c r="C39" s="37"/>
      <c r="D39" s="160"/>
      <c r="E39" s="160"/>
      <c r="F39" s="160"/>
      <c r="G39" s="160"/>
      <c r="H39" s="74"/>
      <c r="I39" s="74"/>
    </row>
    <row r="40" spans="1:9" ht="13.7" customHeight="1" x14ac:dyDescent="0.2">
      <c r="A40" s="37"/>
      <c r="B40" s="37"/>
      <c r="C40" s="37"/>
      <c r="D40" s="160"/>
      <c r="E40" s="160"/>
      <c r="F40" s="160"/>
      <c r="G40" s="160"/>
      <c r="H40" s="74"/>
      <c r="I40" s="74"/>
    </row>
    <row r="41" spans="1:9" ht="13.7" customHeight="1" x14ac:dyDescent="0.2">
      <c r="A41" s="37"/>
      <c r="B41" s="37"/>
      <c r="C41" s="37"/>
      <c r="D41" s="160"/>
      <c r="E41" s="160"/>
      <c r="F41" s="160"/>
      <c r="G41" s="160"/>
      <c r="H41" s="74"/>
      <c r="I41" s="74"/>
    </row>
    <row r="42" spans="1:9" ht="13.7" customHeight="1" x14ac:dyDescent="0.2">
      <c r="A42" s="37"/>
      <c r="B42" s="37"/>
      <c r="C42" s="37"/>
      <c r="D42" s="160"/>
      <c r="E42" s="160"/>
      <c r="F42" s="160"/>
      <c r="G42" s="160"/>
      <c r="H42" s="74"/>
      <c r="I42" s="74"/>
    </row>
    <row r="43" spans="1:9" ht="13.7" customHeight="1" x14ac:dyDescent="0.2">
      <c r="A43" s="37"/>
      <c r="B43" s="37"/>
      <c r="C43" s="37"/>
      <c r="D43" s="160"/>
      <c r="E43" s="160"/>
      <c r="F43" s="160"/>
      <c r="G43" s="160"/>
      <c r="H43" s="74"/>
      <c r="I43" s="74"/>
    </row>
    <row r="44" spans="1:9" ht="13.7" customHeight="1" x14ac:dyDescent="0.2">
      <c r="A44" s="37"/>
      <c r="B44" s="37"/>
      <c r="C44" s="37"/>
      <c r="D44" s="160"/>
      <c r="E44" s="160"/>
      <c r="F44" s="160"/>
      <c r="G44" s="160"/>
      <c r="H44" s="74"/>
      <c r="I44" s="74"/>
    </row>
    <row r="45" spans="1:9" ht="13.7" customHeight="1" x14ac:dyDescent="0.2">
      <c r="A45" s="37"/>
      <c r="B45" s="37"/>
      <c r="C45" s="37"/>
      <c r="D45" s="160"/>
      <c r="E45" s="160"/>
      <c r="F45" s="160"/>
      <c r="G45" s="160"/>
      <c r="H45" s="74"/>
      <c r="I45" s="74"/>
    </row>
  </sheetData>
  <mergeCells count="33">
    <mergeCell ref="A3:C3"/>
    <mergeCell ref="A11:B11"/>
    <mergeCell ref="C11:D11"/>
    <mergeCell ref="A12:B12"/>
    <mergeCell ref="A2:F2"/>
    <mergeCell ref="C12:D12"/>
    <mergeCell ref="E12:F12"/>
    <mergeCell ref="A4:C4"/>
    <mergeCell ref="A5:C5"/>
    <mergeCell ref="A6:C6"/>
    <mergeCell ref="A7:C7"/>
    <mergeCell ref="E11:F11"/>
    <mergeCell ref="A21:B21"/>
    <mergeCell ref="A20:B20"/>
    <mergeCell ref="A9:C9"/>
    <mergeCell ref="A16:B16"/>
    <mergeCell ref="A14:C14"/>
    <mergeCell ref="A15:B15"/>
    <mergeCell ref="A17:B17"/>
    <mergeCell ref="A18:B18"/>
    <mergeCell ref="A19:B19"/>
    <mergeCell ref="D36:G45"/>
    <mergeCell ref="B36:C36"/>
    <mergeCell ref="A27:C27"/>
    <mergeCell ref="A28:C28"/>
    <mergeCell ref="A29:C29"/>
    <mergeCell ref="A22:B22"/>
    <mergeCell ref="A30:C30"/>
    <mergeCell ref="A31:C31"/>
    <mergeCell ref="B33:C33"/>
    <mergeCell ref="A24:D24"/>
    <mergeCell ref="A25:C25"/>
    <mergeCell ref="A26:C26"/>
  </mergeCells>
  <pageMargins left="0.7" right="0.7" top="0.75" bottom="0.75" header="0.3" footer="0.3"/>
  <pageSetup paperSize="9" scale="80"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b8c81b995d4ba8c1d72e6e66b781faae">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f53811fa579c635c88adb8d24199f6dd"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0D35AF-9116-4EF3-9485-D9772022862F}">
  <ds:schemaRefs>
    <ds:schemaRef ds:uri="http://www.w3.org/XML/1998/namespace"/>
    <ds:schemaRef ds:uri="7a0a35da-276e-4c8e-b365-e7c47df80865"/>
    <ds:schemaRef ds:uri="http://purl.org/dc/dcmitype/"/>
    <ds:schemaRef ds:uri="http://schemas.openxmlformats.org/package/2006/metadata/core-properties"/>
    <ds:schemaRef ds:uri="http://schemas.microsoft.com/office/2006/documentManagement/types"/>
    <ds:schemaRef ds:uri="http://purl.org/dc/elements/1.1/"/>
    <ds:schemaRef ds:uri="f1020bcf-9500-4749-8c84-b23cf1385772"/>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DAE215D9-B2A4-4E50-98D8-768F734E2D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1A76438-0B57-4590-9681-B6AE0AB25BC1}">
  <ds:schemaRefs>
    <ds:schemaRef ds:uri="http://schemas.microsoft.com/office/2006/metadata/longProperties"/>
  </ds:schemaRefs>
</ds:datastoreItem>
</file>

<file path=customXml/itemProps4.xml><?xml version="1.0" encoding="utf-8"?>
<ds:datastoreItem xmlns:ds="http://schemas.openxmlformats.org/officeDocument/2006/customXml" ds:itemID="{F72B8787-712F-4644-A05C-F6A6860098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Históricos</vt:lpstr>
      <vt:lpstr>1.-Factores técnicos</vt:lpstr>
      <vt:lpstr>2.-Factores ambientales</vt:lpstr>
      <vt:lpstr>3.-Casos de uso</vt:lpstr>
      <vt:lpstr>4.-Actores</vt:lpstr>
      <vt:lpstr>5.-Resumen estimación de tamaño</vt:lpstr>
      <vt:lpstr>6.-Estimación esfuerzo y costo</vt:lpstr>
    </vt:vector>
  </TitlesOfParts>
  <Manager/>
  <Company>Tyner Blain LLC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Alatorre</dc:creator>
  <cp:keywords/>
  <dc:description/>
  <cp:lastModifiedBy>Documentación Innevo</cp:lastModifiedBy>
  <cp:revision/>
  <cp:lastPrinted>2024-07-12T16:27:58Z</cp:lastPrinted>
  <dcterms:created xsi:type="dcterms:W3CDTF">2007-02-21T01:19:06Z</dcterms:created>
  <dcterms:modified xsi:type="dcterms:W3CDTF">2026-03-17T22:58:54Z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MyDocuments">
    <vt:lpwstr>1</vt:lpwstr>
  </property>
  <property fmtid="{D5CDD505-2E9C-101B-9397-08002B2CF9AE}" pid="3" name="ContentTypeId">
    <vt:lpwstr>0x0101005F79CA91C779E94BAF39074ADA180F65</vt:lpwstr>
  </property>
  <property fmtid="{D5CDD505-2E9C-101B-9397-08002B2CF9AE}" pid="4" name="MediaServiceImageTags">
    <vt:lpwstr/>
  </property>
</Properties>
</file>