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defaultThemeVersion="124226"/>
  <mc:AlternateContent xmlns:mc="http://schemas.openxmlformats.org/markup-compatibility/2006">
    <mc:Choice Requires="x15">
      <x15ac:absPath xmlns:x15ac="http://schemas.microsoft.com/office/spreadsheetml/2010/11/ac" url="https://innevocorp.sharepoint.com/sites/PaqueteCMMIISO2023/Documentos compartidos/CMMI-DEV/SGCP/SGCP/Estimaciones/Estimación/"/>
    </mc:Choice>
  </mc:AlternateContent>
  <xr:revisionPtr revIDLastSave="215" documentId="8_{82B12835-757A-4C8B-89AE-A1081A0D5D3E}" xr6:coauthVersionLast="47" xr6:coauthVersionMax="47" xr10:uidLastSave="{C2016195-5C73-4B5D-AAA8-E790ED82D2E1}"/>
  <bookViews>
    <workbookView xWindow="-28920" yWindow="-120" windowWidth="29040" windowHeight="15840" tabRatio="625" firstSheet="5" activeTab="9" xr2:uid="{00000000-000D-0000-FFFF-FFFF00000000}"/>
  </bookViews>
  <sheets>
    <sheet name="Históricos" sheetId="13" r:id="rId1"/>
    <sheet name="1-Factor de Ajuste de Valor" sheetId="3" r:id="rId2"/>
    <sheet name="2-Archivos Lógicos Internos" sheetId="5" r:id="rId3"/>
    <sheet name="3-Archivos de Interfaz Externa" sheetId="6" r:id="rId4"/>
    <sheet name="4-Entradas Externas" sheetId="7" r:id="rId5"/>
    <sheet name="5-Salidas Externas" sheetId="8" r:id="rId6"/>
    <sheet name="6-Consultas externas" sheetId="9" r:id="rId7"/>
    <sheet name="7-Puntos de Función no Ajustado" sheetId="4" r:id="rId8"/>
    <sheet name="8-Resumen estimación de tamaño" sheetId="2" r:id="rId9"/>
    <sheet name="9-Estimado de esfuerzo y costo" sheetId="12" r:id="rId10"/>
    <sheet name="Module2" sheetId="10" state="veryHidden" r:id=""/>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12" l="1"/>
  <c r="E10" i="12"/>
  <c r="F13" i="7" l="1"/>
  <c r="E13" i="7"/>
  <c r="D13" i="7"/>
  <c r="F14" i="7"/>
  <c r="E14" i="7"/>
  <c r="D14" i="7"/>
  <c r="F15" i="7"/>
  <c r="E15" i="7"/>
  <c r="D15" i="7"/>
  <c r="C18" i="3"/>
  <c r="C19" i="3" s="1"/>
  <c r="D5" i="6"/>
  <c r="E5" i="6"/>
  <c r="F5" i="6"/>
  <c r="D6" i="6"/>
  <c r="E6" i="6"/>
  <c r="F6" i="6"/>
  <c r="D7" i="6"/>
  <c r="E7" i="6"/>
  <c r="F7" i="6"/>
  <c r="D8" i="6"/>
  <c r="E8" i="6"/>
  <c r="F8" i="6"/>
  <c r="D9" i="6"/>
  <c r="E9" i="6"/>
  <c r="F9" i="6"/>
  <c r="D10" i="6"/>
  <c r="E10" i="6"/>
  <c r="F10" i="6"/>
  <c r="D11" i="6"/>
  <c r="E11" i="6"/>
  <c r="F11" i="6"/>
  <c r="D12" i="6"/>
  <c r="E12" i="6"/>
  <c r="F12" i="6"/>
  <c r="D13" i="6"/>
  <c r="E13" i="6"/>
  <c r="F13" i="6"/>
  <c r="D14" i="6"/>
  <c r="E14" i="6"/>
  <c r="F14" i="6"/>
  <c r="D15" i="6"/>
  <c r="E15" i="6"/>
  <c r="F15" i="6"/>
  <c r="D16" i="6"/>
  <c r="E16" i="6"/>
  <c r="F16" i="6"/>
  <c r="D5" i="7"/>
  <c r="E5" i="7"/>
  <c r="F5" i="7"/>
  <c r="D6" i="7"/>
  <c r="E6" i="7"/>
  <c r="F6" i="7"/>
  <c r="D7" i="7"/>
  <c r="E7" i="7"/>
  <c r="F7" i="7"/>
  <c r="D8" i="7"/>
  <c r="E8" i="7"/>
  <c r="F8" i="7"/>
  <c r="D9" i="7"/>
  <c r="E9" i="7"/>
  <c r="F9" i="7"/>
  <c r="D10" i="7"/>
  <c r="E10" i="7"/>
  <c r="F10" i="7"/>
  <c r="D11" i="7"/>
  <c r="E11" i="7"/>
  <c r="F11" i="7"/>
  <c r="D12" i="7"/>
  <c r="E12" i="7"/>
  <c r="F12" i="7"/>
  <c r="D16" i="7"/>
  <c r="E16" i="7"/>
  <c r="F16" i="7"/>
  <c r="D17" i="7"/>
  <c r="E17" i="7"/>
  <c r="F17" i="7"/>
  <c r="D18" i="7"/>
  <c r="E18" i="7"/>
  <c r="F18" i="7"/>
  <c r="D5" i="8"/>
  <c r="D17" i="8" s="1"/>
  <c r="C13" i="4" s="1"/>
  <c r="E13" i="4" s="1"/>
  <c r="E5" i="8"/>
  <c r="F5" i="8"/>
  <c r="D6" i="8"/>
  <c r="E6" i="8"/>
  <c r="F6" i="8"/>
  <c r="D7" i="8"/>
  <c r="E7" i="8"/>
  <c r="F7" i="8"/>
  <c r="D8" i="8"/>
  <c r="E8" i="8"/>
  <c r="F8" i="8"/>
  <c r="D9" i="8"/>
  <c r="E9" i="8"/>
  <c r="F9" i="8"/>
  <c r="D10" i="8"/>
  <c r="E10" i="8"/>
  <c r="F10" i="8"/>
  <c r="D11" i="8"/>
  <c r="E11" i="8"/>
  <c r="F11" i="8"/>
  <c r="D12" i="8"/>
  <c r="E12" i="8"/>
  <c r="F12" i="8"/>
  <c r="D13" i="8"/>
  <c r="E13" i="8"/>
  <c r="F13" i="8"/>
  <c r="D14" i="8"/>
  <c r="E14" i="8"/>
  <c r="F14" i="8"/>
  <c r="D15" i="8"/>
  <c r="E15" i="8"/>
  <c r="F15" i="8"/>
  <c r="D16" i="8"/>
  <c r="E16" i="8"/>
  <c r="F16" i="8"/>
  <c r="D5" i="9"/>
  <c r="G5" i="9"/>
  <c r="J5" i="9" s="1"/>
  <c r="D6" i="9"/>
  <c r="G6" i="9"/>
  <c r="H6" i="9"/>
  <c r="I6" i="9"/>
  <c r="J6" i="9"/>
  <c r="D7" i="9"/>
  <c r="G7" i="9"/>
  <c r="H7" i="9"/>
  <c r="I7" i="9"/>
  <c r="J7" i="9"/>
  <c r="D8" i="9"/>
  <c r="G8" i="9"/>
  <c r="H8" i="9"/>
  <c r="I8" i="9"/>
  <c r="J8" i="9"/>
  <c r="D9" i="9"/>
  <c r="G9" i="9"/>
  <c r="H9" i="9"/>
  <c r="I9" i="9"/>
  <c r="J9" i="9"/>
  <c r="D10" i="9"/>
  <c r="G10" i="9"/>
  <c r="H10" i="9"/>
  <c r="I10" i="9"/>
  <c r="J10" i="9"/>
  <c r="D11" i="9"/>
  <c r="G11" i="9"/>
  <c r="H11" i="9"/>
  <c r="I11" i="9"/>
  <c r="J11" i="9"/>
  <c r="D12" i="9"/>
  <c r="G12" i="9"/>
  <c r="H12" i="9"/>
  <c r="I12" i="9"/>
  <c r="J12" i="9"/>
  <c r="D13" i="9"/>
  <c r="G13" i="9"/>
  <c r="H13" i="9"/>
  <c r="I13" i="9"/>
  <c r="J13" i="9"/>
  <c r="D14" i="9"/>
  <c r="G14" i="9"/>
  <c r="H14" i="9"/>
  <c r="I14" i="9"/>
  <c r="J14" i="9"/>
  <c r="D15" i="9"/>
  <c r="G15" i="9"/>
  <c r="H15" i="9"/>
  <c r="I15" i="9"/>
  <c r="J15" i="9"/>
  <c r="D5" i="5"/>
  <c r="E5" i="5"/>
  <c r="F5" i="5"/>
  <c r="D6" i="5"/>
  <c r="E6" i="5"/>
  <c r="F6" i="5"/>
  <c r="D7" i="5"/>
  <c r="E7" i="5"/>
  <c r="F7" i="5"/>
  <c r="D8" i="5"/>
  <c r="E8" i="5"/>
  <c r="F8" i="5"/>
  <c r="D9" i="5"/>
  <c r="E9" i="5"/>
  <c r="F9" i="5"/>
  <c r="D10" i="5"/>
  <c r="E10" i="5"/>
  <c r="F10" i="5"/>
  <c r="D11" i="5"/>
  <c r="E11" i="5"/>
  <c r="F11" i="5"/>
  <c r="D12" i="5"/>
  <c r="E12" i="5"/>
  <c r="F12" i="5"/>
  <c r="D13" i="5"/>
  <c r="E13" i="5"/>
  <c r="F13" i="5"/>
  <c r="D14" i="5"/>
  <c r="E14" i="5"/>
  <c r="F14" i="5"/>
  <c r="D15" i="5"/>
  <c r="E15" i="5"/>
  <c r="F15" i="5"/>
  <c r="D16" i="5"/>
  <c r="E16" i="5"/>
  <c r="F16" i="5"/>
  <c r="B4" i="2" l="1"/>
  <c r="E17" i="6"/>
  <c r="C8" i="4" s="1"/>
  <c r="E8" i="4" s="1"/>
  <c r="D17" i="6"/>
  <c r="C7" i="4" s="1"/>
  <c r="E7" i="4" s="1"/>
  <c r="F19" i="7"/>
  <c r="C12" i="4" s="1"/>
  <c r="E12" i="4" s="1"/>
  <c r="H5" i="9"/>
  <c r="I5" i="9" s="1"/>
  <c r="I16" i="9" s="1"/>
  <c r="C17" i="4" s="1"/>
  <c r="E17" i="4" s="1"/>
  <c r="J16" i="9"/>
  <c r="C18" i="4" s="1"/>
  <c r="E18" i="4" s="1"/>
  <c r="F17" i="8"/>
  <c r="C15" i="4" s="1"/>
  <c r="E15" i="4" s="1"/>
  <c r="E17" i="8"/>
  <c r="C14" i="4" s="1"/>
  <c r="E14" i="4" s="1"/>
  <c r="E19" i="7"/>
  <c r="C11" i="4" s="1"/>
  <c r="E11" i="4" s="1"/>
  <c r="D19" i="7"/>
  <c r="C10" i="4" s="1"/>
  <c r="E10" i="4" s="1"/>
  <c r="F17" i="6"/>
  <c r="C9" i="4" s="1"/>
  <c r="E9" i="4" s="1"/>
  <c r="F17" i="5"/>
  <c r="C6" i="4" s="1"/>
  <c r="E6" i="4" s="1"/>
  <c r="E17" i="5"/>
  <c r="C5" i="4" s="1"/>
  <c r="E5" i="4" s="1"/>
  <c r="D17" i="5"/>
  <c r="C4" i="4" s="1"/>
  <c r="E4" i="4" s="1"/>
  <c r="H16" i="9" l="1"/>
  <c r="C16" i="4" s="1"/>
  <c r="E16" i="4" s="1"/>
  <c r="E19" i="4" s="1"/>
  <c r="F12" i="4" s="1"/>
  <c r="F6" i="4" l="1"/>
  <c r="B3" i="2"/>
  <c r="F15" i="4"/>
  <c r="F9" i="4"/>
  <c r="F18" i="4"/>
  <c r="B5" i="2" l="1"/>
  <c r="F19" i="4"/>
  <c r="B7" i="2" l="1"/>
  <c r="D7" i="12" s="1"/>
  <c r="D8" i="12" l="1"/>
  <c r="F8" i="12" s="1"/>
  <c r="D6" i="12"/>
  <c r="F6" i="12" s="1"/>
  <c r="F7" i="12"/>
  <c r="D5" i="12"/>
  <c r="F5" i="12" s="1"/>
  <c r="D10" i="12" l="1"/>
  <c r="F10" i="12"/>
  <c r="G13" i="12" l="1"/>
  <c r="E13" i="12"/>
  <c r="C23" i="12" l="1"/>
  <c r="D3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Tania López</author>
  </authors>
  <commentList>
    <comment ref="B6" authorId="0" shapeId="0" xr:uid="{76A68948-2B8C-4DDF-AA85-4369B84B05DE}">
      <text>
        <r>
          <rPr>
            <sz val="9"/>
            <color indexed="81"/>
            <rFont val="Tahoma"/>
            <family val="2"/>
          </rPr>
          <t>En esta sección se debe hacer referencia a las estimaciones de otros proyectos en base a los cuales se realizó las estimaciones iniciales del proyecto.
Ver la información historica de los proyectos en la carpeta métricas del repositorio del SGC.</t>
        </r>
      </text>
    </comment>
    <comment ref="F8" authorId="0" shapeId="0" xr:uid="{C3D88214-ED92-4935-9D0D-AF91AC193A9C}">
      <text>
        <r>
          <rPr>
            <sz val="9"/>
            <color indexed="81"/>
            <rFont val="Tahoma"/>
            <family val="2"/>
          </rPr>
          <t>Aspectos que se consideraron del proyecto para la estimación.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C3" authorId="0" shapeId="0" xr:uid="{30E6C556-C052-4D67-9350-CEFF9083392F}">
      <text>
        <r>
          <rPr>
            <sz val="8"/>
            <color indexed="81"/>
            <rFont val="Tahoma"/>
            <family val="2"/>
          </rPr>
          <t xml:space="preserve">Evalúe cada característica general del sistema en términos de su grado de influencia en una escala de 0 a 5:
0   No presente o sin influencia
1   Influencia incidental 
2   Influencia moderada
3   Influencia media
4   Significan Influencia significativa
5   Influencia fuerte en todo
</t>
        </r>
      </text>
    </comment>
    <comment ref="D3" authorId="0" shapeId="0" xr:uid="{18241F56-5BFA-4A66-AA26-233F81C5BC5B}">
      <text>
        <r>
          <rPr>
            <sz val="8"/>
            <color indexed="81"/>
            <rFont val="Tahoma"/>
            <family val="2"/>
          </rPr>
          <t>Inserte una breve nota que resuma cómo se aplica cada característica general de los sistemas para esta aplicación.</t>
        </r>
      </text>
    </comment>
    <comment ref="B4" authorId="0" shapeId="0" xr:uid="{4EDF09BF-4D4B-4908-B90F-7A395381E037}">
      <text>
        <r>
          <rPr>
            <sz val="8"/>
            <color indexed="81"/>
            <rFont val="Tahoma"/>
            <family val="2"/>
          </rPr>
          <t xml:space="preserve">Los datos y la información de control utilizados en la aplicación se envían o reciben a través de instalaciones de comunicación. Se considera que los terminales conectados localmente a la unidad de control utilizan instalaciones de comunicación.
</t>
        </r>
      </text>
    </comment>
    <comment ref="C4" authorId="0" shapeId="0" xr:uid="{199A605B-4ED0-4A35-88EE-EF348259A35C}">
      <text>
        <r>
          <rPr>
            <sz val="8"/>
            <color indexed="81"/>
            <rFont val="Tahoma"/>
            <family val="2"/>
          </rPr>
          <t>Puntúe las comunicaciones de datos como:
0 La aplicación es un procesamiento por lotes puro o una aplicación de computadora personal independiente.
1 La aplicación es por lotes pero tiene entrada de datos remota o impresión remota.
2 La aplicación es por lotes pero tiene entrada de datos remota e impresión remota.
3 Recopilación de datos en línea o interfaz TP (teleprocesamiento) para un proceso por lotes o un sistema de consulta.
4 Más que un front-end, pero la aplicación solo admite un tipo de protocolo de comunicaciones TP.
5 Más que un front-end, y la aplicación admite más de un tipo de protocolo de comunicaciones TP.</t>
        </r>
      </text>
    </comment>
    <comment ref="B5" authorId="0" shapeId="0" xr:uid="{D449A1E3-5A04-4F0D-825B-45A7894943B2}">
      <text>
        <r>
          <rPr>
            <sz val="8"/>
            <color indexed="81"/>
            <rFont val="Tahoma"/>
            <family val="2"/>
          </rPr>
          <t>Los datos distribuidos o las funciones de procesamiento son una característica de la aplicación dentro de los límites de la aplicación.</t>
        </r>
      </text>
    </comment>
    <comment ref="C5" authorId="0" shapeId="0" xr:uid="{9059ADAC-5AF5-43DF-8463-141925CC568D}">
      <text>
        <r>
          <rPr>
            <sz val="8"/>
            <color indexed="81"/>
            <rFont val="Tahoma"/>
            <family val="2"/>
          </rPr>
          <t xml:space="preserve">Puntúe el procesamiento distribuido como:
0 La aplicación no ayuda a la transferencia de datos ni a la función de procesamiento entre los componentes del sistema.
1 La aplicación prepara datos para el procesamiento del usuario final en otro componente del sistema, como hojas de cálculo de PC y DBMS de PC.
2 Los datos se preparan para la transferencia, luego se transfieren y procesan en otro componente del sistema (no para el procesamiento del usuario final).
3 El procesamiento distribuido y la transferencia de datos se realizan en línea y en una sola dirección.
4 El procesamiento distribuido y la transferencia de datos se realizan en línea y en ambas direcciones.
5 Las funciones de procesamiento se realizan dinámicamente en el componente más apropiado del sistema.
</t>
        </r>
      </text>
    </comment>
    <comment ref="B6" authorId="0" shapeId="0" xr:uid="{6BD6817C-B995-41F8-B37C-1A9981C2E40B}">
      <text>
        <r>
          <rPr>
            <sz val="8"/>
            <color indexed="81"/>
            <rFont val="Tahoma"/>
            <family val="2"/>
          </rPr>
          <t>Los objetivos de rendimiento de la aplicación, declarados o aprobados por el usuario, ya sea en respuesta o rendimiento, influyeron (o influirán) en el diseño, desarrollo, instalación y soporte de la aplicación.</t>
        </r>
      </text>
    </comment>
    <comment ref="C6" authorId="0" shapeId="0" xr:uid="{12886BFD-E284-48C7-BB2A-CDD9A25D1342}">
      <text>
        <r>
          <rPr>
            <sz val="8"/>
            <color indexed="81"/>
            <rFont val="Tahoma"/>
            <family val="2"/>
          </rPr>
          <t xml:space="preserve">Califique el desempeño como:
0 El usuario no indicó requisitos especiales de rendimiento.
1 Se establecieron y revisaron los requisitos de rendimiento y diseño, pero no se requirieron acciones especiales.
2 El tiempo de respuesta o el rendimiento son críticos durante las horas pico. No se requirió ningún diseño especial para la utilización de la CPU. La fecha límite de procesamiento es para el siguiente día hábil.
3 El tiempo de respuesta o el rendimiento son críticos durante todas las horas de trabajo. No se requirió ningún diseño especial para la utilización de la CPU. Los requisitos de plazos de procesamiento con sistemas de interfaz son restrictivos.
4 Además, los requisitos de rendimiento establecidos por el usuario son lo suficientemente estrictos como para requerir tareas de análisis de rendimiento en la fase de diseño.
5 Además, se utilizaron herramientas de análisis de rendimiento en las fases de diseño, desarrollo y/o implementación para cumplir con los requisitos de rendimiento establecidos por los usuarios.
</t>
        </r>
      </text>
    </comment>
    <comment ref="B7" authorId="0" shapeId="0" xr:uid="{34FAA6E2-7AC0-43E6-BE8D-0FBD0F05575A}">
      <text>
        <r>
          <rPr>
            <sz val="8"/>
            <color indexed="81"/>
            <rFont val="Tahoma"/>
            <family val="2"/>
          </rPr>
          <t xml:space="preserve">Una configuración operativa muy utilizada, que requiere una consideración de diseño especial, es una característica de la aplicación. Por ejemplo, el usuario desea ejecutar la aplicación en un equipo existente o comprometido que se utilizará mucho. </t>
        </r>
      </text>
    </comment>
    <comment ref="C7" authorId="0" shapeId="0" xr:uid="{7CC3B37B-6CB6-43C9-8404-A16E58374543}">
      <text>
        <r>
          <rPr>
            <sz val="8"/>
            <color indexed="81"/>
            <rFont val="Tahoma"/>
            <family val="2"/>
          </rPr>
          <t xml:space="preserve">Puntúe la configuración muy utilizada como:
0 Sin restricciones operativas explícitas o implícitas.
1 Existen restricciones operativas, pero son menos restrictivas que una aplicación típica. No se necesita ningún esfuerzo especial para cumplir con las restricciones.
2 Algunas consideraciones de seguridad o tiempo.
3 Requisitos específicos del procesador para una parte específica de la aplicación.
4 Las restricciones operativas establecidas requieren restricciones especiales en la aplicación en el procesador central o en un procesador dedicado.
5 Además, existen restricciones especiales sobre la aplicación en los componentes distribuidos del sistema.
</t>
        </r>
      </text>
    </comment>
    <comment ref="B8" authorId="0" shapeId="0" xr:uid="{D4806765-878F-4AFE-B1CA-670266C160A0}">
      <text>
        <r>
          <rPr>
            <sz val="8"/>
            <color indexed="81"/>
            <rFont val="Tahoma"/>
            <family val="2"/>
          </rPr>
          <t xml:space="preserve">La tasa de transacciones es alta e influyó en el diseño, desarrollo, instalación y soporte de la aplicación. </t>
        </r>
      </text>
    </comment>
    <comment ref="C8" authorId="0" shapeId="0" xr:uid="{D4A3CA44-4039-4CA0-936F-36F9A2FE6F7B}">
      <text>
        <r>
          <rPr>
            <sz val="8"/>
            <color indexed="81"/>
            <rFont val="Tahoma"/>
            <family val="2"/>
          </rPr>
          <t>Califique las tasas de transacción como:
0 No se prevé un período pico de transacciones.
1 Se prevé un período pico de transacciones (por ejemplo, mensual, trimestral, estacional, anual).
2 Se prevé un período máximo de transacciones semanales.
3 Período máximo diario de transacciones anticipado.
4 Las altas tasas de transacción declaradas por el usuario en los requisitos de la aplicación o los acuerdos de nivel de servicio son lo suficientemente altas como para requerir tareas de análisis de rendimiento en la fase de diseño.
5 Las altas tasas de transacción declaradas por el usuario en los requisitos de la aplicación o los acuerdos de nivel de servicio son lo suficientemente altas como para requerir tareas de análisis de rendimiento y, además, requieren el uso de herramientas de análisis de rendimiento en las fases de diseño, desarrollo y/o instalación.</t>
        </r>
      </text>
    </comment>
    <comment ref="B9" authorId="0" shapeId="0" xr:uid="{13ABA54D-B69A-459F-835B-6C4425C3E808}">
      <text>
        <r>
          <rPr>
            <sz val="8"/>
            <color indexed="81"/>
            <rFont val="Tahoma"/>
            <family val="2"/>
          </rPr>
          <t>Las funciones de entrada y control de datos en línea se proporcionan en la aplicación.</t>
        </r>
      </text>
    </comment>
    <comment ref="C9" authorId="0" shapeId="0" xr:uid="{C70BC8D7-751B-40F0-8CDA-A621448C38D4}">
      <text>
        <r>
          <rPr>
            <sz val="8"/>
            <color indexed="81"/>
            <rFont val="Tahoma"/>
            <family val="2"/>
          </rPr>
          <t xml:space="preserve">Califique la entrada de datos en línea como:
0 Todas las transacciones se procesan en modo por lotes.
Del 11 al 7 por ciento de las transacciones son entradas de datos interactivas.
2 Entre el 8 y el 15 por ciento de las transacciones son entradas de datos interactivas.
3 Entre el 16 y el 23 por ciento de las transacciones son entradas de datos interactivas.
4 Entre el 24 y el 30 por ciento de las transacciones son entradas de datos interactivas.
5 Más del 30 por ciento de las transacciones son entradas de datos interactivas.
</t>
        </r>
      </text>
    </comment>
    <comment ref="B10" authorId="0" shapeId="0" xr:uid="{650D9D7F-5626-49C5-BCBE-130AA13DA771}">
      <text>
        <r>
          <rPr>
            <sz val="8"/>
            <color indexed="81"/>
            <rFont val="Tahoma"/>
            <family val="2"/>
          </rPr>
          <t>Las funciones en línea proporcionadas enfatizan un diseño para la eficiencia del usuario final.</t>
        </r>
      </text>
    </comment>
    <comment ref="C10" authorId="0" shapeId="0" xr:uid="{623F86DA-DDD3-4FDF-941A-CB37DEC39CF8}">
      <text>
        <r>
          <rPr>
            <sz val="8"/>
            <color indexed="81"/>
            <rFont val="Tahoma"/>
            <family val="2"/>
          </rPr>
          <t xml:space="preserve">Califique el diseño para la eficiencia del usuario final de la siguiente manera, en relación con las características que se enumeran a continuación:
0 Ninguna de las características.
1 De una a tres de las características.
2 Cuatro a cinco de las características.
3 Seis o más de las funciones, pero no hay requisitos específicos del usuario relacionados con la eficiencia.
4 Seis o más de las funciones y los requisitos establecidos para la eficiencia del usuario final son lo suficientemente sólidos como para requerir que se incluyan tareas de diseño para factores humanos (por ejemplo, minimizar las pulsaciones de teclas, maximizar los valores predeterminados, usar plantillas, etc.).
5 Seis o más de las características y requisitos establecidos para la eficiencia del usuario final son lo suficientemente fuertes como para requerir el uso de herramientas y procesos especiales para demostrar que se han logrado los objetivos.
Las características son:
. ayudas a la navegación (por ejemplo, teclas de función, saltos, menús generados dinámicamente),
. menús,
. ayuda y documentos en línea,
. movimiento automático del cursor,
. desplazamiento,
. impresión remota (a través de transacciones en línea),
. teclas de función preasignadas,
. envío de trabajos por lotes de transacciones en línea,
. selección del cursor de los datos de la pantalla,
. uso intensivo de video inverso, resaltado, subrayado de colores y otros indicadores,
. copia impresa de la documentación del usuario de las transacciones en línea,
. interfaz de ratón,
. ventanas emergentes,
. la menor cantidad de pantallas posible para lograr una función comercial,
. fácil navegación entre pantallas (por ejemplo, a través de teclas de función),
. soporte bilingüe (soporta dos idiomas; cuenta como cuatro elementos),
. soporte multilingüe (admite más de dos idiomas; cuente como seis elementos).
</t>
        </r>
      </text>
    </comment>
    <comment ref="B11" authorId="0" shapeId="0" xr:uid="{A035AB1E-A3D3-48FC-AC03-36B3774AC462}">
      <text>
        <r>
          <rPr>
            <sz val="8"/>
            <color indexed="81"/>
            <rFont val="Tahoma"/>
            <family val="2"/>
          </rPr>
          <t>La aplicación proporciona actualización en línea para los archivos lógicos internos.</t>
        </r>
      </text>
    </comment>
    <comment ref="C11" authorId="0" shapeId="0" xr:uid="{632CA45D-6869-4F8A-8CFC-2DE0CB40CDC0}">
      <text>
        <r>
          <rPr>
            <sz val="8"/>
            <color indexed="81"/>
            <rFont val="Tahoma"/>
            <family val="2"/>
          </rPr>
          <t xml:space="preserve">Puntúe la actualización en línea como:
0 Ninguno.
1 Actualización en línea de uno a tres archivos de control. El volumen de actualización es bajo y la recuperación es fácil.
2 Actualización en línea de cuatro o más archivos de control. El volumen de actualización es bajo y la recuperación es fácil.
3 Actualización en línea de los principales Archivos Lógicos Internos.
4 Además, la protección contra la pérdida de datos es fundamental y ha sido especialmente diseñada y programada en el sistema.
5 Además, los grandes volúmenes traen consigo consideraciones de costos en el proceso de recuperación. Procedimientos de recuperación altamente automatizados con mínima intervención del operador.
</t>
        </r>
      </text>
    </comment>
    <comment ref="B12" authorId="0" shapeId="0" xr:uid="{2BE888F2-47BD-4A24-B63E-8BE9A24BCFB8}">
      <text>
        <r>
          <rPr>
            <sz val="8"/>
            <color indexed="81"/>
            <rFont val="Tahoma"/>
            <family val="2"/>
          </rPr>
          <t>El procesamiento complejo es una característica de la aplicación.</t>
        </r>
      </text>
    </comment>
    <comment ref="C12" authorId="0" shapeId="0" xr:uid="{8DF23E48-950B-48B1-A81D-D8120D1E9D83}">
      <text>
        <r>
          <rPr>
            <sz val="8"/>
            <color indexed="81"/>
            <rFont val="Tahoma"/>
            <family val="2"/>
          </rPr>
          <t xml:space="preserve">Califique el procesamiento complejo de la siguiente manera, en relación con las categorías enumeradas a continuación:
0 Ninguna de las categorías.
1 Cualquiera de las categorías.
2 Cualesquiera dos de las categorías.
3 Cualesquiera tres de las categorías.
4 Cualesquiera cuatro de las categorías.
5 Cualesquiera cinco de las categorías.
Las categorías son:
. Control sensible (por ejemplo, procesamiento de auditoría especial) y/o procesamiento de seguridad específico de la aplicación.
. Procesamiento lógico extenso.
. Amplio procesamiento matemático.
. Gran parte del procesamiento de excepciones da como resultado transacciones incompletas que deben procesarse nuevamente; por ejemplo, transacciones de cajero automático incompletas causadas por la interrupción de TP, valores de datos faltantes o ediciones fallidas.
     Procesamiento complejo para manejar múltiples posibilidades de entrada/salida; por ejemplo, multimedia, independencia de dispositivos.
</t>
        </r>
      </text>
    </comment>
    <comment ref="B13" authorId="0" shapeId="0" xr:uid="{D5406236-D3D6-429C-8581-5FAB9719994C}">
      <text>
        <r>
          <rPr>
            <sz val="8"/>
            <color indexed="81"/>
            <rFont val="Tahoma"/>
            <family val="2"/>
          </rPr>
          <t>La aplicación y el código de la aplicación se han diseñado, desarrollado y admitido específicamente para que se puedan utilizar en otras aplicaciones.</t>
        </r>
      </text>
    </comment>
    <comment ref="C13" authorId="0" shapeId="0" xr:uid="{0E6354F0-7453-4FB3-BF45-E3FA1F8955DE}">
      <text>
        <r>
          <rPr>
            <sz val="8"/>
            <color indexed="81"/>
            <rFont val="Tahoma"/>
            <family val="2"/>
          </rPr>
          <t xml:space="preserve">Puntuación utilizable en otras aplicaciones como:
0 Sin código reutilizable.
1 El código reutilizable se utiliza dentro de la aplicación.
2 Menos del 10 por ciento de los módulos producidos consideraron las necesidades de más de un usuario.
3 10 por ciento o más de los módulos producidos consideraron las necesidades de más de un usuario.
4 La aplicación se empaquetó y/o documentó específicamente para facilitar su reutilización, y el usuario personaliza la aplicación a nivel de código fuente.
5 . La aplicación se empaquetó y/o documentó específicamente para facilitar su reutilización, y la aplicación se personaliza para su uso mediante el mantenimiento de los parámetros del usuario.
</t>
        </r>
      </text>
    </comment>
    <comment ref="B14" authorId="0" shapeId="0" xr:uid="{EBF013A5-EDFF-460E-896F-3474FF8E5FD7}">
      <text>
        <r>
          <rPr>
            <sz val="8"/>
            <color indexed="81"/>
            <rFont val="Tahoma"/>
            <family val="2"/>
          </rPr>
          <t>La facilidad de conversión e instalación son características de la aplicación. Se proporcionó y probó un plan de conversión e instalación y/o herramientas de conversión durante la fase de prueba del sistema.</t>
        </r>
      </text>
    </comment>
    <comment ref="C14" authorId="0" shapeId="0" xr:uid="{E40488FD-C925-4ACD-9F5B-C8DAA8BCECC3}">
      <text>
        <r>
          <rPr>
            <sz val="8"/>
            <color indexed="81"/>
            <rFont val="Tahoma"/>
            <family val="2"/>
          </rPr>
          <t xml:space="preserve">Califique la facilidad de instalación como:
0 El usuario no indicó consideraciones especiales y no se requirió una configuración especial para la instalación.
1 El usuario no indicó consideraciones especiales, pero se requiere una configuración especial para la instalación.
2 Los requisitos de conversión e instalación fueron establecidos por el usuario y se proporcionaron y probaron guías de conversión e instalación. El impacto de la conversión en el proyecto no se considera importante.
3 Los requisitos de conversión e instalación fueron establecidos por el usuario y se proporcionaron y probaron guías de conversión e instalación. El impacto de la conversión en el proyecto se considera importante.
4 Además de (2), se proporcionaron y probaron herramientas de conversión e instalación automatizadas.
5 Además de (3), se proporcionaron y probaron herramientas de conversión e instalación automatizadas.
</t>
        </r>
      </text>
    </comment>
    <comment ref="B15" authorId="0" shapeId="0" xr:uid="{F5F41CB2-1682-4C65-A514-E3A68797AF9F}">
      <text>
        <r>
          <rPr>
            <sz val="8"/>
            <color indexed="81"/>
            <rFont val="Tahoma"/>
            <family val="2"/>
          </rPr>
          <t xml:space="preserve">La facilidad operativa es característica de la aplicación. Durante la fase de prueba del sistema, se proporcionaron y probaron procedimientos efectivos de puesta en marcha, respaldo y recuperación. La aplicación minimiza la necesidad de actividades manuales, como montajes de cintas, manejo de papel e intervención manual directa en el lugar. </t>
        </r>
      </text>
    </comment>
    <comment ref="C15" authorId="0" shapeId="0" xr:uid="{2118B078-5B68-4F8A-8521-EE97A8880E78}">
      <text>
        <r>
          <rPr>
            <sz val="8"/>
            <color indexed="81"/>
            <rFont val="Tahoma"/>
            <family val="2"/>
          </rPr>
          <t xml:space="preserve">Califique la facilidad operativa como:
0 El usuario no indicó consideraciones operativas especiales además de los procedimientos normales de respaldo.
1 a 4 Seleccione los siguientes elementos que se aplican a la aplicación. Cada elemento tiene un valor en puntos de uno, excepto que se indique lo contrario.
. Se proporcionaron procesos efectivos de puesta en marcha, respaldo y recuperación, pero se requiere la intervención del operador.
. Se proporcionaron procesos efectivos de puesta en marcha, respaldo y recuperación, pero no se requiere la intervención del operador (cuentan como dos elementos).
. La aplicación minimiza la necesidad de soportes de cinta.
. La aplicación minimiza la necesidad de manejo de papel.
5 La aplicación está diseñada para funcionar sin supervisión. La operación desatendida significa que no se requiere la intervención del operador para operar el sistema más que para iniciar o apagar la aplicación. La recuperación automática de errores es una característica de la aplicación.
</t>
        </r>
      </text>
    </comment>
    <comment ref="B16" authorId="0" shapeId="0" xr:uid="{BAF37113-B010-47C9-84E2-AC64ADC97E17}">
      <text>
        <r>
          <rPr>
            <sz val="8"/>
            <color indexed="81"/>
            <rFont val="Tahoma"/>
            <family val="2"/>
          </rPr>
          <t>La aplicación ha sido específicamente diseñada, desarrollada y admitida para ser instalada en múltiples sitios para múltiples organizaciones.</t>
        </r>
      </text>
    </comment>
    <comment ref="C16" authorId="0" shapeId="0" xr:uid="{48CDDE3E-74C4-4522-B539-420D56F6167E}">
      <text>
        <r>
          <rPr>
            <sz val="8"/>
            <color indexed="81"/>
            <rFont val="Tahoma"/>
            <family val="2"/>
          </rPr>
          <t xml:space="preserve">Puntúe múltiples sitios como:
0 Ningún requisito del usuario para considerar las necesidades de más de un usuario/sitio de instalación.
1 Se consideraron las necesidades de varios sitios en el diseño y la aplicación está diseñada para funcionar solo en entornos de hardware y software idénticos.
2 En el diseño se consideraron las necesidades de múltiples sitios y la aplicación está diseñada para funcionar solo en entornos de hardware y/o software similares.
3 Se consideraron las necesidades de múltiples sitios en el diseño y la aplicación está diseñada para operar bajo diferentes entornos de hardware y/o software.
4 La documentación y el plan de soporte se proporcionan y prueban para respaldar la aplicación en múltiples sitios y la aplicación se describe en (l) o (2).
5 La documentación y el plan de soporte se proporcionan y prueban para respaldar la aplicación en múltiples sitios y la aplicación se describe en (3).
</t>
        </r>
      </text>
    </comment>
    <comment ref="B17" authorId="0" shapeId="0" xr:uid="{12479134-2589-4B36-BDE2-7CAD307BFC65}">
      <text>
        <r>
          <rPr>
            <sz val="8"/>
            <color indexed="81"/>
            <rFont val="Tahoma"/>
            <family val="2"/>
          </rPr>
          <t xml:space="preserve">La aplicación ha sido específicamente diseñada, desarrollada y respaldada para facilitar el cambio. </t>
        </r>
      </text>
    </comment>
    <comment ref="C17" authorId="0" shapeId="0" xr:uid="{89E6ADF0-B916-4411-9E7C-BB6254453D7D}">
      <text>
        <r>
          <rPr>
            <sz val="8"/>
            <color indexed="81"/>
            <rFont val="Tahoma"/>
            <family val="2"/>
          </rPr>
          <t xml:space="preserve">Puntuación facilitar el cambio de la siguiente manera, en relación con las características enumeradas a continuación:
0 Ninguna de las características.
1 Cualquiera de las características.
2 Cualesquiera dos de las características.
3 Cualesquiera tres de las características.
4 Cualesquiera cuatro de las características.
5 Las cinco características.
Las características son:
. Se proporciona una función flexible de consulta e informe que puede manejar solicitudes de consulta simples; por ejemplo, y/o lógica aplicada a un solo archivo lógico interno (cuenta como un elemento).
. Se proporciona una función flexible de consulta e informe que puede manejar solicitudes de consulta de complejidad promedio; por ejemplo, y/o lógica aplicada a más de un Archivo Lógico Interno (cuenta como dos elementos).
. Se proporciona una función flexible de consulta e informe que puede manejar solicitudes de consulta complejas; por ejemplo, y/o combinaciones lógicas en uno o más Archivos Lógicos Internos (cuentan como tres elementos).
. Los datos de control comercial se guardan en tablas que mantiene el usuario con procesos interactivos en línea, pero los cambios entran en vigencia solo el siguiente día hábil.
. Los datos de control comercial se guardan en tablas que mantiene el usuario con procesos interactivos en línea y los cambios entran en vigencia de inmediato (cuentan como dos elementos).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E15C94A7-65B4-47FD-8760-4AB0C37D7057}">
      <text>
        <r>
          <rPr>
            <sz val="8"/>
            <color indexed="81"/>
            <rFont val="Tahoma"/>
            <family val="2"/>
          </rPr>
          <t>El número de DETs es el conteo del tipo de elemento de datos (DET) para cada archivo lógico interno.</t>
        </r>
      </text>
    </comment>
    <comment ref="C4" authorId="0" shapeId="0" xr:uid="{49A493F0-E53C-41D4-B31F-74867516ABFE}">
      <text>
        <r>
          <rPr>
            <sz val="8"/>
            <color indexed="81"/>
            <rFont val="Tahoma"/>
            <family val="2"/>
          </rPr>
          <t>El número de RET es el recuento de tipos de elementos de registro (RET) para cada archivo lógico interno.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00000000-0006-0000-0500-000003000000}">
      <text>
        <r>
          <rPr>
            <sz val="8"/>
            <color indexed="81"/>
            <rFont val="Tahoma"/>
            <family val="2"/>
          </rPr>
          <t xml:space="preserve"># DETS es el recuento del tipo de elemento de datos (DET) para cada archivo de interfaz externa.
Dets→ Datos de usuario, como CVV, nuem de cuenta nombre, correo, contraseña, nom. Usuario, etc. 
</t>
        </r>
      </text>
    </comment>
    <comment ref="C4" authorId="0" shapeId="0" xr:uid="{00000000-0006-0000-0500-000004000000}">
      <text>
        <r>
          <rPr>
            <sz val="8"/>
            <color indexed="81"/>
            <rFont val="Tahoma"/>
            <family val="2"/>
          </rPr>
          <t xml:space="preserve"># RETs es el recuento de tipos de elementos de registro (RET) para cada archivo de interfaz externa.
Ret→ Registro de datos semanticamente relacionados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66909BDD-686A-463E-B616-80488C43D650}">
      <text>
        <r>
          <rPr>
            <sz val="8"/>
            <color indexed="81"/>
            <rFont val="Tahoma"/>
            <family val="2"/>
          </rPr>
          <t xml:space="preserve">El número de DET es el recuento del </t>
        </r>
        <r>
          <rPr>
            <b/>
            <sz val="8"/>
            <color indexed="81"/>
            <rFont val="Tahoma"/>
            <family val="2"/>
          </rPr>
          <t>tipo de elemento de datos</t>
        </r>
        <r>
          <rPr>
            <sz val="8"/>
            <color indexed="81"/>
            <rFont val="Tahoma"/>
            <family val="2"/>
          </rPr>
          <t xml:space="preserve"> (DET) para cada entrada externa.</t>
        </r>
      </text>
    </comment>
    <comment ref="C4" authorId="0" shapeId="0" xr:uid="{F77D84F9-3882-4B3C-8323-8E89C3A1B423}">
      <text>
        <r>
          <rPr>
            <sz val="8"/>
            <color indexed="81"/>
            <rFont val="Tahoma"/>
            <family val="2"/>
          </rPr>
          <t>El número de FTR es el recuento de</t>
        </r>
        <r>
          <rPr>
            <b/>
            <sz val="8"/>
            <color indexed="81"/>
            <rFont val="Tahoma"/>
            <family val="2"/>
          </rPr>
          <t xml:space="preserve"> tipos de archivos a los que se hace referencia</t>
        </r>
        <r>
          <rPr>
            <sz val="8"/>
            <color indexed="81"/>
            <rFont val="Tahoma"/>
            <family val="2"/>
          </rPr>
          <t xml:space="preserve"> (FTR) para cada entrada externa.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F6C98C7E-6D4D-437E-8EBD-F9763E1889D3}">
      <text>
        <r>
          <rPr>
            <sz val="8"/>
            <color indexed="81"/>
            <rFont val="Tahoma"/>
            <family val="2"/>
          </rPr>
          <t>El número de DET es el recuento del tipo de elemento de datos (DET) para cada salida externa.</t>
        </r>
      </text>
    </comment>
    <comment ref="C4" authorId="0" shapeId="0" xr:uid="{951C57A4-47DC-4D05-9659-178349EE4CB4}">
      <text>
        <r>
          <rPr>
            <sz val="8"/>
            <color indexed="81"/>
            <rFont val="Tahoma"/>
            <family val="2"/>
          </rPr>
          <t>El número de FTR es el recuento de tipos de archivos a los que se hace referencia (FTR) para cada salida externa.</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00000000-0006-0000-0800-000003000000}">
      <text>
        <r>
          <rPr>
            <sz val="8"/>
            <color indexed="81"/>
            <rFont val="Tahoma"/>
            <family val="2"/>
          </rPr>
          <t>El número de DET es el recuento del tipo de elemento de datos (DET) para el lado de entrada de la consulta externa.</t>
        </r>
      </text>
    </comment>
    <comment ref="C4" authorId="0" shapeId="0" xr:uid="{00000000-0006-0000-0800-000004000000}">
      <text>
        <r>
          <rPr>
            <sz val="8"/>
            <color indexed="81"/>
            <rFont val="Tahoma"/>
            <family val="2"/>
          </rPr>
          <t>El número de FTR es el recuento de tipos de archivos a los que se hace referencia (FTR) para el lado de entrada de la consulta externa.</t>
        </r>
      </text>
    </comment>
    <comment ref="D4" authorId="0" shapeId="0" xr:uid="{00000000-0006-0000-0800-000005000000}">
      <text>
        <r>
          <rPr>
            <sz val="8"/>
            <color indexed="81"/>
            <rFont val="Tahoma"/>
            <family val="2"/>
          </rPr>
          <t>La complejidad de entrada se calcula automáticamente en función de los recuentos de DET y FTR para el lado de entrada de la consulta externa.</t>
        </r>
      </text>
    </comment>
    <comment ref="E4" authorId="0" shapeId="0" xr:uid="{00000000-0006-0000-0800-000006000000}">
      <text>
        <r>
          <rPr>
            <sz val="8"/>
            <color indexed="81"/>
            <rFont val="Tahoma"/>
            <family val="2"/>
          </rPr>
          <t>El número de DET es el recuento del tipo de elemento de datos (DET) para el lado de salida de la consulta externa.</t>
        </r>
      </text>
    </comment>
    <comment ref="F4" authorId="0" shapeId="0" xr:uid="{00000000-0006-0000-0800-000007000000}">
      <text>
        <r>
          <rPr>
            <sz val="8"/>
            <color indexed="81"/>
            <rFont val="Tahoma"/>
            <family val="2"/>
          </rPr>
          <t>El número de FTR es el recuento de tipos de archivos a los que se hace referencia (FTR) para el lado de salida de la consulta externa.</t>
        </r>
      </text>
    </comment>
    <comment ref="G4" authorId="0" shapeId="0" xr:uid="{00000000-0006-0000-0800-000008000000}">
      <text>
        <r>
          <rPr>
            <sz val="8"/>
            <color indexed="81"/>
            <rFont val="Tahoma"/>
            <family val="2"/>
          </rPr>
          <t>La complejidad de salida se calcula automáticamente en función de los recuentos de DET y FTR para el lado de salida de la consulta externa.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F3" authorId="0" shapeId="0" xr:uid="{13C452A7-650E-420F-AF80-818C1035E46F}">
      <text>
        <r>
          <rPr>
            <sz val="8"/>
            <color indexed="81"/>
            <rFont val="Tahoma"/>
            <family val="2"/>
          </rPr>
          <t>Esta columna se calcula automáticamente y se puede utilizar para comparar la distribución del total de puntos de función no ajustados en esta aplicación con una distribución típica de puntos de función.
Los estudios de proyectos completados realizados por el Grupo de Usuarios de Puntos de Función de Australia han demostrado que existe una distribución relativamente estándar para la contribución de cada tipo de objeto al recuento total de puntos de función sin ajustar. Los promedios de la industria para 80 proyectos en la base de datos australiana a partir de diciembre de 1993, se identifican en las notas de las celdas correspondientes.
Cualquier discrepancia obvia entre su distribución y una distribución típica puede indicar deficiencias en el diseño lógico. Por ejemplo, si su distribución muestra que las salidas externas proporcionan un porcentaje inusualmente pequeño de la funcionalidad, esto puede indicar que el usuario aún no ha identificado todos los requisitos de informes.</t>
        </r>
      </text>
    </comment>
    <comment ref="F6" authorId="0" shapeId="0" xr:uid="{00000000-0006-0000-0300-000003000000}">
      <text>
        <r>
          <rPr>
            <sz val="8"/>
            <color indexed="81"/>
            <rFont val="Tahoma"/>
            <family val="2"/>
          </rPr>
          <t xml:space="preserve">Aproximadamente el 23 por ciento de los puntos de función de una aplicación suelen provenir de archivos lógicos internos.
</t>
        </r>
      </text>
    </comment>
    <comment ref="F9" authorId="0" shapeId="0" xr:uid="{00000000-0006-0000-0300-000004000000}">
      <text>
        <r>
          <rPr>
            <sz val="8"/>
            <color indexed="81"/>
            <rFont val="Tahoma"/>
            <family val="2"/>
          </rPr>
          <t xml:space="preserve">Aproximadamente el 4 por ciento de los puntos de función de una aplicación suelen ser aportados por archivos de interfaz externa.
</t>
        </r>
      </text>
    </comment>
    <comment ref="F12" authorId="0" shapeId="0" xr:uid="{00000000-0006-0000-0300-000005000000}">
      <text>
        <r>
          <rPr>
            <sz val="8"/>
            <color indexed="81"/>
            <rFont val="Tahoma"/>
            <family val="2"/>
          </rPr>
          <t>Aproximadamente el 33 por ciento de los puntos de función de una aplicación suelen provenir de insumos externos.</t>
        </r>
      </text>
    </comment>
    <comment ref="F15" authorId="0" shapeId="0" xr:uid="{00000000-0006-0000-0300-000006000000}">
      <text>
        <r>
          <rPr>
            <sz val="8"/>
            <color indexed="81"/>
            <rFont val="Tahoma"/>
            <family val="2"/>
          </rPr>
          <t xml:space="preserve">Aproximadamente el 21 por ciento de los puntos de función de una aplicación suelen ser aportados por productos externos.
</t>
        </r>
      </text>
    </comment>
    <comment ref="F18" authorId="0" shapeId="0" xr:uid="{00000000-0006-0000-0300-000007000000}">
      <text>
        <r>
          <rPr>
            <sz val="8"/>
            <color indexed="81"/>
            <rFont val="Tahoma"/>
            <family val="2"/>
          </rPr>
          <t xml:space="preserve">Aproximadamente el 19 por ciento de los puntos de función de una aplicación suelen provenir de consultas externas.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6" authorId="0" shapeId="0" xr:uid="{00000000-0006-0000-0100-000002000000}">
      <text>
        <r>
          <rPr>
            <b/>
            <sz val="8"/>
            <color indexed="81"/>
            <rFont val="Tahoma"/>
            <family val="2"/>
          </rPr>
          <t>El factor de calibración se utiliza para tener en cuenta las suposiciones de estimación</t>
        </r>
        <r>
          <rPr>
            <sz val="8"/>
            <color indexed="81"/>
            <rFont val="Tahoma"/>
            <family val="2"/>
          </rPr>
          <t xml:space="preserve"> que se han hecho </t>
        </r>
        <r>
          <rPr>
            <b/>
            <sz val="8"/>
            <color indexed="81"/>
            <rFont val="Tahoma"/>
            <family val="2"/>
          </rPr>
          <t>y alguna tolerancia para el crecimiento</t>
        </r>
        <r>
          <rPr>
            <sz val="8"/>
            <color indexed="81"/>
            <rFont val="Tahoma"/>
            <family val="2"/>
          </rPr>
          <t>, reconociendo que es posible que no se hayan descubierto todos los requisitos en este punto del ciclo de vida.
Los estudios de medición de proyectos terminados han demostrado que, por lo general, menos del 50 por ciento de los requisitos eventuales se identifican al comienzo del ciclo de vida. Por esta razón,</t>
        </r>
        <r>
          <rPr>
            <b/>
            <sz val="8"/>
            <color indexed="81"/>
            <rFont val="Tahoma"/>
            <family val="2"/>
          </rPr>
          <t xml:space="preserve"> se sugiere que seleccione un factor de ajuste de entre dos y tres como punto de partida</t>
        </r>
        <r>
          <rPr>
            <sz val="8"/>
            <color indexed="81"/>
            <rFont val="Tahoma"/>
            <family val="2"/>
          </rPr>
          <t xml:space="preserve"> (dependiendo del nivel de certeza sobre los requisitos). Con una base de datos de métricas completa, este factor se puede calibrar con más precisión contando un conjunto de muestra de sistemas completos, utilizando tanto las reglas estándar de IFPUG como el enfoque de alto nivel. Dividir el conteo completo (generado usando el método IFPUG) por el conteo de alto nivel (generado usando este enfoque) produce el factor de calibración real que habría sido necesario aplicar en cada caso. A partir de estos datos, seleccione un factor de calibración típico o promedio para usar en el proyecto que se está estimando.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Tania López</author>
    <author>Documentación Innevo</author>
    <author>Pedro Alatorre</author>
  </authors>
  <commentList>
    <comment ref="E4" authorId="0" shapeId="0" xr:uid="{D690E6CA-A106-426D-B18B-0878392329FD}">
      <text>
        <r>
          <rPr>
            <sz val="9"/>
            <color indexed="81"/>
            <rFont val="Tahoma"/>
            <family val="2"/>
          </rPr>
          <t>Estos porcentajes se ajustarán de acuerdo con la información de cada proyecto y a los históricos.</t>
        </r>
      </text>
    </comment>
    <comment ref="D7" authorId="1" shapeId="0" xr:uid="{3341F90A-4564-4FCB-9D55-28CFF7F18E49}">
      <text>
        <r>
          <rPr>
            <sz val="9"/>
            <color indexed="81"/>
            <rFont val="Tahoma"/>
            <family val="2"/>
          </rPr>
          <t>Este dato proviene de la hoja "resumen" en la fila "TPF→Total de Puntos de Función"</t>
        </r>
      </text>
    </comment>
    <comment ref="A12" authorId="2" shapeId="0" xr:uid="{85FE1967-0C39-4CA7-8549-FB980F63234C}">
      <text>
        <r>
          <rPr>
            <b/>
            <sz val="9"/>
            <color indexed="81"/>
            <rFont val="Tahoma"/>
            <family val="2"/>
          </rPr>
          <t xml:space="preserve">Días por persona/mes
</t>
        </r>
        <r>
          <rPr>
            <sz val="9"/>
            <color indexed="81"/>
            <rFont val="Tahoma"/>
            <family val="2"/>
          </rPr>
          <t>Ingrese el factor de conversión que se usará para convertir meses-persona de esfuerzo en días-persona de esfuerzo, estos son los días laborales de la semana.
Nota: el valor predeterminado es 21.5 días establecido por nómina.</t>
        </r>
      </text>
    </comment>
    <comment ref="C12" authorId="2" shapeId="0" xr:uid="{0E892733-24B3-46FB-8CEE-254C659304E7}">
      <text>
        <r>
          <rPr>
            <sz val="9"/>
            <color indexed="81"/>
            <rFont val="Tahoma"/>
            <family val="2"/>
          </rPr>
          <t>Horas efectivas de trabajo.</t>
        </r>
      </text>
    </comment>
    <comment ref="E12" authorId="2" shapeId="0" xr:uid="{876F32B5-CF31-454B-AF87-DABE53DCCE70}">
      <text>
        <r>
          <rPr>
            <sz val="9"/>
            <color indexed="81"/>
            <rFont val="Tahoma"/>
            <family val="2"/>
          </rPr>
          <t>Días redondeado</t>
        </r>
      </text>
    </comment>
  </commentList>
</comments>
</file>

<file path=xl/sharedStrings.xml><?xml version="1.0" encoding="utf-8"?>
<sst xmlns="http://schemas.openxmlformats.org/spreadsheetml/2006/main" count="279" uniqueCount="150">
  <si>
    <t xml:space="preserve"> </t>
  </si>
  <si>
    <t>1.</t>
  </si>
  <si>
    <t>2.</t>
  </si>
  <si>
    <t>3.</t>
  </si>
  <si>
    <t>4.</t>
  </si>
  <si>
    <t>5.</t>
  </si>
  <si>
    <t>6.</t>
  </si>
  <si>
    <t>7.</t>
  </si>
  <si>
    <t>8.</t>
  </si>
  <si>
    <t>9.</t>
  </si>
  <si>
    <t>10.</t>
  </si>
  <si>
    <t>11.</t>
  </si>
  <si>
    <t>12.</t>
  </si>
  <si>
    <t>13.</t>
  </si>
  <si>
    <t>14.</t>
  </si>
  <si>
    <t xml:space="preserve">FP % </t>
  </si>
  <si>
    <t>DETs</t>
  </si>
  <si>
    <t>RETs</t>
  </si>
  <si>
    <t>Summary</t>
  </si>
  <si>
    <t>FTRs</t>
  </si>
  <si>
    <t>Resumen</t>
  </si>
  <si>
    <t>Nombre del cliente</t>
  </si>
  <si>
    <t>Nombre del proyecto</t>
  </si>
  <si>
    <t>Analista</t>
  </si>
  <si>
    <t xml:space="preserve">De la hoja de trabajo de FP </t>
  </si>
  <si>
    <t>De la hoja de trabajo PCA</t>
  </si>
  <si>
    <t>Ver nota</t>
  </si>
  <si>
    <t>Procesamiento distribuido</t>
  </si>
  <si>
    <t>Configuración muy utilizada</t>
  </si>
  <si>
    <t>Tasas de transacción</t>
  </si>
  <si>
    <t>Entrada de datos en línea</t>
  </si>
  <si>
    <t>Diseño para la eficiencia del usuario</t>
  </si>
  <si>
    <t>Actualización en línea</t>
  </si>
  <si>
    <t xml:space="preserve">Procesamiento complejo </t>
  </si>
  <si>
    <t>Usabilidad en otras aplicaciones</t>
  </si>
  <si>
    <t>Fácil instalación</t>
  </si>
  <si>
    <t>Facilidad operativa</t>
  </si>
  <si>
    <t>Facilidad de cambio</t>
  </si>
  <si>
    <t>Grado de influencia   (0-5)</t>
  </si>
  <si>
    <t>Descripción</t>
  </si>
  <si>
    <t>Calculo (suma de lo anterior)</t>
  </si>
  <si>
    <t>Rendimiento</t>
  </si>
  <si>
    <t>Complejidad funcional</t>
  </si>
  <si>
    <t>Peso</t>
  </si>
  <si>
    <t xml:space="preserve">Puntos de función (FPs) </t>
  </si>
  <si>
    <t>Tipo de función</t>
  </si>
  <si>
    <t>Archivos Lógicos internos (ILFs)</t>
  </si>
  <si>
    <t>Entradas Externas (EIs)</t>
  </si>
  <si>
    <t>Salidas Externas (EOs)</t>
  </si>
  <si>
    <t>Consultas externas (EQs)</t>
  </si>
  <si>
    <t>Bajo</t>
  </si>
  <si>
    <t>Medio</t>
  </si>
  <si>
    <t>Alto</t>
  </si>
  <si>
    <t>Total de puntos de función no ajustados</t>
  </si>
  <si>
    <t>Lista de archivos</t>
  </si>
  <si>
    <t># de</t>
  </si>
  <si>
    <t>Complejidad</t>
  </si>
  <si>
    <t>Notas y supociciones</t>
  </si>
  <si>
    <t>Notas o suposiciones</t>
  </si>
  <si>
    <t>Entradas externas (EIs)</t>
  </si>
  <si>
    <t>Lista de entradas</t>
  </si>
  <si>
    <t>Notas y Suposiciones</t>
  </si>
  <si>
    <t>Lista de salidas</t>
  </si>
  <si>
    <t>Notas y Supuestos</t>
  </si>
  <si>
    <t xml:space="preserve">Resumen </t>
  </si>
  <si>
    <t xml:space="preserve"> Complejidad</t>
  </si>
  <si>
    <t># de DETs</t>
  </si>
  <si>
    <t># de FTRs</t>
  </si>
  <si>
    <t>Lado de Salida</t>
  </si>
  <si>
    <t>Lado de Entrada</t>
  </si>
  <si>
    <t>Conteo de Puntos de Función no Ajustados  (FP)</t>
  </si>
  <si>
    <t>Archivos de Interfaz Externo (EIFs)</t>
  </si>
  <si>
    <t>Archivos Lógicos Internos (ILFs)</t>
  </si>
  <si>
    <t>Consultas Externas (EQs)</t>
  </si>
  <si>
    <t>Puntos de función ajustado  (PFA)</t>
  </si>
  <si>
    <t>Puntos de función sin ajuste (PFSA)</t>
  </si>
  <si>
    <t>Factor de calibración (FC)</t>
  </si>
  <si>
    <t>Total de punto de función (TPF)</t>
  </si>
  <si>
    <t>Calculo: (PFA*FC)</t>
  </si>
  <si>
    <t>Calculo: (PF*PCA)</t>
  </si>
  <si>
    <t>Factor de ajuste de valor (FAV)</t>
  </si>
  <si>
    <t>Grado de Influencia Total (GIT)</t>
  </si>
  <si>
    <t>Calculo ((GIT*0.01)+0.65)</t>
  </si>
  <si>
    <t>Factor de ajuste de complejidad (FAC)</t>
  </si>
  <si>
    <t>DPM</t>
  </si>
  <si>
    <t>Costo</t>
  </si>
  <si>
    <t>Costo por mes</t>
  </si>
  <si>
    <t>Características generales del sistema</t>
  </si>
  <si>
    <t>Transmisión de datos</t>
  </si>
  <si>
    <t>Sitios múltiples</t>
  </si>
  <si>
    <t>Cantidad</t>
  </si>
  <si>
    <t>Archivos de Interfaz Externa (EIFs)</t>
  </si>
  <si>
    <t>Lista de consultas</t>
  </si>
  <si>
    <t>Transferencia de información y datos de manera eficiente y segura entre diferentes módulos.</t>
  </si>
  <si>
    <t>La carga de trabajo se distribuye entre varios servidores o nodos para mejorar el rendimiento.</t>
  </si>
  <si>
    <t>Procesamiento rápido y eficiente de las operaciones y consultas.</t>
  </si>
  <si>
    <t>Garantiza una implementación sólida y eficaz en el entorno hotelero.</t>
  </si>
  <si>
    <t>Capacidad de manejar grandes volúmenes de transacciones, como reservas de habitaciones, pagos y cancelaciones.</t>
  </si>
  <si>
    <t xml:space="preserve">Actualización de datos en tiempo real, lo que permite a los usuarios ingresan información relevante. </t>
  </si>
  <si>
    <t>Interfaz intuitivo y fácil de usar.</t>
  </si>
  <si>
    <t>Generación de informes y análisis de datos.</t>
  </si>
  <si>
    <t>Integración fácil con otras aplicaciones utilizadas en la empresa como facturación.</t>
  </si>
  <si>
    <t xml:space="preserve">Fácil de operar y administrar, lo que permite a los usuarios realizar tareas cotidianas. </t>
  </si>
  <si>
    <t>Gestión de múltiples sitios o ubicaciones dentro de la franquicia hotelera.</t>
  </si>
  <si>
    <t xml:space="preserve">Diseñado para adaptarse fácilmente a los cambios en los procesos. </t>
  </si>
  <si>
    <t>Actualización instantánea de la información.</t>
  </si>
  <si>
    <t>Instalación rápida y sencilla.</t>
  </si>
  <si>
    <t>Factor de Ajuste de Valor(VAF)</t>
  </si>
  <si>
    <t>Resumen de estimaciones</t>
  </si>
  <si>
    <t>Desglose de horas por actividad</t>
  </si>
  <si>
    <t>Actividades</t>
  </si>
  <si>
    <t>Horas</t>
  </si>
  <si>
    <t>%</t>
  </si>
  <si>
    <t>Días hombre</t>
  </si>
  <si>
    <t>Análisis</t>
  </si>
  <si>
    <t>Diseño</t>
  </si>
  <si>
    <t>Construcción</t>
  </si>
  <si>
    <t>Pruebas</t>
  </si>
  <si>
    <t xml:space="preserve">Total </t>
  </si>
  <si>
    <t>Horas efectivas de trabajo</t>
  </si>
  <si>
    <t>Días totales (red)</t>
  </si>
  <si>
    <t>Plazo en meses</t>
  </si>
  <si>
    <t>Costos</t>
  </si>
  <si>
    <t>Rol</t>
  </si>
  <si>
    <t>Líder de proyecto</t>
  </si>
  <si>
    <t>Líder técnico</t>
  </si>
  <si>
    <t>LT</t>
  </si>
  <si>
    <t>AN</t>
  </si>
  <si>
    <t>Arquitecto</t>
  </si>
  <si>
    <t>AR</t>
  </si>
  <si>
    <t>Desarrollador</t>
  </si>
  <si>
    <t>Tester</t>
  </si>
  <si>
    <t>DE</t>
  </si>
  <si>
    <t>Otros conceptos</t>
  </si>
  <si>
    <t>Conceptos</t>
  </si>
  <si>
    <t>Compras</t>
  </si>
  <si>
    <t>Licencias</t>
  </si>
  <si>
    <t>Formación</t>
  </si>
  <si>
    <t>Consumibles</t>
  </si>
  <si>
    <t>Presupuesto total</t>
  </si>
  <si>
    <t>Razonamiento o base para la estimación y motivo de ajuste en la estimación. Describir el fundamento de las estimaciones de esfuerzo, duración y costo, para que proporcionen el contexto para el uso de datos históricos.</t>
  </si>
  <si>
    <r>
      <rPr>
        <b/>
        <sz val="12"/>
        <color theme="1"/>
        <rFont val="Calibri"/>
        <family val="2"/>
        <scheme val="minor"/>
      </rPr>
      <t>Cliente:</t>
    </r>
    <r>
      <rPr>
        <sz val="12"/>
        <color theme="1"/>
        <rFont val="Calibri"/>
        <family val="2"/>
        <scheme val="minor"/>
      </rPr>
      <t xml:space="preserve"> </t>
    </r>
  </si>
  <si>
    <r>
      <rPr>
        <b/>
        <sz val="12"/>
        <color theme="1"/>
        <rFont val="Calibri"/>
        <family val="2"/>
        <scheme val="minor"/>
      </rPr>
      <t>Proyecto:</t>
    </r>
    <r>
      <rPr>
        <sz val="12"/>
        <color theme="1"/>
        <rFont val="Calibri"/>
        <family val="2"/>
        <scheme val="minor"/>
      </rPr>
      <t xml:space="preserve"> </t>
    </r>
  </si>
  <si>
    <t>Información histórica de referencia</t>
  </si>
  <si>
    <t>Indique el nombre del proyecto o proyectos de referencia revisados</t>
  </si>
  <si>
    <t>Aspectos considerados</t>
  </si>
  <si>
    <t>Proyecto de Referencia 1</t>
  </si>
  <si>
    <t>Proyecto de Referencia 2</t>
  </si>
  <si>
    <t>Proyecto de Referencia 3</t>
  </si>
  <si>
    <t>Proyecto de Referencia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</si>
</sst>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Red]\-&quot;$&quot;#,##0"/>
    <numFmt numFmtId="44" formatCode="_-&quot;$&quot;* #,##0.00_-;\-&quot;$&quot;* #,##0.00_-;_-&quot;$&quot;* &quot;-&quot;??_-;_-@_-"/>
    <numFmt numFmtId="164" formatCode="General_)"/>
    <numFmt numFmtId="165" formatCode="#,##0.00\ &quot;€&quot;"/>
    <numFmt numFmtId="166" formatCode="0.00%;[Red]\-0.00%"/>
    <numFmt numFmtId="167" formatCode="#,##0.00\ &quot;€&quot;;\-#,##0.00\ &quot;€&quot;"/>
    <numFmt numFmtId="168" formatCode="_-[$$-80A]* #,##0.00_-;\-[$$-80A]* #,##0.00_-;_-[$$-80A]* &quot;-&quot;??_-;_-@_-"/>
    <numFmt numFmtId="169" formatCode="_-&quot;$&quot;* #,##0_-;\-&quot;$&quot;* #,##0_-;_-&quot;$&quot;* &quot;-&quot;??_-;_-@_-"/>
  </numFmts>
  <fonts count="33" x14ac:knownFonts="1">
    <font>
      <sz val="10"/>
      <name val="Arial"/>
    </font>
    <font>
      <b/>
      <sz val="10"/>
      <name val="Arial"/>
      <family val="2"/>
    </font>
    <font>
      <i/>
      <sz val="10"/>
      <name val="Arial"/>
      <family val="2"/>
    </font>
    <font>
      <sz val="10"/>
      <name val="Arial"/>
      <family val="2"/>
    </font>
    <font>
      <b/>
      <sz val="11"/>
      <name val="Arial"/>
      <family val="2"/>
    </font>
    <font>
      <sz val="10"/>
      <name val="Arial"/>
      <family val="2"/>
    </font>
    <font>
      <b/>
      <sz val="10"/>
      <name val="Arial"/>
      <family val="2"/>
    </font>
    <font>
      <sz val="10"/>
      <name val="Times New Roman"/>
      <family val="1"/>
    </font>
    <font>
      <i/>
      <sz val="9"/>
      <name val="Arial"/>
      <family val="2"/>
    </font>
    <font>
      <sz val="8"/>
      <color indexed="81"/>
      <name val="Tahoma"/>
      <family val="2"/>
    </font>
    <font>
      <sz val="8"/>
      <name val="Arial"/>
      <family val="2"/>
    </font>
    <font>
      <b/>
      <sz val="11"/>
      <color theme="0"/>
      <name val="Arial"/>
      <family val="2"/>
    </font>
    <font>
      <b/>
      <sz val="8"/>
      <color indexed="81"/>
      <name val="Tahoma"/>
      <family val="2"/>
    </font>
    <font>
      <sz val="10"/>
      <name val="Arial"/>
      <family val="2"/>
    </font>
    <font>
      <sz val="9"/>
      <color indexed="81"/>
      <name val="Tahoma"/>
      <family val="2"/>
    </font>
    <font>
      <b/>
      <sz val="9"/>
      <color indexed="81"/>
      <name val="Tahoma"/>
      <family val="2"/>
    </font>
    <font>
      <b/>
      <sz val="10"/>
      <color theme="0"/>
      <name val="Arial"/>
      <family val="2"/>
    </font>
    <font>
      <sz val="10"/>
      <name val="Arial"/>
      <family val="2"/>
    </font>
    <font>
      <b/>
      <sz val="12"/>
      <color theme="0"/>
      <name val="Calibri"/>
      <family val="2"/>
      <scheme val="minor"/>
    </font>
    <font>
      <b/>
      <sz val="9"/>
      <color indexed="63"/>
      <name val="Verdana"/>
      <family val="2"/>
    </font>
    <font>
      <sz val="10"/>
      <color theme="1"/>
      <name val="Calibri"/>
      <family val="2"/>
      <scheme val="minor"/>
    </font>
    <font>
      <sz val="9"/>
      <name val="Verdana"/>
      <family val="2"/>
    </font>
    <font>
      <sz val="10"/>
      <name val="Calibri"/>
      <family val="2"/>
      <scheme val="minor"/>
    </font>
    <font>
      <sz val="11"/>
      <name val="Calibri"/>
      <family val="2"/>
      <scheme val="minor"/>
    </font>
    <font>
      <b/>
      <sz val="10"/>
      <name val="Calibri"/>
      <family val="2"/>
      <scheme val="minor"/>
    </font>
    <font>
      <sz val="9"/>
      <color indexed="63"/>
      <name val="Verdana"/>
      <family val="2"/>
    </font>
    <font>
      <b/>
      <sz val="11"/>
      <color indexed="63"/>
      <name val="Calibri"/>
      <family val="2"/>
      <scheme val="minor"/>
    </font>
    <font>
      <i/>
      <sz val="10"/>
      <color theme="1" tint="0.34998626667073579"/>
      <name val="Calibri"/>
      <family val="2"/>
      <scheme val="minor"/>
    </font>
    <font>
      <sz val="12"/>
      <color theme="1"/>
      <name val="Calibri"/>
      <family val="2"/>
      <scheme val="minor"/>
    </font>
    <font>
      <b/>
      <sz val="12"/>
      <color theme="1"/>
      <name val="Calibri"/>
      <family val="2"/>
      <scheme val="minor"/>
    </font>
    <font>
      <i/>
      <sz val="11"/>
      <color theme="1" tint="0.249977111117893"/>
      <name val="Calibri"/>
      <family val="2"/>
      <scheme val="minor"/>
    </font>
    <font>
      <b/>
      <sz val="16"/>
      <color theme="0"/>
      <name val="Calibri"/>
      <family val="2"/>
      <scheme val="minor"/>
    </font>
    <font>
      <b/>
      <sz val="12"/>
      <name val="Calibri"/>
      <family val="2"/>
      <scheme val="minor"/>
    </font>
  </fonts>
  <fills count="9">
    <fill>
      <patternFill patternType="none"/>
    </fill>
    <fill>
      <patternFill patternType="gray125"/>
    </fill>
    <fill>
      <patternFill patternType="solid">
        <fgColor indexed="22"/>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bgColor indexed="64"/>
      </patternFill>
    </fill>
  </fills>
  <borders count="36">
    <border>
      <left/>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hair">
        <color indexed="64"/>
      </top>
      <bottom/>
      <diagonal/>
    </border>
    <border>
      <left/>
      <right style="medium">
        <color indexed="64"/>
      </right>
      <top style="hair">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top style="hair">
        <color indexed="64"/>
      </top>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
    <xf numFmtId="0" fontId="0" fillId="0" borderId="0"/>
    <xf numFmtId="164" fontId="8" fillId="0" borderId="0">
      <alignment vertical="top" wrapText="1"/>
    </xf>
    <xf numFmtId="164" fontId="4" fillId="2" borderId="1" applyBorder="0">
      <alignment horizontal="centerContinuous" vertical="center"/>
    </xf>
    <xf numFmtId="164" fontId="6" fillId="2" borderId="2" applyNumberFormat="0" applyBorder="0">
      <alignment horizontal="left"/>
    </xf>
    <xf numFmtId="44" fontId="13" fillId="0" borderId="0" applyFont="0" applyFill="0" applyBorder="0" applyAlignment="0" applyProtection="0"/>
    <xf numFmtId="9" fontId="17" fillId="0" borderId="0" applyFont="0" applyFill="0" applyBorder="0" applyAlignment="0" applyProtection="0"/>
  </cellStyleXfs>
  <cellXfs count="203">
    <xf numFmtId="0" fontId="0" fillId="0" borderId="0" xfId="0"/>
    <xf numFmtId="0" fontId="0" fillId="0" borderId="0" xfId="0" applyAlignment="1">
      <alignment horizontal="center"/>
    </xf>
    <xf numFmtId="0" fontId="5" fillId="2" borderId="9" xfId="0" applyFont="1" applyFill="1" applyBorder="1" applyAlignment="1">
      <alignment horizontal="center"/>
    </xf>
    <xf numFmtId="0" fontId="2" fillId="2" borderId="6" xfId="0" applyFont="1" applyFill="1" applyBorder="1"/>
    <xf numFmtId="0" fontId="5" fillId="2" borderId="10" xfId="0" applyFont="1" applyFill="1" applyBorder="1" applyAlignment="1">
      <alignment horizontal="center"/>
    </xf>
    <xf numFmtId="0" fontId="2" fillId="2" borderId="8" xfId="0" applyFont="1" applyFill="1" applyBorder="1"/>
    <xf numFmtId="1" fontId="5" fillId="2" borderId="10" xfId="0" applyNumberFormat="1" applyFont="1" applyFill="1" applyBorder="1" applyAlignment="1">
      <alignment horizontal="center"/>
    </xf>
    <xf numFmtId="1" fontId="2" fillId="2" borderId="8" xfId="0" applyNumberFormat="1" applyFont="1" applyFill="1" applyBorder="1"/>
    <xf numFmtId="0" fontId="5" fillId="0" borderId="10" xfId="0" applyFont="1" applyBorder="1" applyAlignment="1" applyProtection="1">
      <alignment horizontal="center"/>
      <protection locked="0"/>
    </xf>
    <xf numFmtId="0" fontId="0" fillId="0" borderId="0" xfId="0" applyAlignment="1">
      <alignment horizontal="left"/>
    </xf>
    <xf numFmtId="1" fontId="5" fillId="2" borderId="9" xfId="0" applyNumberFormat="1" applyFont="1" applyFill="1" applyBorder="1" applyAlignment="1">
      <alignment horizontal="center"/>
    </xf>
    <xf numFmtId="0" fontId="2" fillId="2" borderId="6" xfId="0" applyFont="1" applyFill="1" applyBorder="1" applyAlignment="1">
      <alignment wrapText="1"/>
    </xf>
    <xf numFmtId="0" fontId="1" fillId="2" borderId="2" xfId="0" applyFont="1" applyFill="1" applyBorder="1"/>
    <xf numFmtId="2" fontId="1" fillId="2" borderId="11" xfId="0" applyNumberFormat="1" applyFont="1" applyFill="1" applyBorder="1" applyAlignment="1">
      <alignment horizontal="center"/>
    </xf>
    <xf numFmtId="0" fontId="2" fillId="2" borderId="3" xfId="0" applyFont="1" applyFill="1" applyBorder="1" applyAlignment="1">
      <alignment wrapText="1"/>
    </xf>
    <xf numFmtId="0" fontId="7" fillId="0" borderId="0" xfId="0" applyFont="1"/>
    <xf numFmtId="0" fontId="7" fillId="0" borderId="0" xfId="0" applyFont="1" applyAlignment="1">
      <alignment horizontal="center"/>
    </xf>
    <xf numFmtId="0" fontId="0" fillId="0" borderId="0" xfId="0" applyBorder="1"/>
    <xf numFmtId="1" fontId="1" fillId="2" borderId="11" xfId="0" applyNumberFormat="1" applyFont="1" applyFill="1" applyBorder="1" applyAlignment="1">
      <alignment horizontal="center"/>
    </xf>
    <xf numFmtId="9" fontId="1" fillId="2" borderId="11" xfId="0" applyNumberFormat="1" applyFont="1" applyFill="1" applyBorder="1" applyAlignment="1">
      <alignment horizontal="center"/>
    </xf>
    <xf numFmtId="0" fontId="5" fillId="0" borderId="0" xfId="0" applyFont="1"/>
    <xf numFmtId="0" fontId="5" fillId="0" borderId="0" xfId="0" applyFont="1" applyAlignment="1">
      <alignment horizontal="center"/>
    </xf>
    <xf numFmtId="0" fontId="5" fillId="0" borderId="4" xfId="0" applyFont="1" applyBorder="1" applyAlignment="1" applyProtection="1">
      <alignment vertical="top" wrapText="1"/>
      <protection locked="0"/>
    </xf>
    <xf numFmtId="0" fontId="5" fillId="0" borderId="9" xfId="0" applyFont="1" applyBorder="1" applyAlignment="1" applyProtection="1">
      <alignment vertical="top" wrapText="1"/>
      <protection locked="0"/>
    </xf>
    <xf numFmtId="0" fontId="5" fillId="0" borderId="7" xfId="0" applyFont="1" applyBorder="1" applyAlignment="1" applyProtection="1">
      <alignment vertical="top" wrapText="1"/>
      <protection locked="0"/>
    </xf>
    <xf numFmtId="0" fontId="5" fillId="0" borderId="10" xfId="0" applyFont="1" applyBorder="1" applyAlignment="1" applyProtection="1">
      <alignment vertical="top" wrapText="1"/>
      <protection locked="0"/>
    </xf>
    <xf numFmtId="1" fontId="1" fillId="2" borderId="2" xfId="0" applyNumberFormat="1" applyFont="1" applyFill="1" applyBorder="1" applyAlignment="1">
      <alignment horizontal="center"/>
    </xf>
    <xf numFmtId="0" fontId="1" fillId="2" borderId="11" xfId="0" applyFont="1" applyFill="1" applyBorder="1"/>
    <xf numFmtId="0" fontId="5" fillId="0" borderId="4" xfId="0" applyFont="1" applyBorder="1" applyAlignment="1" applyProtection="1">
      <alignment horizontal="center" vertical="top"/>
      <protection locked="0"/>
    </xf>
    <xf numFmtId="0" fontId="5" fillId="0" borderId="7" xfId="0" applyFont="1" applyBorder="1" applyAlignment="1" applyProtection="1">
      <alignment horizontal="center" vertical="top"/>
      <protection locked="0"/>
    </xf>
    <xf numFmtId="0" fontId="1" fillId="2" borderId="2" xfId="0" applyFont="1" applyFill="1" applyBorder="1" applyAlignment="1">
      <alignment horizontal="center"/>
    </xf>
    <xf numFmtId="164" fontId="4" fillId="0" borderId="5" xfId="2" applyFill="1" applyBorder="1">
      <alignment horizontal="centerContinuous" vertical="center"/>
    </xf>
    <xf numFmtId="0" fontId="5" fillId="0" borderId="4" xfId="0" applyFont="1" applyBorder="1" applyAlignment="1" applyProtection="1">
      <alignment vertical="top"/>
      <protection locked="0"/>
    </xf>
    <xf numFmtId="0" fontId="5" fillId="0" borderId="7" xfId="0" applyFont="1" applyBorder="1" applyAlignment="1" applyProtection="1">
      <alignment vertical="top"/>
      <protection locked="0"/>
    </xf>
    <xf numFmtId="0" fontId="5" fillId="0" borderId="0" xfId="0" applyFont="1" applyFill="1"/>
    <xf numFmtId="0" fontId="5" fillId="0" borderId="4" xfId="0" applyNumberFormat="1" applyFont="1" applyBorder="1" applyAlignment="1" applyProtection="1">
      <alignment horizontal="center" vertical="top"/>
      <protection locked="0"/>
    </xf>
    <xf numFmtId="0" fontId="5" fillId="0" borderId="7" xfId="0" applyNumberFormat="1" applyFont="1" applyBorder="1" applyAlignment="1" applyProtection="1">
      <alignment horizontal="center" vertical="top"/>
      <protection locked="0"/>
    </xf>
    <xf numFmtId="0" fontId="3" fillId="2" borderId="4" xfId="0" applyFont="1" applyFill="1" applyBorder="1"/>
    <xf numFmtId="0" fontId="3" fillId="2" borderId="7" xfId="0" applyFont="1" applyFill="1" applyBorder="1"/>
    <xf numFmtId="0" fontId="3" fillId="2" borderId="17" xfId="0" applyFont="1" applyFill="1" applyBorder="1"/>
    <xf numFmtId="0" fontId="2" fillId="2" borderId="18" xfId="0" applyFont="1" applyFill="1" applyBorder="1"/>
    <xf numFmtId="1" fontId="5" fillId="2" borderId="19" xfId="0" applyNumberFormat="1" applyFont="1" applyFill="1" applyBorder="1" applyAlignment="1">
      <alignment horizontal="center"/>
    </xf>
    <xf numFmtId="0" fontId="3" fillId="0" borderId="0" xfId="0" applyFont="1"/>
    <xf numFmtId="0" fontId="3" fillId="4" borderId="4" xfId="0" applyFont="1" applyFill="1" applyBorder="1" applyAlignment="1">
      <alignment horizontal="center" wrapText="1"/>
    </xf>
    <xf numFmtId="0" fontId="1" fillId="5" borderId="14" xfId="0" applyFont="1" applyFill="1" applyBorder="1" applyAlignment="1">
      <alignment horizontal="center" wrapText="1"/>
    </xf>
    <xf numFmtId="0" fontId="5" fillId="6" borderId="4" xfId="0" applyFont="1" applyFill="1" applyBorder="1" applyAlignment="1" applyProtection="1">
      <alignment horizontal="center" vertical="top"/>
    </xf>
    <xf numFmtId="0" fontId="5" fillId="6" borderId="7" xfId="0" applyFont="1" applyFill="1" applyBorder="1" applyAlignment="1" applyProtection="1">
      <alignment horizontal="center" vertical="top"/>
    </xf>
    <xf numFmtId="0" fontId="3" fillId="5" borderId="4" xfId="0" applyFont="1" applyFill="1" applyBorder="1" applyAlignment="1">
      <alignment horizontal="center" wrapText="1"/>
    </xf>
    <xf numFmtId="0" fontId="1" fillId="5" borderId="4" xfId="0" applyFont="1" applyFill="1" applyBorder="1" applyAlignment="1">
      <alignment horizontal="left"/>
    </xf>
    <xf numFmtId="0" fontId="1" fillId="5" borderId="4" xfId="0" applyFont="1" applyFill="1" applyBorder="1" applyAlignment="1">
      <alignment horizontal="center" wrapText="1"/>
    </xf>
    <xf numFmtId="0" fontId="1" fillId="5" borderId="9" xfId="0" applyFont="1" applyFill="1" applyBorder="1" applyAlignment="1">
      <alignment horizontal="centerContinuous"/>
    </xf>
    <xf numFmtId="0" fontId="1" fillId="5" borderId="12" xfId="0" applyFont="1" applyFill="1" applyBorder="1" applyAlignment="1">
      <alignment horizontal="left"/>
    </xf>
    <xf numFmtId="0" fontId="1" fillId="5" borderId="12" xfId="0" applyFont="1" applyFill="1" applyBorder="1" applyAlignment="1">
      <alignment horizontal="center" wrapText="1"/>
    </xf>
    <xf numFmtId="0" fontId="1" fillId="7" borderId="4" xfId="0" applyFont="1" applyFill="1" applyBorder="1" applyAlignment="1">
      <alignment horizontal="left" wrapText="1"/>
    </xf>
    <xf numFmtId="0" fontId="1" fillId="7" borderId="4" xfId="0" applyFont="1" applyFill="1" applyBorder="1" applyAlignment="1">
      <alignment horizontal="center" wrapText="1"/>
    </xf>
    <xf numFmtId="0" fontId="1" fillId="7" borderId="9" xfId="0" applyFont="1" applyFill="1" applyBorder="1" applyAlignment="1">
      <alignment horizontal="centerContinuous"/>
    </xf>
    <xf numFmtId="0" fontId="1" fillId="7" borderId="12" xfId="0" applyFont="1" applyFill="1" applyBorder="1" applyAlignment="1">
      <alignment horizontal="left" wrapText="1"/>
    </xf>
    <xf numFmtId="0" fontId="1" fillId="7" borderId="12" xfId="0" applyFont="1" applyFill="1" applyBorder="1" applyAlignment="1">
      <alignment horizontal="center" wrapText="1"/>
    </xf>
    <xf numFmtId="0" fontId="1" fillId="7" borderId="14" xfId="0" applyFont="1" applyFill="1" applyBorder="1" applyAlignment="1">
      <alignment horizontal="centerContinuous"/>
    </xf>
    <xf numFmtId="0" fontId="1" fillId="7" borderId="4" xfId="0" applyFont="1" applyFill="1" applyBorder="1" applyAlignment="1">
      <alignment horizontal="left"/>
    </xf>
    <xf numFmtId="0" fontId="1" fillId="7" borderId="12" xfId="0" applyFont="1" applyFill="1" applyBorder="1"/>
    <xf numFmtId="0" fontId="1" fillId="7" borderId="14" xfId="0" applyFont="1" applyFill="1" applyBorder="1" applyAlignment="1">
      <alignment horizontal="center" wrapText="1"/>
    </xf>
    <xf numFmtId="0" fontId="1" fillId="7" borderId="4" xfId="0" applyFont="1" applyFill="1" applyBorder="1"/>
    <xf numFmtId="0" fontId="1" fillId="7" borderId="12" xfId="0" applyFont="1" applyFill="1" applyBorder="1" applyAlignment="1">
      <alignment horizontal="center"/>
    </xf>
    <xf numFmtId="0" fontId="1" fillId="7" borderId="14" xfId="0" applyFont="1" applyFill="1" applyBorder="1" applyAlignment="1">
      <alignment horizontal="center"/>
    </xf>
    <xf numFmtId="1" fontId="5" fillId="6" borderId="4" xfId="0" applyNumberFormat="1" applyFont="1" applyFill="1" applyBorder="1" applyAlignment="1" applyProtection="1">
      <alignment horizontal="center" vertical="top"/>
    </xf>
    <xf numFmtId="1" fontId="5" fillId="6" borderId="7" xfId="0" applyNumberFormat="1" applyFont="1" applyFill="1" applyBorder="1" applyAlignment="1" applyProtection="1">
      <alignment horizontal="center" vertical="top"/>
    </xf>
    <xf numFmtId="0" fontId="3" fillId="4" borderId="9" xfId="0" applyFont="1" applyFill="1" applyBorder="1" applyAlignment="1">
      <alignment horizontal="center"/>
    </xf>
    <xf numFmtId="0" fontId="1" fillId="7" borderId="4" xfId="0" applyFont="1" applyFill="1" applyBorder="1" applyAlignment="1">
      <alignment horizontal="center" vertical="center"/>
    </xf>
    <xf numFmtId="0" fontId="1" fillId="7" borderId="4" xfId="0" applyFont="1" applyFill="1" applyBorder="1" applyAlignment="1">
      <alignment horizontal="center" vertical="center" wrapText="1"/>
    </xf>
    <xf numFmtId="0" fontId="1" fillId="7" borderId="9" xfId="0" applyFont="1" applyFill="1" applyBorder="1" applyAlignment="1">
      <alignment horizontal="center" vertical="center"/>
    </xf>
    <xf numFmtId="0" fontId="1" fillId="7" borderId="5" xfId="0" applyFont="1" applyFill="1" applyBorder="1" applyAlignment="1">
      <alignment horizontal="center" vertical="center"/>
    </xf>
    <xf numFmtId="0" fontId="1" fillId="7" borderId="9" xfId="0" applyFont="1" applyFill="1" applyBorder="1" applyAlignment="1">
      <alignment horizontal="center" vertical="center" wrapText="1"/>
    </xf>
    <xf numFmtId="0" fontId="3" fillId="6" borderId="4" xfId="0" applyFont="1" applyFill="1" applyBorder="1" applyAlignment="1">
      <alignment horizontal="center"/>
    </xf>
    <xf numFmtId="1" fontId="5" fillId="6" borderId="9" xfId="0" applyNumberFormat="1" applyFont="1" applyFill="1" applyBorder="1" applyAlignment="1">
      <alignment horizontal="center"/>
    </xf>
    <xf numFmtId="1" fontId="5" fillId="6" borderId="5" xfId="0" applyNumberFormat="1" applyFont="1" applyFill="1" applyBorder="1" applyAlignment="1">
      <alignment horizontal="center"/>
    </xf>
    <xf numFmtId="0" fontId="5" fillId="6" borderId="9" xfId="0" applyFont="1" applyFill="1" applyBorder="1" applyAlignment="1">
      <alignment horizontal="center"/>
    </xf>
    <xf numFmtId="0" fontId="3" fillId="6" borderId="12" xfId="0" applyFont="1" applyFill="1" applyBorder="1" applyAlignment="1">
      <alignment horizontal="center"/>
    </xf>
    <xf numFmtId="1" fontId="5" fillId="6" borderId="14" xfId="0" applyNumberFormat="1" applyFont="1" applyFill="1" applyBorder="1" applyAlignment="1">
      <alignment horizontal="center"/>
    </xf>
    <xf numFmtId="1" fontId="5" fillId="6" borderId="0" xfId="0" applyNumberFormat="1" applyFont="1" applyFill="1" applyAlignment="1">
      <alignment horizontal="center"/>
    </xf>
    <xf numFmtId="0" fontId="5" fillId="6" borderId="14" xfId="0" applyFont="1" applyFill="1" applyBorder="1" applyAlignment="1">
      <alignment horizontal="center"/>
    </xf>
    <xf numFmtId="9" fontId="5" fillId="6" borderId="14" xfId="0" applyNumberFormat="1" applyFont="1" applyFill="1" applyBorder="1" applyAlignment="1">
      <alignment horizontal="center"/>
    </xf>
    <xf numFmtId="0" fontId="1" fillId="7" borderId="6" xfId="0" applyFont="1" applyFill="1" applyBorder="1" applyAlignment="1">
      <alignment horizontal="center" vertical="center"/>
    </xf>
    <xf numFmtId="0" fontId="3" fillId="0" borderId="7" xfId="0" applyFont="1" applyBorder="1" applyAlignment="1" applyProtection="1">
      <alignment vertical="top"/>
      <protection locked="0"/>
    </xf>
    <xf numFmtId="0" fontId="3" fillId="0" borderId="9" xfId="0" applyFont="1" applyBorder="1" applyAlignment="1" applyProtection="1">
      <alignment vertical="top" wrapText="1"/>
      <protection locked="0"/>
    </xf>
    <xf numFmtId="0" fontId="3" fillId="0" borderId="10" xfId="0" applyFont="1" applyBorder="1" applyAlignment="1" applyProtection="1">
      <alignment vertical="top" wrapText="1"/>
      <protection locked="0"/>
    </xf>
    <xf numFmtId="0" fontId="3" fillId="0" borderId="9" xfId="0" applyFont="1" applyBorder="1" applyAlignment="1" applyProtection="1">
      <alignment horizontal="center" vertical="center" wrapText="1"/>
      <protection locked="0"/>
    </xf>
    <xf numFmtId="0" fontId="3" fillId="0" borderId="7" xfId="0" applyFont="1" applyBorder="1" applyAlignment="1" applyProtection="1">
      <alignment vertical="top" wrapText="1"/>
      <protection locked="0"/>
    </xf>
    <xf numFmtId="49" fontId="5" fillId="2" borderId="4" xfId="0" applyNumberFormat="1" applyFont="1" applyFill="1" applyBorder="1" applyAlignment="1">
      <alignment horizontal="left" vertical="center"/>
    </xf>
    <xf numFmtId="0" fontId="3" fillId="2" borderId="5" xfId="0" applyFont="1" applyFill="1" applyBorder="1" applyAlignment="1">
      <alignment horizontal="left" vertical="center"/>
    </xf>
    <xf numFmtId="49" fontId="5" fillId="2" borderId="7" xfId="0" applyNumberFormat="1" applyFont="1" applyFill="1" applyBorder="1" applyAlignment="1">
      <alignment horizontal="left" vertical="center"/>
    </xf>
    <xf numFmtId="0" fontId="3" fillId="2" borderId="13" xfId="0" applyFont="1" applyFill="1" applyBorder="1" applyAlignment="1">
      <alignment horizontal="left" vertical="center"/>
    </xf>
    <xf numFmtId="0" fontId="3" fillId="0" borderId="6" xfId="0" applyFont="1" applyBorder="1" applyAlignment="1" applyProtection="1">
      <alignment horizontal="left" vertical="center" wrapText="1"/>
      <protection locked="0"/>
    </xf>
    <xf numFmtId="0" fontId="3" fillId="0" borderId="8" xfId="0" applyFont="1" applyBorder="1" applyAlignment="1" applyProtection="1">
      <alignment horizontal="left" vertical="center" wrapText="1"/>
      <protection locked="0"/>
    </xf>
    <xf numFmtId="165" fontId="19" fillId="6" borderId="21" xfId="0" applyNumberFormat="1" applyFont="1" applyFill="1" applyBorder="1" applyAlignment="1">
      <alignment horizontal="center" vertical="center"/>
    </xf>
    <xf numFmtId="0" fontId="19" fillId="6" borderId="21" xfId="0" applyFont="1" applyFill="1" applyBorder="1" applyAlignment="1">
      <alignment horizontal="center" vertical="center"/>
    </xf>
    <xf numFmtId="1" fontId="20" fillId="6" borderId="21" xfId="0" applyNumberFormat="1" applyFont="1" applyFill="1" applyBorder="1" applyAlignment="1">
      <alignment horizontal="center" vertical="center" shrinkToFit="1"/>
    </xf>
    <xf numFmtId="166" fontId="21" fillId="8" borderId="21" xfId="0" applyNumberFormat="1" applyFont="1" applyFill="1" applyBorder="1" applyAlignment="1">
      <alignment vertical="center" shrinkToFit="1"/>
    </xf>
    <xf numFmtId="2" fontId="21" fillId="6" borderId="21" xfId="0" applyNumberFormat="1" applyFont="1" applyFill="1" applyBorder="1" applyAlignment="1">
      <alignment vertical="center" shrinkToFit="1"/>
    </xf>
    <xf numFmtId="0" fontId="21" fillId="8" borderId="0" xfId="0" applyFont="1" applyFill="1"/>
    <xf numFmtId="165" fontId="21" fillId="8" borderId="0" xfId="0" applyNumberFormat="1" applyFont="1" applyFill="1"/>
    <xf numFmtId="10" fontId="21" fillId="8" borderId="0" xfId="0" applyNumberFormat="1" applyFont="1" applyFill="1"/>
    <xf numFmtId="2" fontId="21" fillId="8" borderId="0" xfId="0" applyNumberFormat="1" applyFont="1" applyFill="1"/>
    <xf numFmtId="10" fontId="21" fillId="6" borderId="21" xfId="0" applyNumberFormat="1" applyFont="1" applyFill="1" applyBorder="1" applyAlignment="1">
      <alignment vertical="center" shrinkToFit="1"/>
    </xf>
    <xf numFmtId="0" fontId="16" fillId="3" borderId="21" xfId="0" applyFont="1" applyFill="1" applyBorder="1"/>
    <xf numFmtId="0" fontId="0" fillId="6" borderId="21" xfId="0" applyFill="1" applyBorder="1"/>
    <xf numFmtId="0" fontId="0" fillId="0" borderId="0" xfId="0" applyAlignment="1">
      <alignment horizontal="center" vertical="center"/>
    </xf>
    <xf numFmtId="2" fontId="0" fillId="0" borderId="0" xfId="0" applyNumberFormat="1" applyAlignment="1">
      <alignment horizontal="center"/>
    </xf>
    <xf numFmtId="165" fontId="22" fillId="8" borderId="0" xfId="0" applyNumberFormat="1" applyFont="1" applyFill="1"/>
    <xf numFmtId="165" fontId="22" fillId="0" borderId="0" xfId="0" applyNumberFormat="1" applyFont="1"/>
    <xf numFmtId="165" fontId="19" fillId="6" borderId="21" xfId="0" applyNumberFormat="1" applyFont="1" applyFill="1" applyBorder="1" applyAlignment="1">
      <alignment horizontal="center" vertical="center" wrapText="1"/>
    </xf>
    <xf numFmtId="6" fontId="22" fillId="8" borderId="21" xfId="0" applyNumberFormat="1" applyFont="1" applyFill="1" applyBorder="1" applyAlignment="1">
      <alignment horizontal="center"/>
    </xf>
    <xf numFmtId="0" fontId="22" fillId="8" borderId="0" xfId="0" applyFont="1" applyFill="1"/>
    <xf numFmtId="165" fontId="25" fillId="2" borderId="21" xfId="0" applyNumberFormat="1" applyFont="1" applyFill="1" applyBorder="1" applyAlignment="1">
      <alignment horizontal="center" vertical="center"/>
    </xf>
    <xf numFmtId="44" fontId="22" fillId="0" borderId="21" xfId="4" applyFont="1" applyFill="1" applyBorder="1" applyAlignment="1">
      <alignment shrinkToFit="1"/>
    </xf>
    <xf numFmtId="44" fontId="22" fillId="0" borderId="23" xfId="4" applyFont="1" applyFill="1" applyBorder="1" applyAlignment="1">
      <alignment shrinkToFit="1"/>
    </xf>
    <xf numFmtId="168" fontId="22" fillId="6" borderId="21" xfId="4" applyNumberFormat="1" applyFont="1" applyFill="1" applyBorder="1" applyAlignment="1">
      <alignment vertical="center" shrinkToFit="1"/>
    </xf>
    <xf numFmtId="0" fontId="22" fillId="0" borderId="0" xfId="0" applyFont="1"/>
    <xf numFmtId="169" fontId="24" fillId="6" borderId="16" xfId="4" applyNumberFormat="1" applyFont="1" applyFill="1" applyBorder="1" applyAlignment="1">
      <alignment horizontal="center" vertical="center" shrinkToFit="1"/>
    </xf>
    <xf numFmtId="0" fontId="24" fillId="0" borderId="0" xfId="0" applyFont="1" applyAlignment="1">
      <alignment horizontal="center" vertical="center"/>
    </xf>
    <xf numFmtId="10" fontId="22" fillId="8" borderId="0" xfId="0" applyNumberFormat="1" applyFont="1" applyFill="1"/>
    <xf numFmtId="0" fontId="28" fillId="6" borderId="21" xfId="0" applyFont="1" applyFill="1" applyBorder="1" applyAlignment="1">
      <alignment horizontal="center" vertical="center"/>
    </xf>
    <xf numFmtId="1" fontId="3" fillId="0" borderId="9" xfId="0" applyNumberFormat="1" applyFont="1" applyBorder="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6" fontId="24" fillId="6" borderId="21" xfId="4" applyNumberFormat="1" applyFont="1" applyFill="1" applyBorder="1" applyAlignment="1">
      <alignment horizontal="center" vertical="center" shrinkToFit="1"/>
    </xf>
    <xf numFmtId="0" fontId="30" fillId="0" borderId="21" xfId="0" applyFont="1" applyBorder="1" applyAlignment="1">
      <alignment horizontal="left" vertical="center" wrapText="1"/>
    </xf>
    <xf numFmtId="0" fontId="31" fillId="3" borderId="28" xfId="0" applyFont="1" applyFill="1" applyBorder="1" applyAlignment="1">
      <alignment horizontal="center" vertical="center"/>
    </xf>
    <xf numFmtId="0" fontId="31" fillId="3" borderId="29" xfId="0" applyFont="1" applyFill="1" applyBorder="1" applyAlignment="1">
      <alignment horizontal="center" vertical="center"/>
    </xf>
    <xf numFmtId="0" fontId="31" fillId="3" borderId="30" xfId="0" applyFont="1" applyFill="1" applyBorder="1" applyAlignment="1">
      <alignment horizontal="center" vertical="center"/>
    </xf>
    <xf numFmtId="0" fontId="32" fillId="6" borderId="31" xfId="0" applyFont="1" applyFill="1" applyBorder="1" applyAlignment="1">
      <alignment horizontal="center" vertical="center" wrapText="1"/>
    </xf>
    <xf numFmtId="0" fontId="32" fillId="6" borderId="21" xfId="0" applyFont="1" applyFill="1" applyBorder="1" applyAlignment="1">
      <alignment horizontal="center" vertical="center" wrapText="1"/>
    </xf>
    <xf numFmtId="0" fontId="32" fillId="6" borderId="32" xfId="0" applyFont="1" applyFill="1" applyBorder="1" applyAlignment="1">
      <alignment horizontal="center" vertical="center" wrapText="1"/>
    </xf>
    <xf numFmtId="0" fontId="30" fillId="0" borderId="33" xfId="0" applyFont="1" applyBorder="1" applyAlignment="1">
      <alignment horizontal="center" vertical="center" wrapText="1"/>
    </xf>
    <xf numFmtId="0" fontId="30" fillId="0" borderId="34"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35" xfId="0" applyFont="1" applyBorder="1" applyAlignment="1">
      <alignment horizontal="center" vertical="center" wrapText="1"/>
    </xf>
    <xf numFmtId="0" fontId="30" fillId="0" borderId="31" xfId="0" applyFont="1" applyBorder="1" applyAlignment="1">
      <alignment horizontal="center" vertical="center" wrapText="1"/>
    </xf>
    <xf numFmtId="0" fontId="30" fillId="0" borderId="21" xfId="0" applyFont="1" applyBorder="1" applyAlignment="1">
      <alignment horizontal="center" vertical="center" wrapText="1"/>
    </xf>
    <xf numFmtId="0" fontId="1" fillId="0" borderId="21" xfId="0" applyFont="1" applyBorder="1" applyAlignment="1">
      <alignment horizontal="center" vertical="center" wrapText="1"/>
    </xf>
    <xf numFmtId="0" fontId="1" fillId="0" borderId="32" xfId="0" applyFont="1" applyBorder="1" applyAlignment="1">
      <alignment horizontal="center" vertical="center" wrapText="1"/>
    </xf>
    <xf numFmtId="0" fontId="3" fillId="2" borderId="2" xfId="0" applyFont="1" applyFill="1" applyBorder="1" applyAlignment="1">
      <alignment horizontal="center"/>
    </xf>
    <xf numFmtId="0" fontId="3" fillId="2" borderId="3"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164" fontId="11" fillId="3" borderId="2" xfId="2" applyFont="1" applyFill="1" applyBorder="1" applyAlignment="1">
      <alignment horizontal="center" vertical="center"/>
    </xf>
    <xf numFmtId="164" fontId="11" fillId="3" borderId="1" xfId="2" applyFont="1" applyFill="1" applyBorder="1" applyAlignment="1">
      <alignment horizontal="center" vertical="center"/>
    </xf>
    <xf numFmtId="164" fontId="11" fillId="3" borderId="3" xfId="2" applyFont="1" applyFill="1" applyBorder="1" applyAlignment="1">
      <alignment horizontal="center" vertical="center"/>
    </xf>
    <xf numFmtId="0" fontId="1" fillId="7" borderId="1" xfId="0" applyFont="1" applyFill="1" applyBorder="1" applyAlignment="1">
      <alignment horizontal="center" vertical="center" wrapText="1"/>
    </xf>
    <xf numFmtId="0" fontId="1" fillId="7" borderId="2" xfId="0" applyFont="1" applyFill="1" applyBorder="1" applyAlignment="1">
      <alignment horizontal="center" wrapText="1"/>
    </xf>
    <xf numFmtId="0" fontId="1" fillId="7" borderId="1" xfId="0" applyFont="1" applyFill="1" applyBorder="1" applyAlignment="1">
      <alignment horizontal="center" wrapText="1"/>
    </xf>
    <xf numFmtId="0" fontId="1" fillId="7" borderId="3" xfId="0" applyFont="1" applyFill="1" applyBorder="1" applyAlignment="1">
      <alignment horizontal="center" wrapText="1"/>
    </xf>
    <xf numFmtId="0" fontId="1" fillId="5" borderId="2" xfId="0" applyFont="1" applyFill="1" applyBorder="1" applyAlignment="1">
      <alignment horizontal="center" wrapText="1"/>
    </xf>
    <xf numFmtId="0" fontId="1" fillId="5" borderId="1" xfId="0" applyFont="1" applyFill="1" applyBorder="1" applyAlignment="1">
      <alignment horizontal="center" wrapText="1"/>
    </xf>
    <xf numFmtId="0" fontId="1" fillId="5" borderId="3" xfId="0" applyFont="1" applyFill="1" applyBorder="1" applyAlignment="1">
      <alignment horizontal="center" wrapText="1"/>
    </xf>
    <xf numFmtId="0" fontId="1" fillId="5" borderId="2" xfId="0" applyFont="1" applyFill="1" applyBorder="1" applyAlignment="1">
      <alignment horizontal="center"/>
    </xf>
    <xf numFmtId="0" fontId="1" fillId="5" borderId="1" xfId="0" applyFont="1" applyFill="1" applyBorder="1" applyAlignment="1">
      <alignment horizontal="center"/>
    </xf>
    <xf numFmtId="0" fontId="1" fillId="5" borderId="3" xfId="0" applyFont="1" applyFill="1" applyBorder="1" applyAlignment="1">
      <alignment horizontal="center"/>
    </xf>
    <xf numFmtId="0" fontId="1" fillId="5" borderId="9" xfId="0" applyFont="1" applyFill="1" applyBorder="1" applyAlignment="1">
      <alignment horizontal="center" wrapText="1"/>
    </xf>
    <xf numFmtId="0" fontId="1" fillId="5" borderId="20" xfId="0" applyFont="1" applyFill="1" applyBorder="1" applyAlignment="1">
      <alignment horizontal="center" wrapText="1"/>
    </xf>
    <xf numFmtId="0" fontId="1" fillId="5" borderId="9" xfId="0" applyFont="1" applyFill="1" applyBorder="1" applyAlignment="1">
      <alignment horizontal="center" vertical="center"/>
    </xf>
    <xf numFmtId="0" fontId="1" fillId="5" borderId="20" xfId="0" applyFont="1" applyFill="1" applyBorder="1" applyAlignment="1">
      <alignment horizontal="center" vertical="center"/>
    </xf>
    <xf numFmtId="0" fontId="1" fillId="2" borderId="2" xfId="0" applyFont="1" applyFill="1" applyBorder="1" applyAlignment="1">
      <alignment horizontal="center" wrapText="1"/>
    </xf>
    <xf numFmtId="0" fontId="1" fillId="2" borderId="1" xfId="0" applyFont="1" applyFill="1" applyBorder="1" applyAlignment="1">
      <alignment horizontal="center" wrapText="1"/>
    </xf>
    <xf numFmtId="0" fontId="1" fillId="2" borderId="3" xfId="0" applyFont="1" applyFill="1" applyBorder="1" applyAlignment="1">
      <alignment horizontal="center" wrapText="1"/>
    </xf>
    <xf numFmtId="0" fontId="10" fillId="2" borderId="9"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20" xfId="0" applyFont="1" applyFill="1" applyBorder="1" applyAlignment="1">
      <alignment horizontal="center" vertical="center"/>
    </xf>
    <xf numFmtId="0" fontId="18" fillId="3" borderId="2" xfId="0" applyFont="1" applyFill="1" applyBorder="1" applyAlignment="1">
      <alignment horizontal="center"/>
    </xf>
    <xf numFmtId="0" fontId="18" fillId="3" borderId="1" xfId="0" applyFont="1" applyFill="1" applyBorder="1" applyAlignment="1">
      <alignment horizontal="center"/>
    </xf>
    <xf numFmtId="0" fontId="18" fillId="3" borderId="3" xfId="0" applyFont="1" applyFill="1" applyBorder="1" applyAlignment="1">
      <alignment horizontal="center"/>
    </xf>
    <xf numFmtId="0" fontId="20" fillId="8" borderId="21" xfId="0" applyFont="1" applyFill="1" applyBorder="1" applyAlignment="1">
      <alignment horizontal="center" vertical="center"/>
    </xf>
    <xf numFmtId="0" fontId="18" fillId="3" borderId="0" xfId="0" applyFont="1" applyFill="1" applyAlignment="1">
      <alignment horizontal="center" vertical="center"/>
    </xf>
    <xf numFmtId="0" fontId="19" fillId="6" borderId="21" xfId="0" applyFont="1" applyFill="1" applyBorder="1" applyAlignment="1">
      <alignment horizontal="center" vertical="center"/>
    </xf>
    <xf numFmtId="0" fontId="19" fillId="6" borderId="21" xfId="0" applyFont="1" applyFill="1" applyBorder="1" applyAlignment="1">
      <alignment horizontal="center"/>
    </xf>
    <xf numFmtId="0" fontId="16" fillId="3" borderId="21" xfId="0" applyFont="1" applyFill="1" applyBorder="1" applyAlignment="1">
      <alignment horizontal="center" vertical="center"/>
    </xf>
    <xf numFmtId="0" fontId="16" fillId="3" borderId="23" xfId="0" applyFont="1" applyFill="1" applyBorder="1" applyAlignment="1">
      <alignment horizontal="center" vertical="center"/>
    </xf>
    <xf numFmtId="0" fontId="0" fillId="0" borderId="21" xfId="0" applyBorder="1" applyAlignment="1">
      <alignment horizontal="center" vertical="center"/>
    </xf>
    <xf numFmtId="2" fontId="0" fillId="6" borderId="15" xfId="0" applyNumberFormat="1" applyFill="1" applyBorder="1" applyAlignment="1">
      <alignment horizontal="center"/>
    </xf>
    <xf numFmtId="2" fontId="0" fillId="6" borderId="16" xfId="0" applyNumberFormat="1" applyFill="1" applyBorder="1" applyAlignment="1">
      <alignment horizontal="center"/>
    </xf>
    <xf numFmtId="167" fontId="22" fillId="8" borderId="21" xfId="5" applyNumberFormat="1" applyFont="1" applyFill="1" applyBorder="1" applyAlignment="1">
      <alignment horizontal="center" shrinkToFit="1"/>
    </xf>
    <xf numFmtId="0" fontId="18" fillId="3" borderId="15" xfId="0" applyFont="1" applyFill="1" applyBorder="1" applyAlignment="1">
      <alignment horizontal="center"/>
    </xf>
    <xf numFmtId="0" fontId="18" fillId="3" borderId="24" xfId="0" applyFont="1" applyFill="1" applyBorder="1" applyAlignment="1">
      <alignment horizontal="center"/>
    </xf>
    <xf numFmtId="0" fontId="18" fillId="3" borderId="16" xfId="0" applyFont="1" applyFill="1" applyBorder="1" applyAlignment="1">
      <alignment horizontal="center"/>
    </xf>
    <xf numFmtId="165" fontId="19" fillId="6" borderId="15" xfId="0" applyNumberFormat="1" applyFont="1" applyFill="1" applyBorder="1" applyAlignment="1">
      <alignment horizontal="center" vertical="center"/>
    </xf>
    <xf numFmtId="165" fontId="19" fillId="6" borderId="16" xfId="0" applyNumberFormat="1" applyFont="1" applyFill="1" applyBorder="1" applyAlignment="1">
      <alignment horizontal="center" vertical="center"/>
    </xf>
    <xf numFmtId="4" fontId="23" fillId="0" borderId="21" xfId="0" applyNumberFormat="1" applyFont="1" applyBorder="1" applyAlignment="1">
      <alignment horizontal="center"/>
    </xf>
    <xf numFmtId="0" fontId="19" fillId="6" borderId="15" xfId="0" applyFont="1" applyFill="1" applyBorder="1" applyAlignment="1">
      <alignment horizontal="center"/>
    </xf>
    <xf numFmtId="0" fontId="19" fillId="6" borderId="16" xfId="0" applyFont="1" applyFill="1" applyBorder="1" applyAlignment="1">
      <alignment horizontal="center"/>
    </xf>
    <xf numFmtId="0" fontId="18" fillId="3" borderId="25" xfId="0" applyFont="1" applyFill="1" applyBorder="1" applyAlignment="1">
      <alignment horizontal="center"/>
    </xf>
    <xf numFmtId="0" fontId="25" fillId="2" borderId="21" xfId="0" applyFont="1" applyFill="1" applyBorder="1" applyAlignment="1">
      <alignment horizontal="center" vertical="center"/>
    </xf>
    <xf numFmtId="0" fontId="26" fillId="6" borderId="21" xfId="0" applyFont="1" applyFill="1" applyBorder="1" applyAlignment="1">
      <alignment horizontal="center"/>
    </xf>
    <xf numFmtId="49" fontId="27" fillId="0" borderId="16" xfId="0" applyNumberFormat="1" applyFont="1" applyBorder="1" applyAlignment="1">
      <alignment horizontal="center" vertical="top" wrapText="1" shrinkToFit="1"/>
    </xf>
    <xf numFmtId="49" fontId="27" fillId="0" borderId="21" xfId="0" applyNumberFormat="1" applyFont="1" applyBorder="1" applyAlignment="1">
      <alignment horizontal="center" vertical="top" wrapText="1" shrinkToFit="1"/>
    </xf>
    <xf numFmtId="167" fontId="22" fillId="8" borderId="15" xfId="5" applyNumberFormat="1" applyFont="1" applyFill="1" applyBorder="1" applyAlignment="1">
      <alignment horizontal="center" shrinkToFit="1"/>
    </xf>
    <xf numFmtId="167" fontId="22" fillId="8" borderId="24" xfId="5" applyNumberFormat="1" applyFont="1" applyFill="1" applyBorder="1" applyAlignment="1">
      <alignment horizontal="center" shrinkToFit="1"/>
    </xf>
    <xf numFmtId="167" fontId="22" fillId="8" borderId="16" xfId="5" applyNumberFormat="1" applyFont="1" applyFill="1" applyBorder="1" applyAlignment="1">
      <alignment horizontal="center" shrinkToFit="1"/>
    </xf>
    <xf numFmtId="167" fontId="22" fillId="8" borderId="26" xfId="5" applyNumberFormat="1" applyFont="1" applyFill="1" applyBorder="1" applyAlignment="1">
      <alignment horizontal="center" shrinkToFit="1"/>
    </xf>
    <xf numFmtId="167" fontId="22" fillId="8" borderId="27" xfId="5" applyNumberFormat="1" applyFont="1" applyFill="1" applyBorder="1" applyAlignment="1">
      <alignment horizontal="center" shrinkToFit="1"/>
    </xf>
    <xf numFmtId="167" fontId="22" fillId="8" borderId="22" xfId="5" applyNumberFormat="1" applyFont="1" applyFill="1" applyBorder="1" applyAlignment="1">
      <alignment horizontal="center" shrinkToFit="1"/>
    </xf>
    <xf numFmtId="0" fontId="24" fillId="6" borderId="21" xfId="0" applyFont="1" applyFill="1" applyBorder="1" applyAlignment="1">
      <alignment horizontal="right"/>
    </xf>
    <xf numFmtId="0" fontId="24" fillId="6" borderId="21" xfId="0" applyFont="1" applyFill="1" applyBorder="1" applyAlignment="1">
      <alignment horizontal="center"/>
    </xf>
  </cellXfs>
  <cellStyles count="6">
    <cellStyle name="Instructions" xfId="1" xr:uid="{00000000-0005-0000-0000-000000000000}"/>
    <cellStyle name="Moneda" xfId="4" builtinId="4"/>
    <cellStyle name="Normal" xfId="0" builtinId="0"/>
    <cellStyle name="Porcentaje" xfId="5" builtinId="5"/>
    <cellStyle name="Sheet Heading" xfId="2" xr:uid="{00000000-0005-0000-0000-000002000000}"/>
    <cellStyle name="Total Row" xfId="3" xr:uid="{00000000-0005-0000-0000-000003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4155E-E2B5-423B-A07E-8EDB90CE94E4}">
  <dimension ref="B2:K12"/>
  <sheetViews>
    <sheetView showGridLines="0" workbookViewId="0">
      <selection activeCell="J23" sqref="J23"/>
    </sheetView>
  </sheetViews>
  <sheetFormatPr baseColWidth="10" defaultRowHeight="13.2" x14ac:dyDescent="0.25"/>
  <sheetData>
    <row r="2" spans="2:11" ht="15.6" x14ac:dyDescent="0.25">
      <c r="B2" s="121" t="s">
        <v>141</v>
      </c>
      <c r="C2" s="125" t="s">
        <v>21</v>
      </c>
      <c r="D2" s="125"/>
    </row>
    <row r="3" spans="2:11" ht="15.6" x14ac:dyDescent="0.25">
      <c r="B3" s="121" t="s">
        <v>142</v>
      </c>
      <c r="C3" s="125" t="s">
        <v>22</v>
      </c>
      <c r="D3" s="125"/>
    </row>
    <row r="5" spans="2:11" ht="13.8" thickBot="1" x14ac:dyDescent="0.3"/>
    <row r="6" spans="2:11" ht="21" x14ac:dyDescent="0.25">
      <c r="B6" s="126" t="s">
        <v>143</v>
      </c>
      <c r="C6" s="127"/>
      <c r="D6" s="127"/>
      <c r="E6" s="127"/>
      <c r="F6" s="127"/>
      <c r="G6" s="127"/>
      <c r="H6" s="127"/>
      <c r="I6" s="127"/>
      <c r="J6" s="127"/>
      <c r="K6" s="128"/>
    </row>
    <row r="7" spans="2:11" ht="15.6" x14ac:dyDescent="0.25">
      <c r="B7" s="129" t="s">
        <v>144</v>
      </c>
      <c r="C7" s="130"/>
      <c r="D7" s="130"/>
      <c r="E7" s="130"/>
      <c r="F7" s="130"/>
      <c r="G7" s="130"/>
      <c r="H7" s="130"/>
      <c r="I7" s="130"/>
      <c r="J7" s="130"/>
      <c r="K7" s="131"/>
    </row>
    <row r="8" spans="2:11" ht="15.6" x14ac:dyDescent="0.25">
      <c r="B8" s="129" t="s">
        <v>22</v>
      </c>
      <c r="C8" s="130"/>
      <c r="D8" s="130"/>
      <c r="E8" s="130"/>
      <c r="F8" s="130" t="s">
        <v>145</v>
      </c>
      <c r="G8" s="130"/>
      <c r="H8" s="130"/>
      <c r="I8" s="130"/>
      <c r="J8" s="130"/>
      <c r="K8" s="131"/>
    </row>
    <row r="9" spans="2:11" ht="14.4" x14ac:dyDescent="0.25">
      <c r="B9" s="136" t="s">
        <v>146</v>
      </c>
      <c r="C9" s="137"/>
      <c r="D9" s="137"/>
      <c r="E9" s="137"/>
      <c r="F9" s="138"/>
      <c r="G9" s="138"/>
      <c r="H9" s="138"/>
      <c r="I9" s="138"/>
      <c r="J9" s="138"/>
      <c r="K9" s="139"/>
    </row>
    <row r="10" spans="2:11" ht="14.4" x14ac:dyDescent="0.25">
      <c r="B10" s="136" t="s">
        <v>147</v>
      </c>
      <c r="C10" s="137"/>
      <c r="D10" s="137"/>
      <c r="E10" s="137"/>
      <c r="F10" s="138"/>
      <c r="G10" s="138"/>
      <c r="H10" s="138"/>
      <c r="I10" s="138"/>
      <c r="J10" s="138"/>
      <c r="K10" s="139"/>
    </row>
    <row r="11" spans="2:11" ht="14.4" x14ac:dyDescent="0.25">
      <c r="B11" s="136" t="s">
        <v>148</v>
      </c>
      <c r="C11" s="137"/>
      <c r="D11" s="137"/>
      <c r="E11" s="137"/>
      <c r="F11" s="138"/>
      <c r="G11" s="138"/>
      <c r="H11" s="138"/>
      <c r="I11" s="138"/>
      <c r="J11" s="138"/>
      <c r="K11" s="139"/>
    </row>
    <row r="12" spans="2:11" ht="15" thickBot="1" x14ac:dyDescent="0.3">
      <c r="B12" s="132" t="s">
        <v>149</v>
      </c>
      <c r="C12" s="133"/>
      <c r="D12" s="133"/>
      <c r="E12" s="133"/>
      <c r="F12" s="134"/>
      <c r="G12" s="134"/>
      <c r="H12" s="134"/>
      <c r="I12" s="134"/>
      <c r="J12" s="134"/>
      <c r="K12" s="135"/>
    </row>
  </sheetData>
  <mergeCells count="14">
    <mergeCell ref="B12:E12"/>
    <mergeCell ref="F12:K12"/>
    <mergeCell ref="B9:E9"/>
    <mergeCell ref="F9:K9"/>
    <mergeCell ref="B10:E10"/>
    <mergeCell ref="F10:K10"/>
    <mergeCell ref="B11:E11"/>
    <mergeCell ref="F11:K11"/>
    <mergeCell ref="C2:D2"/>
    <mergeCell ref="C3:D3"/>
    <mergeCell ref="B6:K6"/>
    <mergeCell ref="B7:K7"/>
    <mergeCell ref="B8:E8"/>
    <mergeCell ref="F8:K8"/>
  </mergeCells>
  <pageMargins left="0.7" right="0.7" top="0.75" bottom="0.75" header="0.3" footer="0.3"/>
  <pageSetup paperSize="9" orientation="landscape" horizontalDpi="0" verticalDpi="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D24"/>
  <sheetViews>
    <sheetView showGridLines="0" zoomScale="85" zoomScaleNormal="85" workbookViewId="0">
      <selection activeCell="J9" sqref="J9"/>
    </sheetView>
  </sheetViews>
  <sheetFormatPr baseColWidth="10" defaultRowHeight="13.2" x14ac:dyDescent="0.25"/>
  <cols>
    <col min="1" max="1" width="3.6640625" style="15" customWidth="1"/>
    <col min="2" max="2" width="30.109375" style="15" customWidth="1"/>
    <col min="3" max="3" width="10.6640625" style="16" customWidth="1"/>
    <col min="4" max="4" width="40.6640625" style="15" customWidth="1"/>
    <col min="5" max="256" width="8.88671875" customWidth="1"/>
  </cols>
  <sheetData>
    <row r="1" spans="1:4" ht="27" customHeight="1" thickBot="1" x14ac:dyDescent="0.3">
      <c r="A1" s="146" t="s">
        <v>107</v>
      </c>
      <c r="B1" s="147"/>
      <c r="C1" s="147"/>
      <c r="D1" s="148"/>
    </row>
    <row r="2" spans="1:4" ht="27" customHeight="1" thickBot="1" x14ac:dyDescent="0.3">
      <c r="A2"/>
      <c r="B2"/>
      <c r="C2"/>
      <c r="D2"/>
    </row>
    <row r="3" spans="1:4" ht="40.200000000000003" thickBot="1" x14ac:dyDescent="0.3">
      <c r="A3" s="144" t="s">
        <v>87</v>
      </c>
      <c r="B3" s="145"/>
      <c r="C3" s="72" t="s">
        <v>38</v>
      </c>
      <c r="D3" s="82" t="s">
        <v>39</v>
      </c>
    </row>
    <row r="4" spans="1:4" ht="39.6" x14ac:dyDescent="0.25">
      <c r="A4" s="88" t="s">
        <v>1</v>
      </c>
      <c r="B4" s="89" t="s">
        <v>88</v>
      </c>
      <c r="C4" s="122"/>
      <c r="D4" s="92" t="s">
        <v>93</v>
      </c>
    </row>
    <row r="5" spans="1:4" ht="26.4" x14ac:dyDescent="0.25">
      <c r="A5" s="90" t="s">
        <v>2</v>
      </c>
      <c r="B5" s="91" t="s">
        <v>27</v>
      </c>
      <c r="C5" s="123"/>
      <c r="D5" s="93" t="s">
        <v>94</v>
      </c>
    </row>
    <row r="6" spans="1:4" ht="26.4" x14ac:dyDescent="0.25">
      <c r="A6" s="90" t="s">
        <v>3</v>
      </c>
      <c r="B6" s="91" t="s">
        <v>41</v>
      </c>
      <c r="C6" s="123"/>
      <c r="D6" s="93" t="s">
        <v>95</v>
      </c>
    </row>
    <row r="7" spans="1:4" ht="26.4" x14ac:dyDescent="0.25">
      <c r="A7" s="90" t="s">
        <v>4</v>
      </c>
      <c r="B7" s="91" t="s">
        <v>28</v>
      </c>
      <c r="C7" s="123"/>
      <c r="D7" s="93" t="s">
        <v>96</v>
      </c>
    </row>
    <row r="8" spans="1:4" ht="39.6" x14ac:dyDescent="0.25">
      <c r="A8" s="90" t="s">
        <v>5</v>
      </c>
      <c r="B8" s="91" t="s">
        <v>29</v>
      </c>
      <c r="C8" s="123"/>
      <c r="D8" s="93" t="s">
        <v>97</v>
      </c>
    </row>
    <row r="9" spans="1:4" ht="39.6" x14ac:dyDescent="0.25">
      <c r="A9" s="90" t="s">
        <v>6</v>
      </c>
      <c r="B9" s="91" t="s">
        <v>30</v>
      </c>
      <c r="C9" s="123"/>
      <c r="D9" s="93" t="s">
        <v>98</v>
      </c>
    </row>
    <row r="10" spans="1:4" x14ac:dyDescent="0.25">
      <c r="A10" s="90" t="s">
        <v>7</v>
      </c>
      <c r="B10" s="91" t="s">
        <v>31</v>
      </c>
      <c r="C10" s="123"/>
      <c r="D10" s="93" t="s">
        <v>99</v>
      </c>
    </row>
    <row r="11" spans="1:4" x14ac:dyDescent="0.25">
      <c r="A11" s="90" t="s">
        <v>8</v>
      </c>
      <c r="B11" s="91" t="s">
        <v>32</v>
      </c>
      <c r="C11" s="123"/>
      <c r="D11" s="93" t="s">
        <v>105</v>
      </c>
    </row>
    <row r="12" spans="1:4" x14ac:dyDescent="0.25">
      <c r="A12" s="90" t="s">
        <v>9</v>
      </c>
      <c r="B12" s="91" t="s">
        <v>33</v>
      </c>
      <c r="C12" s="123"/>
      <c r="D12" s="93" t="s">
        <v>100</v>
      </c>
    </row>
    <row r="13" spans="1:4" ht="26.4" x14ac:dyDescent="0.25">
      <c r="A13" s="90" t="s">
        <v>10</v>
      </c>
      <c r="B13" s="91" t="s">
        <v>34</v>
      </c>
      <c r="C13" s="123"/>
      <c r="D13" s="93" t="s">
        <v>101</v>
      </c>
    </row>
    <row r="14" spans="1:4" x14ac:dyDescent="0.25">
      <c r="A14" s="90" t="s">
        <v>11</v>
      </c>
      <c r="B14" s="91" t="s">
        <v>35</v>
      </c>
      <c r="C14" s="123"/>
      <c r="D14" s="93" t="s">
        <v>106</v>
      </c>
    </row>
    <row r="15" spans="1:4" ht="26.4" x14ac:dyDescent="0.25">
      <c r="A15" s="90" t="s">
        <v>12</v>
      </c>
      <c r="B15" s="91" t="s">
        <v>36</v>
      </c>
      <c r="C15" s="123"/>
      <c r="D15" s="93" t="s">
        <v>102</v>
      </c>
    </row>
    <row r="16" spans="1:4" ht="26.4" x14ac:dyDescent="0.25">
      <c r="A16" s="90" t="s">
        <v>13</v>
      </c>
      <c r="B16" s="91" t="s">
        <v>89</v>
      </c>
      <c r="C16" s="123"/>
      <c r="D16" s="93" t="s">
        <v>103</v>
      </c>
    </row>
    <row r="17" spans="1:4" ht="27" thickBot="1" x14ac:dyDescent="0.3">
      <c r="A17" s="90" t="s">
        <v>14</v>
      </c>
      <c r="B17" s="91" t="s">
        <v>37</v>
      </c>
      <c r="C17" s="123"/>
      <c r="D17" s="93" t="s">
        <v>104</v>
      </c>
    </row>
    <row r="18" spans="1:4" ht="13.8" thickBot="1" x14ac:dyDescent="0.3">
      <c r="A18" s="140" t="s">
        <v>81</v>
      </c>
      <c r="B18" s="141"/>
      <c r="C18" s="10" t="str">
        <f>IF(AND(ISNUMBER(C4),ISNUMBER(C5),ISNUMBER(C6),ISNUMBER(C7),ISNUMBER(C8),ISNUMBER(C9),ISNUMBER(C10),ISNUMBER(C11),ISNUMBER(C12),ISNUMBER(C13),ISNUMBER(C14),ISNUMBER(C15),ISNUMBER(C16),ISNUMBER(C17)),SUM(C4:C17)," ")</f>
        <v xml:space="preserve"> </v>
      </c>
      <c r="D18" s="11" t="s">
        <v>40</v>
      </c>
    </row>
    <row r="19" spans="1:4" ht="13.8" thickBot="1" x14ac:dyDescent="0.3">
      <c r="A19" s="142" t="s">
        <v>80</v>
      </c>
      <c r="B19" s="143"/>
      <c r="C19" s="13" t="str">
        <f>IF(OR($C18=" ",C4&gt;5,C5&gt;5,C6&gt;5,C7&gt;5,C8&gt;5,C9&gt;8,C10&gt;5,C11&gt;5,C12&gt;5,C13&gt;5,C14&gt;5,C15&gt;5,C16&gt;5,C17&gt;5)," ",(C18*0.01)+0.65)</f>
        <v xml:space="preserve"> </v>
      </c>
      <c r="D19" s="14" t="s">
        <v>82</v>
      </c>
    </row>
    <row r="20" spans="1:4" x14ac:dyDescent="0.25">
      <c r="A20"/>
      <c r="B20"/>
      <c r="C20"/>
      <c r="D20"/>
    </row>
    <row r="21" spans="1:4" x14ac:dyDescent="0.25">
      <c r="A21"/>
      <c r="B21"/>
      <c r="C21"/>
      <c r="D21"/>
    </row>
    <row r="22" spans="1:4" x14ac:dyDescent="0.25">
      <c r="A22"/>
      <c r="B22"/>
      <c r="C22"/>
      <c r="D22"/>
    </row>
    <row r="23" spans="1:4" x14ac:dyDescent="0.25">
      <c r="A23"/>
      <c r="B23"/>
      <c r="C23"/>
      <c r="D23"/>
    </row>
    <row r="24" spans="1:4" x14ac:dyDescent="0.25">
      <c r="A24"/>
      <c r="B24"/>
      <c r="C24"/>
      <c r="D24"/>
    </row>
  </sheetData>
  <mergeCells count="4">
    <mergeCell ref="A18:B18"/>
    <mergeCell ref="A19:B19"/>
    <mergeCell ref="A3:B3"/>
    <mergeCell ref="A1:D1"/>
  </mergeCells>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G61"/>
  <sheetViews>
    <sheetView showGridLines="0" zoomScaleNormal="100" workbookViewId="0">
      <selection activeCell="C5" sqref="C5"/>
    </sheetView>
  </sheetViews>
  <sheetFormatPr baseColWidth="10" defaultRowHeight="13.2" x14ac:dyDescent="0.25"/>
  <cols>
    <col min="1" max="1" width="30.6640625" customWidth="1"/>
    <col min="2" max="2" width="12.33203125" style="1" customWidth="1"/>
    <col min="3" max="3" width="6.6640625" style="1" customWidth="1"/>
    <col min="4" max="6" width="10.6640625" style="1" customWidth="1"/>
    <col min="7" max="7" width="40.6640625" customWidth="1"/>
    <col min="8" max="256" width="8.88671875" customWidth="1"/>
  </cols>
  <sheetData>
    <row r="1" spans="1:7" ht="27" customHeight="1" thickBot="1" x14ac:dyDescent="0.3">
      <c r="A1" s="146" t="s">
        <v>72</v>
      </c>
      <c r="B1" s="147"/>
      <c r="C1" s="147"/>
      <c r="D1" s="147"/>
      <c r="E1" s="147"/>
      <c r="F1" s="147"/>
      <c r="G1" s="148"/>
    </row>
    <row r="2" spans="1:7" s="20" customFormat="1" ht="27" customHeight="1" thickBot="1" x14ac:dyDescent="0.3">
      <c r="A2"/>
      <c r="B2"/>
      <c r="C2"/>
      <c r="D2"/>
      <c r="E2"/>
      <c r="F2"/>
      <c r="G2"/>
    </row>
    <row r="3" spans="1:7" ht="20.399999999999999" customHeight="1" thickBot="1" x14ac:dyDescent="0.3">
      <c r="A3" s="62" t="s">
        <v>0</v>
      </c>
      <c r="B3" s="54" t="s">
        <v>55</v>
      </c>
      <c r="C3" s="54" t="s">
        <v>55</v>
      </c>
      <c r="D3" s="144" t="s">
        <v>56</v>
      </c>
      <c r="E3" s="149"/>
      <c r="F3" s="145"/>
      <c r="G3" s="55"/>
    </row>
    <row r="4" spans="1:7" ht="13.8" thickBot="1" x14ac:dyDescent="0.3">
      <c r="A4" s="63" t="s">
        <v>54</v>
      </c>
      <c r="B4" s="57" t="s">
        <v>16</v>
      </c>
      <c r="C4" s="57" t="s">
        <v>17</v>
      </c>
      <c r="D4" s="67" t="s">
        <v>50</v>
      </c>
      <c r="E4" s="67" t="s">
        <v>51</v>
      </c>
      <c r="F4" s="67" t="s">
        <v>52</v>
      </c>
      <c r="G4" s="64" t="s">
        <v>57</v>
      </c>
    </row>
    <row r="5" spans="1:7" x14ac:dyDescent="0.25">
      <c r="A5" s="22"/>
      <c r="B5" s="35"/>
      <c r="C5" s="35"/>
      <c r="D5" s="65" t="str">
        <f>IF(AND(ISNUMBER($B5),ISNUMBER($C5)),IF(OR(AND($B5&lt;=19,$C5&lt;=5),AND($B5&lt;=50,$C5&lt;=1)),1,0)," ")</f>
        <v xml:space="preserve"> </v>
      </c>
      <c r="E5" s="65" t="str">
        <f>IF(AND(ISNUMBER($B5),ISNUMBER($C5)),IF(OR(AND($B5&gt;50,$C5&lt;=1),AND($B5&gt;19,$B5&lt;=50,$C5&gt;1,$C5&lt;=5),AND($B5&lt;=19,$C5&gt;5)),1,0)," ")</f>
        <v xml:space="preserve"> </v>
      </c>
      <c r="F5" s="65" t="str">
        <f>IF(AND(ISNUMBER($B5),ISNUMBER($C5)),IF(OR(AND($B5&gt;50,$C5&gt;1),AND($B5&gt;19,$C5&gt;5)),1,0)," ")</f>
        <v xml:space="preserve"> </v>
      </c>
      <c r="G5" s="23"/>
    </row>
    <row r="6" spans="1:7" x14ac:dyDescent="0.25">
      <c r="A6" s="24"/>
      <c r="B6" s="36"/>
      <c r="C6" s="36"/>
      <c r="D6" s="66" t="str">
        <f t="shared" ref="D6:D16" si="0">IF(AND(ISNUMBER($B6),ISNUMBER($C6)),IF(OR(AND($B6&lt;=19,$C6&lt;=5),AND($B6&lt;=50,$C6&lt;=1)),1,0)," ")</f>
        <v xml:space="preserve"> </v>
      </c>
      <c r="E6" s="66" t="str">
        <f t="shared" ref="E6:E16" si="1">IF(AND(ISNUMBER($B6),ISNUMBER($C6)),IF(OR(AND($B6&gt;50,$C6&lt;=1),AND($B6&gt;19,$B6&lt;=50,$C6&gt;1,$C6&lt;=5),AND($B6&lt;=19,$C6&gt;5)),1,0)," ")</f>
        <v xml:space="preserve"> </v>
      </c>
      <c r="F6" s="66" t="str">
        <f t="shared" ref="F6:F16" si="2">IF(AND(ISNUMBER($B6),ISNUMBER($C6)),IF(OR(AND($B6&gt;50,$C6&gt;1),AND($B6&gt;19,$C6&gt;5)),1,0)," ")</f>
        <v xml:space="preserve"> </v>
      </c>
      <c r="G6" s="25"/>
    </row>
    <row r="7" spans="1:7" x14ac:dyDescent="0.25">
      <c r="A7" s="24"/>
      <c r="B7" s="36"/>
      <c r="C7" s="36"/>
      <c r="D7" s="66" t="str">
        <f t="shared" si="0"/>
        <v xml:space="preserve"> </v>
      </c>
      <c r="E7" s="66" t="str">
        <f t="shared" si="1"/>
        <v xml:space="preserve"> </v>
      </c>
      <c r="F7" s="66" t="str">
        <f t="shared" si="2"/>
        <v xml:space="preserve"> </v>
      </c>
      <c r="G7" s="25"/>
    </row>
    <row r="8" spans="1:7" x14ac:dyDescent="0.25">
      <c r="A8" s="87"/>
      <c r="B8" s="36"/>
      <c r="C8" s="36"/>
      <c r="D8" s="66" t="str">
        <f t="shared" si="0"/>
        <v xml:space="preserve"> </v>
      </c>
      <c r="E8" s="66" t="str">
        <f t="shared" si="1"/>
        <v xml:space="preserve"> </v>
      </c>
      <c r="F8" s="66" t="str">
        <f t="shared" si="2"/>
        <v xml:space="preserve"> </v>
      </c>
      <c r="G8" s="25"/>
    </row>
    <row r="9" spans="1:7" x14ac:dyDescent="0.25">
      <c r="A9" s="24"/>
      <c r="B9" s="36" t="s">
        <v>0</v>
      </c>
      <c r="C9" s="36" t="s">
        <v>0</v>
      </c>
      <c r="D9" s="66" t="str">
        <f t="shared" si="0"/>
        <v xml:space="preserve"> </v>
      </c>
      <c r="E9" s="66" t="str">
        <f t="shared" si="1"/>
        <v xml:space="preserve"> </v>
      </c>
      <c r="F9" s="66" t="str">
        <f t="shared" si="2"/>
        <v xml:space="preserve"> </v>
      </c>
      <c r="G9" s="25"/>
    </row>
    <row r="10" spans="1:7" x14ac:dyDescent="0.25">
      <c r="A10" s="24"/>
      <c r="B10" s="36" t="s">
        <v>0</v>
      </c>
      <c r="C10" s="36" t="s">
        <v>0</v>
      </c>
      <c r="D10" s="66" t="str">
        <f t="shared" si="0"/>
        <v xml:space="preserve"> </v>
      </c>
      <c r="E10" s="66" t="str">
        <f t="shared" si="1"/>
        <v xml:space="preserve"> </v>
      </c>
      <c r="F10" s="66" t="str">
        <f t="shared" si="2"/>
        <v xml:space="preserve"> </v>
      </c>
      <c r="G10" s="25"/>
    </row>
    <row r="11" spans="1:7" x14ac:dyDescent="0.25">
      <c r="A11" s="24"/>
      <c r="B11" s="36" t="s">
        <v>0</v>
      </c>
      <c r="C11" s="36" t="s">
        <v>0</v>
      </c>
      <c r="D11" s="66" t="str">
        <f t="shared" si="0"/>
        <v xml:space="preserve"> </v>
      </c>
      <c r="E11" s="66" t="str">
        <f t="shared" si="1"/>
        <v xml:space="preserve"> </v>
      </c>
      <c r="F11" s="66" t="str">
        <f t="shared" si="2"/>
        <v xml:space="preserve"> </v>
      </c>
      <c r="G11" s="25"/>
    </row>
    <row r="12" spans="1:7" x14ac:dyDescent="0.25">
      <c r="A12" s="24" t="s">
        <v>0</v>
      </c>
      <c r="B12" s="36" t="s">
        <v>0</v>
      </c>
      <c r="C12" s="36" t="s">
        <v>0</v>
      </c>
      <c r="D12" s="66" t="str">
        <f t="shared" si="0"/>
        <v xml:space="preserve"> </v>
      </c>
      <c r="E12" s="66" t="str">
        <f t="shared" si="1"/>
        <v xml:space="preserve"> </v>
      </c>
      <c r="F12" s="66" t="str">
        <f t="shared" si="2"/>
        <v xml:space="preserve"> </v>
      </c>
      <c r="G12" s="25"/>
    </row>
    <row r="13" spans="1:7" x14ac:dyDescent="0.25">
      <c r="A13" s="24" t="s">
        <v>0</v>
      </c>
      <c r="B13" s="36" t="s">
        <v>0</v>
      </c>
      <c r="C13" s="36" t="s">
        <v>0</v>
      </c>
      <c r="D13" s="66" t="str">
        <f t="shared" si="0"/>
        <v xml:space="preserve"> </v>
      </c>
      <c r="E13" s="66" t="str">
        <f t="shared" si="1"/>
        <v xml:space="preserve"> </v>
      </c>
      <c r="F13" s="66" t="str">
        <f t="shared" si="2"/>
        <v xml:space="preserve"> </v>
      </c>
      <c r="G13" s="25"/>
    </row>
    <row r="14" spans="1:7" x14ac:dyDescent="0.25">
      <c r="A14" s="24"/>
      <c r="B14" s="36"/>
      <c r="C14" s="36"/>
      <c r="D14" s="66" t="str">
        <f t="shared" si="0"/>
        <v xml:space="preserve"> </v>
      </c>
      <c r="E14" s="66" t="str">
        <f t="shared" si="1"/>
        <v xml:space="preserve"> </v>
      </c>
      <c r="F14" s="66" t="str">
        <f t="shared" si="2"/>
        <v xml:space="preserve"> </v>
      </c>
      <c r="G14" s="25"/>
    </row>
    <row r="15" spans="1:7" x14ac:dyDescent="0.25">
      <c r="A15" s="24"/>
      <c r="B15" s="36"/>
      <c r="C15" s="36"/>
      <c r="D15" s="66" t="str">
        <f t="shared" si="0"/>
        <v xml:space="preserve"> </v>
      </c>
      <c r="E15" s="66" t="str">
        <f t="shared" si="1"/>
        <v xml:space="preserve"> </v>
      </c>
      <c r="F15" s="66" t="str">
        <f t="shared" si="2"/>
        <v xml:space="preserve"> </v>
      </c>
      <c r="G15" s="25"/>
    </row>
    <row r="16" spans="1:7" ht="13.8" thickBot="1" x14ac:dyDescent="0.3">
      <c r="A16" s="24"/>
      <c r="B16" s="36"/>
      <c r="C16" s="36"/>
      <c r="D16" s="66" t="str">
        <f t="shared" si="0"/>
        <v xml:space="preserve"> </v>
      </c>
      <c r="E16" s="66" t="str">
        <f t="shared" si="1"/>
        <v xml:space="preserve"> </v>
      </c>
      <c r="F16" s="66" t="str">
        <f t="shared" si="2"/>
        <v xml:space="preserve"> </v>
      </c>
      <c r="G16" s="25"/>
    </row>
    <row r="17" spans="1:7" ht="13.8" thickBot="1" x14ac:dyDescent="0.3">
      <c r="A17" s="12" t="s">
        <v>20</v>
      </c>
      <c r="B17" s="26"/>
      <c r="C17" s="26"/>
      <c r="D17" s="26">
        <f>SUM(D5:D16)</f>
        <v>0</v>
      </c>
      <c r="E17" s="26">
        <f>SUM(E5:E16)</f>
        <v>0</v>
      </c>
      <c r="F17" s="26">
        <f>SUM(F5:F16)</f>
        <v>0</v>
      </c>
      <c r="G17" s="27"/>
    </row>
    <row r="18" spans="1:7" x14ac:dyDescent="0.25">
      <c r="A18" s="20"/>
      <c r="B18" s="21"/>
      <c r="C18" s="21"/>
      <c r="D18" s="21"/>
      <c r="E18" s="21"/>
      <c r="F18" s="21"/>
      <c r="G18" s="20"/>
    </row>
    <row r="19" spans="1:7" x14ac:dyDescent="0.25">
      <c r="A19" s="20"/>
      <c r="B19" s="21"/>
      <c r="C19" s="21"/>
      <c r="D19" s="21"/>
      <c r="E19" s="21"/>
      <c r="F19" s="21"/>
      <c r="G19" s="20"/>
    </row>
    <row r="20" spans="1:7" x14ac:dyDescent="0.25">
      <c r="A20" s="20"/>
      <c r="B20" s="21"/>
      <c r="C20" s="21"/>
      <c r="D20" s="21"/>
      <c r="E20" s="21"/>
      <c r="F20" s="21"/>
      <c r="G20" s="20"/>
    </row>
    <row r="21" spans="1:7" x14ac:dyDescent="0.25">
      <c r="A21" s="20"/>
      <c r="B21" s="21"/>
      <c r="C21" s="21"/>
      <c r="D21" s="21"/>
      <c r="E21" s="21"/>
      <c r="F21" s="21"/>
      <c r="G21" s="20"/>
    </row>
    <row r="22" spans="1:7" x14ac:dyDescent="0.25">
      <c r="A22" s="20"/>
      <c r="B22" s="21"/>
      <c r="C22" s="21"/>
      <c r="D22" s="21"/>
      <c r="E22" s="21"/>
      <c r="F22" s="21"/>
      <c r="G22" s="20"/>
    </row>
    <row r="23" spans="1:7" x14ac:dyDescent="0.25">
      <c r="A23" s="20"/>
      <c r="B23" s="21"/>
      <c r="C23" s="21"/>
      <c r="D23" s="21"/>
      <c r="E23" s="21"/>
      <c r="F23" s="21"/>
      <c r="G23" s="20"/>
    </row>
    <row r="24" spans="1:7" x14ac:dyDescent="0.25">
      <c r="A24" s="20"/>
      <c r="B24" s="21"/>
      <c r="C24" s="21"/>
      <c r="D24" s="21"/>
      <c r="E24" s="21"/>
      <c r="F24" s="21"/>
      <c r="G24" s="20"/>
    </row>
    <row r="25" spans="1:7" x14ac:dyDescent="0.25">
      <c r="A25" s="20"/>
      <c r="B25" s="21"/>
      <c r="C25" s="21"/>
      <c r="D25" s="21"/>
      <c r="E25" s="21"/>
      <c r="F25" s="21"/>
      <c r="G25" s="20"/>
    </row>
    <row r="26" spans="1:7" x14ac:dyDescent="0.25">
      <c r="A26" s="20"/>
      <c r="B26" s="21"/>
      <c r="C26" s="21"/>
      <c r="D26" s="21"/>
      <c r="E26" s="21"/>
      <c r="F26" s="21"/>
      <c r="G26" s="20"/>
    </row>
    <row r="27" spans="1:7" x14ac:dyDescent="0.25">
      <c r="A27" s="20"/>
      <c r="B27" s="21"/>
      <c r="C27" s="21"/>
      <c r="D27" s="21"/>
      <c r="E27" s="21"/>
      <c r="F27" s="21"/>
      <c r="G27" s="20"/>
    </row>
    <row r="28" spans="1:7" x14ac:dyDescent="0.25">
      <c r="A28" s="20"/>
      <c r="B28" s="21"/>
      <c r="C28" s="21"/>
      <c r="D28" s="21"/>
      <c r="E28" s="21"/>
      <c r="F28" s="21"/>
      <c r="G28" s="20"/>
    </row>
    <row r="29" spans="1:7" x14ac:dyDescent="0.25">
      <c r="A29" s="20"/>
      <c r="B29" s="21"/>
      <c r="C29" s="21"/>
      <c r="D29" s="21"/>
      <c r="E29" s="21"/>
      <c r="F29" s="21"/>
      <c r="G29" s="20"/>
    </row>
    <row r="30" spans="1:7" x14ac:dyDescent="0.25">
      <c r="A30" s="20"/>
      <c r="B30" s="21"/>
      <c r="C30" s="21"/>
      <c r="D30" s="21"/>
      <c r="E30" s="21"/>
      <c r="F30" s="21"/>
      <c r="G30" s="20"/>
    </row>
    <row r="31" spans="1:7" x14ac:dyDescent="0.25">
      <c r="A31" s="20"/>
      <c r="B31" s="21"/>
      <c r="C31" s="21"/>
      <c r="D31" s="21"/>
      <c r="E31" s="21"/>
      <c r="F31" s="21"/>
      <c r="G31" s="20"/>
    </row>
    <row r="32" spans="1:7" x14ac:dyDescent="0.25">
      <c r="A32" s="20"/>
      <c r="B32" s="21"/>
      <c r="C32" s="21"/>
      <c r="D32" s="21"/>
      <c r="E32" s="21"/>
      <c r="F32" s="21"/>
      <c r="G32" s="20"/>
    </row>
    <row r="33" spans="1:7" x14ac:dyDescent="0.25">
      <c r="A33" s="20"/>
      <c r="B33" s="21"/>
      <c r="C33" s="21"/>
      <c r="D33" s="21"/>
      <c r="E33" s="21"/>
      <c r="F33" s="21"/>
      <c r="G33" s="20"/>
    </row>
    <row r="34" spans="1:7" x14ac:dyDescent="0.25">
      <c r="A34" s="20"/>
      <c r="B34" s="21"/>
      <c r="C34" s="21"/>
      <c r="D34" s="21"/>
      <c r="E34" s="21"/>
      <c r="F34" s="21"/>
      <c r="G34" s="20"/>
    </row>
    <row r="35" spans="1:7" x14ac:dyDescent="0.25">
      <c r="A35" s="20"/>
      <c r="B35" s="21"/>
      <c r="C35" s="21"/>
      <c r="D35" s="21"/>
      <c r="E35" s="21"/>
      <c r="F35" s="21"/>
      <c r="G35" s="20"/>
    </row>
    <row r="36" spans="1:7" x14ac:dyDescent="0.25">
      <c r="A36" s="20"/>
      <c r="B36" s="21"/>
      <c r="C36" s="21"/>
      <c r="D36" s="21"/>
      <c r="E36" s="21"/>
      <c r="F36" s="21"/>
      <c r="G36" s="20"/>
    </row>
    <row r="37" spans="1:7" x14ac:dyDescent="0.25">
      <c r="A37" s="20"/>
      <c r="B37" s="21"/>
      <c r="C37" s="21"/>
      <c r="D37" s="21"/>
      <c r="E37" s="21"/>
      <c r="F37" s="21"/>
      <c r="G37" s="20"/>
    </row>
    <row r="38" spans="1:7" x14ac:dyDescent="0.25">
      <c r="A38" s="20"/>
      <c r="B38" s="21"/>
      <c r="C38" s="21"/>
      <c r="D38" s="21"/>
      <c r="E38" s="21"/>
      <c r="F38" s="21"/>
      <c r="G38" s="20"/>
    </row>
    <row r="39" spans="1:7" x14ac:dyDescent="0.25">
      <c r="A39" s="20"/>
      <c r="B39" s="21"/>
      <c r="C39" s="21"/>
      <c r="D39" s="21"/>
      <c r="E39" s="21"/>
      <c r="F39" s="21"/>
      <c r="G39" s="20"/>
    </row>
    <row r="40" spans="1:7" x14ac:dyDescent="0.25">
      <c r="A40" s="20"/>
      <c r="B40" s="21"/>
      <c r="C40" s="21"/>
      <c r="D40" s="21"/>
      <c r="E40" s="21"/>
      <c r="F40" s="21"/>
      <c r="G40" s="20"/>
    </row>
    <row r="41" spans="1:7" x14ac:dyDescent="0.25">
      <c r="A41" s="20"/>
      <c r="B41" s="21"/>
      <c r="C41" s="21"/>
      <c r="D41" s="21"/>
      <c r="E41" s="21"/>
      <c r="F41" s="21"/>
      <c r="G41" s="20"/>
    </row>
    <row r="42" spans="1:7" x14ac:dyDescent="0.25">
      <c r="A42" s="20"/>
      <c r="B42" s="21"/>
      <c r="C42" s="21"/>
      <c r="D42" s="21"/>
      <c r="E42" s="21"/>
      <c r="F42" s="21"/>
      <c r="G42" s="20"/>
    </row>
    <row r="43" spans="1:7" x14ac:dyDescent="0.25">
      <c r="A43" s="20"/>
      <c r="B43" s="21"/>
      <c r="C43" s="21"/>
      <c r="D43" s="21"/>
      <c r="E43" s="21"/>
      <c r="F43" s="21"/>
      <c r="G43" s="20"/>
    </row>
    <row r="44" spans="1:7" x14ac:dyDescent="0.25">
      <c r="A44" s="20"/>
      <c r="B44" s="21"/>
      <c r="C44" s="21"/>
      <c r="D44" s="21"/>
      <c r="E44" s="21"/>
      <c r="F44" s="21"/>
      <c r="G44" s="20"/>
    </row>
    <row r="45" spans="1:7" x14ac:dyDescent="0.25">
      <c r="A45" s="20"/>
      <c r="B45" s="21"/>
      <c r="C45" s="21"/>
      <c r="D45" s="21"/>
      <c r="E45" s="21"/>
      <c r="F45" s="21"/>
      <c r="G45" s="20"/>
    </row>
    <row r="46" spans="1:7" x14ac:dyDescent="0.25">
      <c r="A46" s="20"/>
      <c r="B46" s="21"/>
      <c r="C46" s="21"/>
      <c r="D46" s="21"/>
      <c r="E46" s="21"/>
      <c r="F46" s="21"/>
      <c r="G46" s="20"/>
    </row>
    <row r="47" spans="1:7" x14ac:dyDescent="0.25">
      <c r="A47" s="20"/>
      <c r="B47" s="21"/>
      <c r="C47" s="21"/>
      <c r="D47" s="21"/>
      <c r="E47" s="21"/>
      <c r="F47" s="21"/>
      <c r="G47" s="20"/>
    </row>
    <row r="48" spans="1:7" x14ac:dyDescent="0.25">
      <c r="A48" s="20"/>
      <c r="B48" s="21"/>
      <c r="C48" s="21"/>
      <c r="D48" s="21"/>
      <c r="E48" s="21"/>
      <c r="F48" s="21"/>
      <c r="G48" s="20"/>
    </row>
    <row r="49" spans="1:7" x14ac:dyDescent="0.25">
      <c r="A49" s="20"/>
      <c r="B49" s="21"/>
      <c r="C49" s="21"/>
      <c r="D49" s="21"/>
      <c r="E49" s="21"/>
      <c r="F49" s="21"/>
      <c r="G49" s="20"/>
    </row>
    <row r="50" spans="1:7" x14ac:dyDescent="0.25">
      <c r="A50" s="20"/>
      <c r="B50" s="21"/>
      <c r="C50" s="21"/>
      <c r="D50" s="21"/>
      <c r="E50" s="21"/>
      <c r="F50" s="21"/>
      <c r="G50" s="20"/>
    </row>
    <row r="51" spans="1:7" x14ac:dyDescent="0.25">
      <c r="A51" s="20"/>
      <c r="B51" s="21"/>
      <c r="C51" s="21"/>
      <c r="D51" s="21"/>
      <c r="E51" s="21"/>
      <c r="F51" s="21"/>
      <c r="G51" s="20"/>
    </row>
    <row r="52" spans="1:7" x14ac:dyDescent="0.25">
      <c r="A52" s="20"/>
      <c r="B52" s="21"/>
      <c r="C52" s="21"/>
      <c r="D52" s="21"/>
      <c r="E52" s="21"/>
      <c r="F52" s="21"/>
      <c r="G52" s="20"/>
    </row>
    <row r="53" spans="1:7" x14ac:dyDescent="0.25">
      <c r="A53" s="20"/>
      <c r="B53" s="21"/>
      <c r="C53" s="21"/>
      <c r="D53" s="21"/>
      <c r="E53" s="21"/>
      <c r="F53" s="21"/>
      <c r="G53" s="20"/>
    </row>
    <row r="54" spans="1:7" x14ac:dyDescent="0.25">
      <c r="A54" s="20"/>
      <c r="B54" s="21"/>
      <c r="C54" s="21"/>
      <c r="D54" s="21"/>
      <c r="E54" s="21"/>
      <c r="F54" s="21"/>
      <c r="G54" s="20"/>
    </row>
    <row r="55" spans="1:7" x14ac:dyDescent="0.25">
      <c r="A55" s="20"/>
      <c r="B55" s="21"/>
      <c r="C55" s="21"/>
      <c r="D55" s="21"/>
      <c r="E55" s="21"/>
      <c r="F55" s="21"/>
      <c r="G55" s="20"/>
    </row>
    <row r="56" spans="1:7" x14ac:dyDescent="0.25">
      <c r="A56" s="20"/>
      <c r="B56" s="21"/>
      <c r="C56" s="21"/>
      <c r="D56" s="21"/>
      <c r="E56" s="21"/>
      <c r="F56" s="21"/>
      <c r="G56" s="20"/>
    </row>
    <row r="57" spans="1:7" x14ac:dyDescent="0.25">
      <c r="A57" s="20"/>
      <c r="B57" s="21"/>
      <c r="C57" s="21"/>
      <c r="D57" s="21"/>
      <c r="E57" s="21"/>
      <c r="F57" s="21"/>
      <c r="G57" s="20"/>
    </row>
    <row r="58" spans="1:7" x14ac:dyDescent="0.25">
      <c r="A58" s="20"/>
      <c r="B58" s="21"/>
      <c r="C58" s="21"/>
      <c r="D58" s="21"/>
      <c r="E58" s="21"/>
      <c r="F58" s="21"/>
      <c r="G58" s="20"/>
    </row>
    <row r="59" spans="1:7" x14ac:dyDescent="0.25">
      <c r="A59" s="20"/>
      <c r="B59" s="21"/>
      <c r="C59" s="21"/>
      <c r="D59" s="21"/>
      <c r="E59" s="21"/>
      <c r="F59" s="21"/>
      <c r="G59" s="20"/>
    </row>
    <row r="60" spans="1:7" x14ac:dyDescent="0.25">
      <c r="A60" s="20"/>
      <c r="B60" s="21"/>
      <c r="C60" s="21"/>
      <c r="D60" s="21"/>
      <c r="E60" s="21"/>
      <c r="F60" s="21"/>
      <c r="G60" s="20"/>
    </row>
    <row r="61" spans="1:7" x14ac:dyDescent="0.25">
      <c r="A61" s="20"/>
      <c r="B61" s="21"/>
      <c r="C61" s="21"/>
      <c r="D61" s="21"/>
      <c r="E61" s="21"/>
      <c r="F61" s="21"/>
      <c r="G61" s="20"/>
    </row>
  </sheetData>
  <mergeCells count="2">
    <mergeCell ref="D3:F3"/>
    <mergeCell ref="A1:G1"/>
  </mergeCells>
  <pageMargins left="0.75" right="0.75" top="1" bottom="1" header="0.5" footer="0.5"/>
  <pageSetup scale="99" orientation="landscape" horizontalDpi="300" verticalDpi="300" r:id="rId1"/>
  <headerFooter alignWithMargins="0">
    <oddHeader>&amp;A</oddHeader>
    <oddFooter>Page &amp;P</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pageSetUpPr fitToPage="1"/>
  </sheetPr>
  <dimension ref="A1:G61"/>
  <sheetViews>
    <sheetView showGridLines="0" zoomScaleNormal="100" workbookViewId="0">
      <selection activeCell="C5" sqref="C5"/>
    </sheetView>
  </sheetViews>
  <sheetFormatPr baseColWidth="10" defaultRowHeight="13.2" x14ac:dyDescent="0.25"/>
  <cols>
    <col min="1" max="1" width="30.6640625" customWidth="1"/>
    <col min="2" max="3" width="6.6640625" style="1" customWidth="1"/>
    <col min="4" max="6" width="10.6640625" style="1" customWidth="1"/>
    <col min="7" max="7" width="40.6640625" customWidth="1"/>
    <col min="8" max="256" width="8.88671875" customWidth="1"/>
  </cols>
  <sheetData>
    <row r="1" spans="1:7" ht="27" customHeight="1" thickBot="1" x14ac:dyDescent="0.3">
      <c r="A1" s="146" t="s">
        <v>71</v>
      </c>
      <c r="B1" s="147"/>
      <c r="C1" s="147"/>
      <c r="D1" s="147"/>
      <c r="E1" s="147"/>
      <c r="F1" s="147"/>
      <c r="G1" s="148"/>
    </row>
    <row r="2" spans="1:7" ht="27" customHeight="1" thickBot="1" x14ac:dyDescent="0.3">
      <c r="B2"/>
      <c r="C2"/>
      <c r="D2"/>
      <c r="E2"/>
      <c r="F2"/>
    </row>
    <row r="3" spans="1:7" ht="13.8" customHeight="1" thickBot="1" x14ac:dyDescent="0.3">
      <c r="A3" s="59" t="s">
        <v>0</v>
      </c>
      <c r="B3" s="54" t="s">
        <v>55</v>
      </c>
      <c r="C3" s="54" t="s">
        <v>55</v>
      </c>
      <c r="D3" s="150" t="s">
        <v>56</v>
      </c>
      <c r="E3" s="151"/>
      <c r="F3" s="152"/>
      <c r="G3" s="55"/>
    </row>
    <row r="4" spans="1:7" ht="13.8" thickBot="1" x14ac:dyDescent="0.3">
      <c r="A4" s="60" t="s">
        <v>54</v>
      </c>
      <c r="B4" s="57" t="s">
        <v>16</v>
      </c>
      <c r="C4" s="57" t="s">
        <v>17</v>
      </c>
      <c r="D4" s="47" t="s">
        <v>50</v>
      </c>
      <c r="E4" s="47" t="s">
        <v>51</v>
      </c>
      <c r="F4" s="47" t="s">
        <v>52</v>
      </c>
      <c r="G4" s="61" t="s">
        <v>58</v>
      </c>
    </row>
    <row r="5" spans="1:7" x14ac:dyDescent="0.25">
      <c r="A5" s="22"/>
      <c r="B5" s="28"/>
      <c r="C5" s="28"/>
      <c r="D5" s="45" t="str">
        <f>IF(AND(ISNUMBER($B5),ISNUMBER($C5)),IF(OR(AND($B5&lt;=19,$C5&lt;=5),AND($B5&lt;=50,$C5&lt;=1)),1,0)," ")</f>
        <v xml:space="preserve"> </v>
      </c>
      <c r="E5" s="45" t="str">
        <f>IF(AND(ISNUMBER($B5),ISNUMBER($C5)),IF(OR(AND($B5&gt;50,$C5&lt;=1),AND($B5&gt;19,$B5&lt;=50,$C5&gt;1,$C5&lt;=5),AND($B5&lt;=19,$C5&gt;5)),1,0)," ")</f>
        <v xml:space="preserve"> </v>
      </c>
      <c r="F5" s="45" t="str">
        <f t="shared" ref="F5:F16" si="0">IF(AND(ISNUMBER($B5),ISNUMBER($C5)),IF(OR(AND($B5&gt;50,$C5&gt;1),AND($B5&gt;19,$C5&gt;5)),1,0)," ")</f>
        <v xml:space="preserve"> </v>
      </c>
      <c r="G5" s="86"/>
    </row>
    <row r="6" spans="1:7" x14ac:dyDescent="0.25">
      <c r="A6" s="87"/>
      <c r="B6" s="29"/>
      <c r="C6" s="29"/>
      <c r="D6" s="46" t="str">
        <f t="shared" ref="D6:D16" si="1">IF(AND(ISNUMBER($B6),ISNUMBER($C6)),IF(OR(AND($B6&lt;=19,$C6&lt;=5),AND($B6&lt;=50,$C6&lt;=1)),1,0)," ")</f>
        <v xml:space="preserve"> </v>
      </c>
      <c r="E6" s="46" t="str">
        <f t="shared" ref="E6:E16" si="2">IF(AND(ISNUMBER($B6),ISNUMBER($C6)),IF(OR(AND($B6&gt;50,$C6&lt;=1),AND($B6&gt;19,$B6&lt;=50,$C6&gt;1,$C6&lt;=5),AND($B6&lt;=19,$C6&gt;5)),1,0)," ")</f>
        <v xml:space="preserve"> </v>
      </c>
      <c r="F6" s="46" t="str">
        <f t="shared" si="0"/>
        <v xml:space="preserve"> </v>
      </c>
      <c r="G6" s="25"/>
    </row>
    <row r="7" spans="1:7" x14ac:dyDescent="0.25">
      <c r="A7" s="87"/>
      <c r="B7" s="29"/>
      <c r="C7" s="29"/>
      <c r="D7" s="46" t="str">
        <f t="shared" si="1"/>
        <v xml:space="preserve"> </v>
      </c>
      <c r="E7" s="46" t="str">
        <f t="shared" si="2"/>
        <v xml:space="preserve"> </v>
      </c>
      <c r="F7" s="46" t="str">
        <f t="shared" si="0"/>
        <v xml:space="preserve"> </v>
      </c>
      <c r="G7" s="25"/>
    </row>
    <row r="8" spans="1:7" x14ac:dyDescent="0.25">
      <c r="A8" s="24" t="s">
        <v>0</v>
      </c>
      <c r="B8" s="29" t="s">
        <v>0</v>
      </c>
      <c r="C8" s="29" t="s">
        <v>0</v>
      </c>
      <c r="D8" s="46" t="str">
        <f t="shared" si="1"/>
        <v xml:space="preserve"> </v>
      </c>
      <c r="E8" s="46" t="str">
        <f t="shared" si="2"/>
        <v xml:space="preserve"> </v>
      </c>
      <c r="F8" s="46" t="str">
        <f t="shared" si="0"/>
        <v xml:space="preserve"> </v>
      </c>
      <c r="G8" s="25"/>
    </row>
    <row r="9" spans="1:7" x14ac:dyDescent="0.25">
      <c r="A9" s="24" t="s">
        <v>0</v>
      </c>
      <c r="B9" s="29" t="s">
        <v>0</v>
      </c>
      <c r="C9" s="29" t="s">
        <v>0</v>
      </c>
      <c r="D9" s="46" t="str">
        <f t="shared" si="1"/>
        <v xml:space="preserve"> </v>
      </c>
      <c r="E9" s="46" t="str">
        <f t="shared" si="2"/>
        <v xml:space="preserve"> </v>
      </c>
      <c r="F9" s="46" t="str">
        <f t="shared" si="0"/>
        <v xml:space="preserve"> </v>
      </c>
      <c r="G9" s="25"/>
    </row>
    <row r="10" spans="1:7" x14ac:dyDescent="0.25">
      <c r="A10" s="24"/>
      <c r="B10" s="29"/>
      <c r="C10" s="29"/>
      <c r="D10" s="46" t="str">
        <f t="shared" si="1"/>
        <v xml:space="preserve"> </v>
      </c>
      <c r="E10" s="46" t="str">
        <f t="shared" si="2"/>
        <v xml:space="preserve"> </v>
      </c>
      <c r="F10" s="46" t="str">
        <f t="shared" si="0"/>
        <v xml:space="preserve"> </v>
      </c>
      <c r="G10" s="25"/>
    </row>
    <row r="11" spans="1:7" x14ac:dyDescent="0.25">
      <c r="A11" s="24"/>
      <c r="B11" s="29"/>
      <c r="C11" s="29"/>
      <c r="D11" s="46" t="str">
        <f t="shared" si="1"/>
        <v xml:space="preserve"> </v>
      </c>
      <c r="E11" s="46" t="str">
        <f t="shared" si="2"/>
        <v xml:space="preserve"> </v>
      </c>
      <c r="F11" s="46" t="str">
        <f t="shared" si="0"/>
        <v xml:space="preserve"> </v>
      </c>
      <c r="G11" s="25"/>
    </row>
    <row r="12" spans="1:7" x14ac:dyDescent="0.25">
      <c r="A12" s="24"/>
      <c r="B12" s="29"/>
      <c r="C12" s="29"/>
      <c r="D12" s="46" t="str">
        <f t="shared" si="1"/>
        <v xml:space="preserve"> </v>
      </c>
      <c r="E12" s="46" t="str">
        <f t="shared" si="2"/>
        <v xml:space="preserve"> </v>
      </c>
      <c r="F12" s="46" t="str">
        <f t="shared" si="0"/>
        <v xml:space="preserve"> </v>
      </c>
      <c r="G12" s="25"/>
    </row>
    <row r="13" spans="1:7" x14ac:dyDescent="0.25">
      <c r="A13" s="24"/>
      <c r="B13" s="29"/>
      <c r="C13" s="29"/>
      <c r="D13" s="46" t="str">
        <f t="shared" si="1"/>
        <v xml:space="preserve"> </v>
      </c>
      <c r="E13" s="46" t="str">
        <f t="shared" si="2"/>
        <v xml:space="preserve"> </v>
      </c>
      <c r="F13" s="46" t="str">
        <f t="shared" si="0"/>
        <v xml:space="preserve"> </v>
      </c>
      <c r="G13" s="25"/>
    </row>
    <row r="14" spans="1:7" x14ac:dyDescent="0.25">
      <c r="A14" s="24"/>
      <c r="B14" s="29"/>
      <c r="C14" s="29"/>
      <c r="D14" s="46" t="str">
        <f t="shared" si="1"/>
        <v xml:space="preserve"> </v>
      </c>
      <c r="E14" s="46" t="str">
        <f t="shared" si="2"/>
        <v xml:space="preserve"> </v>
      </c>
      <c r="F14" s="46" t="str">
        <f t="shared" si="0"/>
        <v xml:space="preserve"> </v>
      </c>
      <c r="G14" s="25"/>
    </row>
    <row r="15" spans="1:7" x14ac:dyDescent="0.25">
      <c r="A15" s="24"/>
      <c r="B15" s="29"/>
      <c r="C15" s="29"/>
      <c r="D15" s="46" t="str">
        <f t="shared" si="1"/>
        <v xml:space="preserve"> </v>
      </c>
      <c r="E15" s="46" t="str">
        <f t="shared" si="2"/>
        <v xml:space="preserve"> </v>
      </c>
      <c r="F15" s="46" t="str">
        <f t="shared" si="0"/>
        <v xml:space="preserve"> </v>
      </c>
      <c r="G15" s="25"/>
    </row>
    <row r="16" spans="1:7" ht="13.8" thickBot="1" x14ac:dyDescent="0.3">
      <c r="A16" s="24"/>
      <c r="B16" s="29"/>
      <c r="C16" s="29"/>
      <c r="D16" s="46" t="str">
        <f t="shared" si="1"/>
        <v xml:space="preserve"> </v>
      </c>
      <c r="E16" s="46" t="str">
        <f t="shared" si="2"/>
        <v xml:space="preserve"> </v>
      </c>
      <c r="F16" s="46" t="str">
        <f t="shared" si="0"/>
        <v xml:space="preserve"> </v>
      </c>
      <c r="G16" s="25"/>
    </row>
    <row r="17" spans="1:7" ht="13.8" thickBot="1" x14ac:dyDescent="0.3">
      <c r="A17" s="12" t="s">
        <v>20</v>
      </c>
      <c r="B17" s="30"/>
      <c r="C17" s="30"/>
      <c r="D17" s="30">
        <f>SUM(D5:D16)</f>
        <v>0</v>
      </c>
      <c r="E17" s="30">
        <f>SUM(E5:E16)</f>
        <v>0</v>
      </c>
      <c r="F17" s="30">
        <f>SUM(F5:F16)</f>
        <v>0</v>
      </c>
      <c r="G17" s="27"/>
    </row>
    <row r="18" spans="1:7" x14ac:dyDescent="0.25">
      <c r="A18" s="20"/>
      <c r="B18" s="21"/>
      <c r="C18" s="21"/>
      <c r="D18" s="21"/>
      <c r="E18" s="21"/>
      <c r="F18" s="21"/>
      <c r="G18" s="20"/>
    </row>
    <row r="19" spans="1:7" x14ac:dyDescent="0.25">
      <c r="A19" s="20"/>
      <c r="B19" s="21"/>
      <c r="C19" s="21"/>
      <c r="D19" s="21"/>
      <c r="E19" s="21"/>
      <c r="F19" s="21"/>
      <c r="G19" s="20"/>
    </row>
    <row r="20" spans="1:7" x14ac:dyDescent="0.25">
      <c r="A20" s="20"/>
      <c r="B20" s="21"/>
      <c r="C20" s="21"/>
      <c r="D20" s="21"/>
      <c r="E20" s="21"/>
      <c r="F20" s="21"/>
      <c r="G20" s="20"/>
    </row>
    <row r="21" spans="1:7" x14ac:dyDescent="0.25">
      <c r="A21" s="20"/>
      <c r="B21" s="21"/>
      <c r="C21" s="21"/>
      <c r="D21" s="21"/>
      <c r="E21" s="21"/>
      <c r="F21" s="21"/>
      <c r="G21" s="20"/>
    </row>
    <row r="22" spans="1:7" x14ac:dyDescent="0.25">
      <c r="A22" s="20"/>
      <c r="B22" s="21"/>
      <c r="C22" s="21"/>
      <c r="D22" s="21"/>
      <c r="E22" s="21"/>
      <c r="F22" s="21"/>
      <c r="G22" s="20"/>
    </row>
    <row r="23" spans="1:7" x14ac:dyDescent="0.25">
      <c r="A23" s="20"/>
      <c r="B23" s="21"/>
      <c r="C23" s="21"/>
      <c r="D23" s="21"/>
      <c r="E23" s="21"/>
      <c r="F23" s="21"/>
      <c r="G23" s="42"/>
    </row>
    <row r="24" spans="1:7" x14ac:dyDescent="0.25">
      <c r="A24" s="20"/>
      <c r="B24" s="21"/>
      <c r="C24" s="21"/>
      <c r="D24" s="21"/>
      <c r="E24" s="21"/>
      <c r="F24" s="21"/>
      <c r="G24" s="20"/>
    </row>
    <row r="25" spans="1:7" x14ac:dyDescent="0.25">
      <c r="A25" s="20"/>
      <c r="B25" s="21"/>
      <c r="C25" s="21"/>
      <c r="D25" s="21"/>
      <c r="E25" s="21"/>
      <c r="F25" s="21"/>
      <c r="G25" s="20"/>
    </row>
    <row r="26" spans="1:7" x14ac:dyDescent="0.25">
      <c r="A26" s="20"/>
      <c r="B26" s="21"/>
      <c r="C26" s="21"/>
      <c r="D26" s="21"/>
      <c r="E26" s="21"/>
      <c r="F26" s="21"/>
      <c r="G26" s="20"/>
    </row>
    <row r="27" spans="1:7" x14ac:dyDescent="0.25">
      <c r="A27" s="20"/>
      <c r="B27" s="21"/>
      <c r="C27" s="21"/>
      <c r="D27" s="21"/>
      <c r="E27" s="21"/>
      <c r="F27" s="21"/>
      <c r="G27" s="20"/>
    </row>
    <row r="28" spans="1:7" x14ac:dyDescent="0.25">
      <c r="A28" s="20"/>
      <c r="B28" s="21"/>
      <c r="C28" s="21"/>
      <c r="D28" s="21"/>
      <c r="E28" s="21"/>
      <c r="F28" s="21"/>
      <c r="G28" s="20"/>
    </row>
    <row r="29" spans="1:7" x14ac:dyDescent="0.25">
      <c r="A29" s="20"/>
      <c r="B29" s="21"/>
      <c r="C29" s="21"/>
      <c r="D29" s="21"/>
      <c r="E29" s="21"/>
      <c r="F29" s="21"/>
      <c r="G29" s="20"/>
    </row>
    <row r="30" spans="1:7" x14ac:dyDescent="0.25">
      <c r="A30" s="20"/>
      <c r="B30" s="21"/>
      <c r="C30" s="21"/>
      <c r="D30" s="21"/>
      <c r="E30" s="21"/>
      <c r="F30" s="21"/>
      <c r="G30" s="20"/>
    </row>
    <row r="31" spans="1:7" x14ac:dyDescent="0.25">
      <c r="A31" s="20"/>
      <c r="B31" s="21"/>
      <c r="C31" s="21"/>
      <c r="D31" s="21"/>
      <c r="E31" s="21"/>
      <c r="F31" s="21"/>
      <c r="G31" s="20"/>
    </row>
    <row r="32" spans="1:7" x14ac:dyDescent="0.25">
      <c r="A32" s="20"/>
      <c r="B32" s="21"/>
      <c r="C32" s="21"/>
      <c r="D32" s="21"/>
      <c r="E32" s="21"/>
      <c r="F32" s="21"/>
      <c r="G32" s="20"/>
    </row>
    <row r="33" spans="1:7" x14ac:dyDescent="0.25">
      <c r="A33" s="20"/>
      <c r="B33" s="21"/>
      <c r="C33" s="21"/>
      <c r="D33" s="21"/>
      <c r="E33" s="21"/>
      <c r="F33" s="21"/>
      <c r="G33" s="20"/>
    </row>
    <row r="34" spans="1:7" x14ac:dyDescent="0.25">
      <c r="A34" s="20"/>
      <c r="B34" s="21"/>
      <c r="C34" s="21"/>
      <c r="D34" s="21"/>
      <c r="E34" s="21"/>
      <c r="F34" s="21"/>
      <c r="G34" s="20"/>
    </row>
    <row r="35" spans="1:7" x14ac:dyDescent="0.25">
      <c r="A35" s="20"/>
      <c r="B35" s="21"/>
      <c r="C35" s="21"/>
      <c r="D35" s="21"/>
      <c r="E35" s="21"/>
      <c r="F35" s="21"/>
      <c r="G35" s="20"/>
    </row>
    <row r="36" spans="1:7" x14ac:dyDescent="0.25">
      <c r="A36" s="20"/>
      <c r="B36" s="21"/>
      <c r="C36" s="21"/>
      <c r="D36" s="21"/>
      <c r="E36" s="21"/>
      <c r="F36" s="21"/>
      <c r="G36" s="20"/>
    </row>
    <row r="37" spans="1:7" x14ac:dyDescent="0.25">
      <c r="A37" s="20"/>
      <c r="B37" s="21"/>
      <c r="C37" s="21"/>
      <c r="D37" s="21"/>
      <c r="E37" s="21"/>
      <c r="F37" s="21"/>
      <c r="G37" s="20"/>
    </row>
    <row r="38" spans="1:7" x14ac:dyDescent="0.25">
      <c r="A38" s="20"/>
      <c r="B38" s="21"/>
      <c r="C38" s="21"/>
      <c r="D38" s="21"/>
      <c r="E38" s="21"/>
      <c r="F38" s="21"/>
      <c r="G38" s="20"/>
    </row>
    <row r="39" spans="1:7" x14ac:dyDescent="0.25">
      <c r="A39" s="20"/>
      <c r="B39" s="21"/>
      <c r="C39" s="21"/>
      <c r="D39" s="21"/>
      <c r="E39" s="21"/>
      <c r="F39" s="21"/>
      <c r="G39" s="20"/>
    </row>
    <row r="40" spans="1:7" x14ac:dyDescent="0.25">
      <c r="A40" s="20"/>
      <c r="B40" s="21"/>
      <c r="C40" s="21"/>
      <c r="D40" s="21"/>
      <c r="E40" s="21"/>
      <c r="F40" s="21"/>
      <c r="G40" s="20"/>
    </row>
    <row r="41" spans="1:7" x14ac:dyDescent="0.25">
      <c r="A41" s="20"/>
      <c r="B41" s="21"/>
      <c r="C41" s="21"/>
      <c r="D41" s="21"/>
      <c r="E41" s="21"/>
      <c r="F41" s="21"/>
      <c r="G41" s="20"/>
    </row>
    <row r="42" spans="1:7" x14ac:dyDescent="0.25">
      <c r="A42" s="20"/>
      <c r="B42" s="21"/>
      <c r="C42" s="21"/>
      <c r="D42" s="21"/>
      <c r="E42" s="21"/>
      <c r="F42" s="21"/>
      <c r="G42" s="20"/>
    </row>
    <row r="43" spans="1:7" x14ac:dyDescent="0.25">
      <c r="A43" s="20"/>
      <c r="B43" s="21"/>
      <c r="C43" s="21"/>
      <c r="D43" s="21"/>
      <c r="E43" s="21"/>
      <c r="F43" s="21"/>
      <c r="G43" s="20"/>
    </row>
    <row r="44" spans="1:7" x14ac:dyDescent="0.25">
      <c r="A44" s="20"/>
      <c r="B44" s="21"/>
      <c r="C44" s="21"/>
      <c r="D44" s="21"/>
      <c r="E44" s="21"/>
      <c r="F44" s="21"/>
      <c r="G44" s="20"/>
    </row>
    <row r="45" spans="1:7" x14ac:dyDescent="0.25">
      <c r="A45" s="20"/>
      <c r="B45" s="21"/>
      <c r="C45" s="21"/>
      <c r="D45" s="21"/>
      <c r="E45" s="21"/>
      <c r="F45" s="21"/>
      <c r="G45" s="20"/>
    </row>
    <row r="46" spans="1:7" x14ac:dyDescent="0.25">
      <c r="A46" s="20"/>
      <c r="B46" s="21"/>
      <c r="C46" s="21"/>
      <c r="D46" s="21"/>
      <c r="E46" s="21"/>
      <c r="F46" s="21"/>
      <c r="G46" s="20"/>
    </row>
    <row r="47" spans="1:7" x14ac:dyDescent="0.25">
      <c r="A47" s="20"/>
      <c r="B47" s="21"/>
      <c r="C47" s="21"/>
      <c r="D47" s="21"/>
      <c r="E47" s="21"/>
      <c r="F47" s="21"/>
      <c r="G47" s="20"/>
    </row>
    <row r="48" spans="1:7" x14ac:dyDescent="0.25">
      <c r="A48" s="20"/>
      <c r="B48" s="21"/>
      <c r="C48" s="21"/>
      <c r="D48" s="21"/>
      <c r="E48" s="21"/>
      <c r="F48" s="21"/>
      <c r="G48" s="20"/>
    </row>
    <row r="49" spans="1:7" x14ac:dyDescent="0.25">
      <c r="A49" s="20"/>
      <c r="B49" s="21"/>
      <c r="C49" s="21"/>
      <c r="D49" s="21"/>
      <c r="E49" s="21"/>
      <c r="F49" s="21"/>
      <c r="G49" s="20"/>
    </row>
    <row r="50" spans="1:7" x14ac:dyDescent="0.25">
      <c r="A50" s="20"/>
      <c r="B50" s="21"/>
      <c r="C50" s="21"/>
      <c r="D50" s="21"/>
      <c r="E50" s="21"/>
      <c r="F50" s="21"/>
      <c r="G50" s="20"/>
    </row>
    <row r="51" spans="1:7" x14ac:dyDescent="0.25">
      <c r="A51" s="20"/>
      <c r="B51" s="21"/>
      <c r="C51" s="21"/>
      <c r="D51" s="21"/>
      <c r="E51" s="21"/>
      <c r="F51" s="21"/>
      <c r="G51" s="20"/>
    </row>
    <row r="52" spans="1:7" x14ac:dyDescent="0.25">
      <c r="A52" s="20"/>
      <c r="B52" s="21"/>
      <c r="C52" s="21"/>
      <c r="D52" s="21"/>
      <c r="E52" s="21"/>
      <c r="F52" s="21"/>
      <c r="G52" s="20"/>
    </row>
    <row r="53" spans="1:7" x14ac:dyDescent="0.25">
      <c r="A53" s="20"/>
      <c r="B53" s="21"/>
      <c r="C53" s="21"/>
      <c r="D53" s="21"/>
      <c r="E53" s="21"/>
      <c r="F53" s="21"/>
      <c r="G53" s="20"/>
    </row>
    <row r="54" spans="1:7" x14ac:dyDescent="0.25">
      <c r="A54" s="20"/>
      <c r="B54" s="21"/>
      <c r="C54" s="21"/>
      <c r="D54" s="21"/>
      <c r="E54" s="21"/>
      <c r="F54" s="21"/>
      <c r="G54" s="20"/>
    </row>
    <row r="55" spans="1:7" x14ac:dyDescent="0.25">
      <c r="A55" s="20"/>
      <c r="B55" s="21"/>
      <c r="C55" s="21"/>
      <c r="D55" s="21"/>
      <c r="E55" s="21"/>
      <c r="F55" s="21"/>
      <c r="G55" s="20"/>
    </row>
    <row r="56" spans="1:7" x14ac:dyDescent="0.25">
      <c r="A56" s="20"/>
      <c r="B56" s="21"/>
      <c r="C56" s="21"/>
      <c r="D56" s="21"/>
      <c r="E56" s="21"/>
      <c r="F56" s="21"/>
      <c r="G56" s="20"/>
    </row>
    <row r="57" spans="1:7" x14ac:dyDescent="0.25">
      <c r="A57" s="20"/>
      <c r="B57" s="21"/>
      <c r="C57" s="21"/>
      <c r="D57" s="21"/>
      <c r="E57" s="21"/>
      <c r="F57" s="21"/>
      <c r="G57" s="20"/>
    </row>
    <row r="58" spans="1:7" x14ac:dyDescent="0.25">
      <c r="A58" s="20"/>
      <c r="B58" s="21"/>
      <c r="C58" s="21"/>
      <c r="D58" s="21"/>
      <c r="E58" s="21"/>
      <c r="F58" s="21"/>
      <c r="G58" s="20"/>
    </row>
    <row r="59" spans="1:7" x14ac:dyDescent="0.25">
      <c r="A59" s="20"/>
      <c r="B59" s="21"/>
      <c r="C59" s="21"/>
      <c r="D59" s="21"/>
      <c r="E59" s="21"/>
      <c r="F59" s="21"/>
      <c r="G59" s="20"/>
    </row>
    <row r="60" spans="1:7" x14ac:dyDescent="0.25">
      <c r="A60" s="20"/>
      <c r="B60" s="21"/>
      <c r="C60" s="21"/>
      <c r="D60" s="21"/>
      <c r="E60" s="21"/>
      <c r="F60" s="21"/>
      <c r="G60" s="20"/>
    </row>
    <row r="61" spans="1:7" x14ac:dyDescent="0.25">
      <c r="A61" s="20"/>
      <c r="B61" s="21"/>
      <c r="C61" s="21"/>
      <c r="D61" s="21"/>
      <c r="E61" s="21"/>
      <c r="F61" s="21"/>
      <c r="G61" s="20"/>
    </row>
  </sheetData>
  <mergeCells count="2">
    <mergeCell ref="D3:F3"/>
    <mergeCell ref="A1:G1"/>
  </mergeCells>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pageSetUpPr fitToPage="1"/>
  </sheetPr>
  <dimension ref="A1:G23"/>
  <sheetViews>
    <sheetView showGridLines="0" zoomScaleNormal="100" workbookViewId="0">
      <selection activeCell="C5" sqref="C5"/>
    </sheetView>
  </sheetViews>
  <sheetFormatPr baseColWidth="10" defaultRowHeight="13.2" x14ac:dyDescent="0.25"/>
  <cols>
    <col min="1" max="1" width="31.77734375" customWidth="1"/>
    <col min="2" max="3" width="6.6640625" style="1" customWidth="1"/>
    <col min="4" max="6" width="10.6640625" style="1" customWidth="1"/>
    <col min="7" max="7" width="40.6640625" customWidth="1"/>
    <col min="8" max="256" width="8.88671875" customWidth="1"/>
  </cols>
  <sheetData>
    <row r="1" spans="1:7" ht="27" customHeight="1" thickBot="1" x14ac:dyDescent="0.3">
      <c r="A1" s="146" t="s">
        <v>59</v>
      </c>
      <c r="B1" s="147"/>
      <c r="C1" s="147"/>
      <c r="D1" s="147"/>
      <c r="E1" s="147"/>
      <c r="F1" s="147"/>
      <c r="G1" s="148"/>
    </row>
    <row r="2" spans="1:7" ht="27" customHeight="1" thickBot="1" x14ac:dyDescent="0.3">
      <c r="A2" s="31"/>
      <c r="B2" s="31"/>
      <c r="C2" s="31"/>
      <c r="D2" s="31"/>
      <c r="E2" s="31"/>
      <c r="F2" s="31"/>
      <c r="G2" s="31"/>
    </row>
    <row r="3" spans="1:7" ht="13.8" thickBot="1" x14ac:dyDescent="0.3">
      <c r="A3" s="53" t="s">
        <v>0</v>
      </c>
      <c r="B3" s="54" t="s">
        <v>55</v>
      </c>
      <c r="C3" s="54" t="s">
        <v>55</v>
      </c>
      <c r="D3" s="150" t="s">
        <v>56</v>
      </c>
      <c r="E3" s="151"/>
      <c r="F3" s="152"/>
      <c r="G3" s="55"/>
    </row>
    <row r="4" spans="1:7" ht="13.8" thickBot="1" x14ac:dyDescent="0.3">
      <c r="A4" s="56" t="s">
        <v>60</v>
      </c>
      <c r="B4" s="57" t="s">
        <v>16</v>
      </c>
      <c r="C4" s="57" t="s">
        <v>19</v>
      </c>
      <c r="D4" s="47" t="s">
        <v>50</v>
      </c>
      <c r="E4" s="47" t="s">
        <v>51</v>
      </c>
      <c r="F4" s="47" t="s">
        <v>52</v>
      </c>
      <c r="G4" s="58" t="s">
        <v>61</v>
      </c>
    </row>
    <row r="5" spans="1:7" x14ac:dyDescent="0.25">
      <c r="A5" s="32"/>
      <c r="B5" s="28"/>
      <c r="C5" s="28"/>
      <c r="D5" s="45" t="str">
        <f>IF(AND(ISNUMBER($B5),ISNUMBER($C5)),IF(OR(AND($B5&lt;=15,$C5&lt;=1),AND($B5&lt;=4,$C5&lt;=2)),1,0)," ")</f>
        <v xml:space="preserve"> </v>
      </c>
      <c r="E5" s="45" t="str">
        <f>IF(AND(ISNUMBER($B5),ISNUMBER($C5)),IF(OR(AND($B5&gt;15,$C5&lt;=1),AND($B5&gt;4,$B5&lt;=15,$C5&gt;1,$C5&lt;=2),AND($B5&lt;=4,$C5&gt;2)),1,0)," ")</f>
        <v xml:space="preserve"> </v>
      </c>
      <c r="F5" s="45" t="str">
        <f>IF(AND(ISNUMBER($B5),ISNUMBER($C5)),IF(OR(AND($B5&gt;4,$C5&gt;2),AND($B5&gt;15,$C5&gt;1)),1,0)," ")</f>
        <v xml:space="preserve"> </v>
      </c>
      <c r="G5" s="84"/>
    </row>
    <row r="6" spans="1:7" x14ac:dyDescent="0.25">
      <c r="A6" s="33"/>
      <c r="B6" s="29"/>
      <c r="C6" s="29"/>
      <c r="D6" s="46" t="str">
        <f t="shared" ref="D6:D18" si="0">IF(AND(ISNUMBER($B6),ISNUMBER($C6)),IF(OR(AND($B6&lt;=15,$C6&lt;=1),AND($B6&lt;=4,$C6&lt;=2)),1,0)," ")</f>
        <v xml:space="preserve"> </v>
      </c>
      <c r="E6" s="46" t="str">
        <f t="shared" ref="E6:E18" si="1">IF(AND(ISNUMBER($B6),ISNUMBER($C6)),IF(OR(AND($B6&gt;15,$C6&lt;=1),AND($B6&gt;4,$B6&lt;=15,$C6&gt;1,$C6&lt;=2),AND($B6&lt;=4,$C6&gt;2)),1,0)," ")</f>
        <v xml:space="preserve"> </v>
      </c>
      <c r="F6" s="46" t="str">
        <f t="shared" ref="F6:F18" si="2">IF(AND(ISNUMBER($B6),ISNUMBER($C6)),IF(OR(AND($B6&gt;4,$C6&gt;2),AND($B6&gt;15,$C6&gt;1)),1,0)," ")</f>
        <v xml:space="preserve"> </v>
      </c>
      <c r="G6" s="85"/>
    </row>
    <row r="7" spans="1:7" x14ac:dyDescent="0.25">
      <c r="A7" s="33"/>
      <c r="B7" s="29"/>
      <c r="C7" s="29"/>
      <c r="D7" s="46" t="str">
        <f t="shared" si="0"/>
        <v xml:space="preserve"> </v>
      </c>
      <c r="E7" s="46" t="str">
        <f t="shared" si="1"/>
        <v xml:space="preserve"> </v>
      </c>
      <c r="F7" s="46" t="str">
        <f t="shared" si="2"/>
        <v xml:space="preserve"> </v>
      </c>
      <c r="G7" s="85"/>
    </row>
    <row r="8" spans="1:7" x14ac:dyDescent="0.25">
      <c r="A8" s="83"/>
      <c r="B8" s="29"/>
      <c r="C8" s="29"/>
      <c r="D8" s="46" t="str">
        <f t="shared" si="0"/>
        <v xml:space="preserve"> </v>
      </c>
      <c r="E8" s="46" t="str">
        <f t="shared" si="1"/>
        <v xml:space="preserve"> </v>
      </c>
      <c r="F8" s="46" t="str">
        <f t="shared" si="2"/>
        <v xml:space="preserve"> </v>
      </c>
      <c r="G8" s="85"/>
    </row>
    <row r="9" spans="1:7" x14ac:dyDescent="0.25">
      <c r="A9" s="83"/>
      <c r="B9" s="29"/>
      <c r="C9" s="29"/>
      <c r="D9" s="46" t="str">
        <f t="shared" si="0"/>
        <v xml:space="preserve"> </v>
      </c>
      <c r="E9" s="46" t="str">
        <f t="shared" si="1"/>
        <v xml:space="preserve"> </v>
      </c>
      <c r="F9" s="46" t="str">
        <f t="shared" si="2"/>
        <v xml:space="preserve"> </v>
      </c>
      <c r="G9" s="85"/>
    </row>
    <row r="10" spans="1:7" x14ac:dyDescent="0.25">
      <c r="A10" s="33" t="s">
        <v>0</v>
      </c>
      <c r="B10" s="29" t="s">
        <v>0</v>
      </c>
      <c r="C10" s="29" t="s">
        <v>0</v>
      </c>
      <c r="D10" s="46" t="str">
        <f t="shared" si="0"/>
        <v xml:space="preserve"> </v>
      </c>
      <c r="E10" s="46" t="str">
        <f t="shared" si="1"/>
        <v xml:space="preserve"> </v>
      </c>
      <c r="F10" s="46" t="str">
        <f t="shared" si="2"/>
        <v xml:space="preserve"> </v>
      </c>
      <c r="G10" s="25"/>
    </row>
    <row r="11" spans="1:7" x14ac:dyDescent="0.25">
      <c r="A11" s="33" t="s">
        <v>0</v>
      </c>
      <c r="B11" s="29" t="s">
        <v>0</v>
      </c>
      <c r="C11" s="29" t="s">
        <v>0</v>
      </c>
      <c r="D11" s="46" t="str">
        <f t="shared" si="0"/>
        <v xml:space="preserve"> </v>
      </c>
      <c r="E11" s="46" t="str">
        <f t="shared" si="1"/>
        <v xml:space="preserve"> </v>
      </c>
      <c r="F11" s="46" t="str">
        <f t="shared" si="2"/>
        <v xml:space="preserve"> </v>
      </c>
      <c r="G11" s="25"/>
    </row>
    <row r="12" spans="1:7" x14ac:dyDescent="0.25">
      <c r="A12" s="33" t="s">
        <v>0</v>
      </c>
      <c r="B12" s="29" t="s">
        <v>0</v>
      </c>
      <c r="C12" s="29" t="s">
        <v>0</v>
      </c>
      <c r="D12" s="46" t="str">
        <f t="shared" si="0"/>
        <v xml:space="preserve"> </v>
      </c>
      <c r="E12" s="46" t="str">
        <f t="shared" si="1"/>
        <v xml:space="preserve"> </v>
      </c>
      <c r="F12" s="46" t="str">
        <f t="shared" si="2"/>
        <v xml:space="preserve"> </v>
      </c>
      <c r="G12" s="25"/>
    </row>
    <row r="13" spans="1:7" x14ac:dyDescent="0.25">
      <c r="A13" s="33" t="s">
        <v>0</v>
      </c>
      <c r="B13" s="29" t="s">
        <v>0</v>
      </c>
      <c r="C13" s="29" t="s">
        <v>0</v>
      </c>
      <c r="D13" s="46" t="str">
        <f t="shared" si="0"/>
        <v xml:space="preserve"> </v>
      </c>
      <c r="E13" s="46" t="str">
        <f t="shared" si="1"/>
        <v xml:space="preserve"> </v>
      </c>
      <c r="F13" s="46" t="str">
        <f t="shared" si="2"/>
        <v xml:space="preserve"> </v>
      </c>
      <c r="G13" s="25"/>
    </row>
    <row r="14" spans="1:7" x14ac:dyDescent="0.25">
      <c r="A14" s="33" t="s">
        <v>0</v>
      </c>
      <c r="B14" s="29" t="s">
        <v>0</v>
      </c>
      <c r="C14" s="29" t="s">
        <v>0</v>
      </c>
      <c r="D14" s="46" t="str">
        <f t="shared" si="0"/>
        <v xml:space="preserve"> </v>
      </c>
      <c r="E14" s="46" t="str">
        <f t="shared" si="1"/>
        <v xml:space="preserve"> </v>
      </c>
      <c r="F14" s="46" t="str">
        <f t="shared" si="2"/>
        <v xml:space="preserve"> </v>
      </c>
      <c r="G14" s="25"/>
    </row>
    <row r="15" spans="1:7" x14ac:dyDescent="0.25">
      <c r="A15" s="33" t="s">
        <v>0</v>
      </c>
      <c r="B15" s="29" t="s">
        <v>0</v>
      </c>
      <c r="C15" s="29" t="s">
        <v>0</v>
      </c>
      <c r="D15" s="46" t="str">
        <f t="shared" si="0"/>
        <v xml:space="preserve"> </v>
      </c>
      <c r="E15" s="46" t="str">
        <f t="shared" si="1"/>
        <v xml:space="preserve"> </v>
      </c>
      <c r="F15" s="46" t="str">
        <f t="shared" si="2"/>
        <v xml:space="preserve"> </v>
      </c>
      <c r="G15" s="25"/>
    </row>
    <row r="16" spans="1:7" x14ac:dyDescent="0.25">
      <c r="A16" s="33" t="s">
        <v>0</v>
      </c>
      <c r="B16" s="29" t="s">
        <v>0</v>
      </c>
      <c r="C16" s="29" t="s">
        <v>0</v>
      </c>
      <c r="D16" s="46" t="str">
        <f t="shared" si="0"/>
        <v xml:space="preserve"> </v>
      </c>
      <c r="E16" s="46" t="str">
        <f t="shared" si="1"/>
        <v xml:space="preserve"> </v>
      </c>
      <c r="F16" s="46" t="str">
        <f t="shared" si="2"/>
        <v xml:space="preserve"> </v>
      </c>
      <c r="G16" s="25"/>
    </row>
    <row r="17" spans="1:7" x14ac:dyDescent="0.25">
      <c r="A17" s="33" t="s">
        <v>0</v>
      </c>
      <c r="B17" s="29" t="s">
        <v>0</v>
      </c>
      <c r="C17" s="29" t="s">
        <v>0</v>
      </c>
      <c r="D17" s="46" t="str">
        <f t="shared" si="0"/>
        <v xml:space="preserve"> </v>
      </c>
      <c r="E17" s="46" t="str">
        <f t="shared" si="1"/>
        <v xml:space="preserve"> </v>
      </c>
      <c r="F17" s="46" t="str">
        <f t="shared" si="2"/>
        <v xml:space="preserve"> </v>
      </c>
      <c r="G17" s="25"/>
    </row>
    <row r="18" spans="1:7" ht="13.8" thickBot="1" x14ac:dyDescent="0.3">
      <c r="A18" s="33" t="s">
        <v>0</v>
      </c>
      <c r="B18" s="29" t="s">
        <v>0</v>
      </c>
      <c r="C18" s="29" t="s">
        <v>0</v>
      </c>
      <c r="D18" s="46" t="str">
        <f t="shared" si="0"/>
        <v xml:space="preserve"> </v>
      </c>
      <c r="E18" s="46" t="str">
        <f t="shared" si="1"/>
        <v xml:space="preserve"> </v>
      </c>
      <c r="F18" s="46" t="str">
        <f t="shared" si="2"/>
        <v xml:space="preserve"> </v>
      </c>
      <c r="G18" s="25"/>
    </row>
    <row r="19" spans="1:7" ht="13.8" thickBot="1" x14ac:dyDescent="0.3">
      <c r="A19" s="12" t="s">
        <v>20</v>
      </c>
      <c r="B19" s="30"/>
      <c r="C19" s="30"/>
      <c r="D19" s="30">
        <f>SUM(D5:D18)</f>
        <v>0</v>
      </c>
      <c r="E19" s="30">
        <f>SUM(E5:E18)</f>
        <v>0</v>
      </c>
      <c r="F19" s="30">
        <f>SUM(F5:F18)</f>
        <v>0</v>
      </c>
      <c r="G19" s="27"/>
    </row>
    <row r="20" spans="1:7" x14ac:dyDescent="0.25">
      <c r="A20" s="20"/>
      <c r="B20" s="21"/>
      <c r="C20" s="21"/>
      <c r="D20" s="21"/>
      <c r="E20" s="21"/>
      <c r="F20" s="21"/>
      <c r="G20" s="20"/>
    </row>
    <row r="21" spans="1:7" x14ac:dyDescent="0.25">
      <c r="A21" s="20"/>
      <c r="B21" s="21"/>
      <c r="C21" s="21"/>
      <c r="D21" s="21"/>
      <c r="E21" s="21"/>
      <c r="F21" s="21"/>
      <c r="G21" s="20"/>
    </row>
    <row r="22" spans="1:7" x14ac:dyDescent="0.25">
      <c r="A22" s="20"/>
      <c r="B22" s="21"/>
      <c r="C22" s="21"/>
      <c r="D22" s="21"/>
      <c r="E22" s="21"/>
      <c r="F22" s="21"/>
      <c r="G22" s="20"/>
    </row>
    <row r="23" spans="1:7" x14ac:dyDescent="0.25">
      <c r="A23" s="20"/>
      <c r="B23" s="21"/>
      <c r="C23" s="21"/>
      <c r="D23" s="21"/>
      <c r="E23" s="21"/>
      <c r="F23" s="21"/>
      <c r="G23" s="20"/>
    </row>
  </sheetData>
  <mergeCells count="2">
    <mergeCell ref="A1:G1"/>
    <mergeCell ref="D3:F3"/>
  </mergeCells>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pageSetUpPr fitToPage="1"/>
  </sheetPr>
  <dimension ref="A1:G19"/>
  <sheetViews>
    <sheetView showGridLines="0" zoomScaleNormal="100" workbookViewId="0">
      <selection activeCell="C5" sqref="C5"/>
    </sheetView>
  </sheetViews>
  <sheetFormatPr baseColWidth="10" defaultRowHeight="13.2" x14ac:dyDescent="0.25"/>
  <cols>
    <col min="1" max="1" width="30.6640625" customWidth="1"/>
    <col min="2" max="3" width="6.6640625" style="1" customWidth="1"/>
    <col min="4" max="6" width="10.6640625" style="1" customWidth="1"/>
    <col min="7" max="7" width="40.6640625" customWidth="1"/>
    <col min="8" max="256" width="8.88671875" customWidth="1"/>
  </cols>
  <sheetData>
    <row r="1" spans="1:7" ht="27" customHeight="1" thickBot="1" x14ac:dyDescent="0.3">
      <c r="A1" s="146" t="s">
        <v>48</v>
      </c>
      <c r="B1" s="147"/>
      <c r="C1" s="147"/>
      <c r="D1" s="147"/>
      <c r="E1" s="147"/>
      <c r="F1" s="147"/>
      <c r="G1" s="148"/>
    </row>
    <row r="2" spans="1:7" s="34" customFormat="1" ht="27" customHeight="1" thickBot="1" x14ac:dyDescent="0.3">
      <c r="A2" s="31"/>
      <c r="B2" s="31"/>
      <c r="C2" s="31"/>
      <c r="D2" s="31"/>
      <c r="E2" s="31"/>
      <c r="F2" s="31"/>
      <c r="G2" s="31"/>
    </row>
    <row r="3" spans="1:7" ht="13.8" thickBot="1" x14ac:dyDescent="0.3">
      <c r="A3" s="48" t="s">
        <v>0</v>
      </c>
      <c r="B3" s="49" t="s">
        <v>55</v>
      </c>
      <c r="C3" s="49" t="s">
        <v>55</v>
      </c>
      <c r="D3" s="153" t="s">
        <v>56</v>
      </c>
      <c r="E3" s="154"/>
      <c r="F3" s="155"/>
      <c r="G3" s="50"/>
    </row>
    <row r="4" spans="1:7" ht="13.8" thickBot="1" x14ac:dyDescent="0.3">
      <c r="A4" s="51" t="s">
        <v>62</v>
      </c>
      <c r="B4" s="52" t="s">
        <v>16</v>
      </c>
      <c r="C4" s="52" t="s">
        <v>19</v>
      </c>
      <c r="D4" s="43" t="s">
        <v>50</v>
      </c>
      <c r="E4" s="43" t="s">
        <v>51</v>
      </c>
      <c r="F4" s="43" t="s">
        <v>52</v>
      </c>
      <c r="G4" s="44" t="s">
        <v>63</v>
      </c>
    </row>
    <row r="5" spans="1:7" x14ac:dyDescent="0.25">
      <c r="A5" s="22"/>
      <c r="B5" s="28"/>
      <c r="C5" s="28"/>
      <c r="D5" s="45" t="str">
        <f>IF(AND(ISNUMBER($B5),ISNUMBER($C5)),IF(OR(AND($B5&lt;=19,$C5&lt;=1),AND($B5&lt;=5,$C5&lt;=3)),1,0)," ")</f>
        <v xml:space="preserve"> </v>
      </c>
      <c r="E5" s="45" t="str">
        <f>IF(AND(ISNUMBER($B5),ISNUMBER($C5)),IF(OR(AND($B5&gt;19,$C5&lt;=1),AND($B5&gt;5,$B5&lt;=19,$C5&gt;1,$C5&lt;=3),AND($B5&lt;=5,$C5&gt;3)),1,0)," ")</f>
        <v xml:space="preserve"> </v>
      </c>
      <c r="F5" s="45" t="str">
        <f t="shared" ref="F5:F16" si="0">IF(AND(ISNUMBER($B5),ISNUMBER($C5)),IF(OR(AND($B5&gt;5,$C5&gt;3),AND($B5&gt;19,$C5&gt;1)),1,0)," ")</f>
        <v xml:space="preserve"> </v>
      </c>
      <c r="G5" s="23"/>
    </row>
    <row r="6" spans="1:7" x14ac:dyDescent="0.25">
      <c r="A6" s="24"/>
      <c r="B6" s="29"/>
      <c r="C6" s="29"/>
      <c r="D6" s="46" t="str">
        <f t="shared" ref="D6:D16" si="1">IF(AND(ISNUMBER($B6),ISNUMBER($C6)),IF(OR(AND($B6&lt;=19,$C6&lt;=1),AND($B6&lt;=5,$C6&lt;=3)),1,0)," ")</f>
        <v xml:space="preserve"> </v>
      </c>
      <c r="E6" s="46" t="str">
        <f t="shared" ref="E6:E16" si="2">IF(AND(ISNUMBER($B6),ISNUMBER($C6)),IF(OR(AND($B6&gt;19,$C6&lt;=1),AND($B6&gt;5,$B6&lt;=19,$C6&gt;1,$C6&lt;=3),AND($B6&lt;=5,$C6&gt;3)),1,0)," ")</f>
        <v xml:space="preserve"> </v>
      </c>
      <c r="F6" s="46" t="str">
        <f t="shared" si="0"/>
        <v xml:space="preserve"> </v>
      </c>
      <c r="G6" s="25"/>
    </row>
    <row r="7" spans="1:7" x14ac:dyDescent="0.25">
      <c r="A7" s="24" t="s">
        <v>0</v>
      </c>
      <c r="B7" s="29" t="s">
        <v>0</v>
      </c>
      <c r="C7" s="29" t="s">
        <v>0</v>
      </c>
      <c r="D7" s="46" t="str">
        <f t="shared" si="1"/>
        <v xml:space="preserve"> </v>
      </c>
      <c r="E7" s="46" t="str">
        <f t="shared" si="2"/>
        <v xml:space="preserve"> </v>
      </c>
      <c r="F7" s="46" t="str">
        <f t="shared" si="0"/>
        <v xml:space="preserve"> </v>
      </c>
      <c r="G7" s="25"/>
    </row>
    <row r="8" spans="1:7" x14ac:dyDescent="0.25">
      <c r="A8" s="24" t="s">
        <v>0</v>
      </c>
      <c r="B8" s="29" t="s">
        <v>0</v>
      </c>
      <c r="C8" s="29" t="s">
        <v>0</v>
      </c>
      <c r="D8" s="46" t="str">
        <f t="shared" si="1"/>
        <v xml:space="preserve"> </v>
      </c>
      <c r="E8" s="46" t="str">
        <f t="shared" si="2"/>
        <v xml:space="preserve"> </v>
      </c>
      <c r="F8" s="46" t="str">
        <f t="shared" si="0"/>
        <v xml:space="preserve"> </v>
      </c>
      <c r="G8" s="25"/>
    </row>
    <row r="9" spans="1:7" x14ac:dyDescent="0.25">
      <c r="A9" s="24"/>
      <c r="B9" s="29"/>
      <c r="C9" s="29"/>
      <c r="D9" s="46" t="str">
        <f t="shared" si="1"/>
        <v xml:space="preserve"> </v>
      </c>
      <c r="E9" s="46" t="str">
        <f t="shared" si="2"/>
        <v xml:space="preserve"> </v>
      </c>
      <c r="F9" s="46" t="str">
        <f t="shared" si="0"/>
        <v xml:space="preserve"> </v>
      </c>
      <c r="G9" s="25"/>
    </row>
    <row r="10" spans="1:7" x14ac:dyDescent="0.25">
      <c r="A10" s="24"/>
      <c r="B10" s="29"/>
      <c r="C10" s="29"/>
      <c r="D10" s="46" t="str">
        <f t="shared" si="1"/>
        <v xml:space="preserve"> </v>
      </c>
      <c r="E10" s="46" t="str">
        <f t="shared" si="2"/>
        <v xml:space="preserve"> </v>
      </c>
      <c r="F10" s="46" t="str">
        <f t="shared" si="0"/>
        <v xml:space="preserve"> </v>
      </c>
      <c r="G10" s="25"/>
    </row>
    <row r="11" spans="1:7" x14ac:dyDescent="0.25">
      <c r="A11" s="24"/>
      <c r="B11" s="29"/>
      <c r="C11" s="29"/>
      <c r="D11" s="46" t="str">
        <f t="shared" si="1"/>
        <v xml:space="preserve"> </v>
      </c>
      <c r="E11" s="46" t="str">
        <f t="shared" si="2"/>
        <v xml:space="preserve"> </v>
      </c>
      <c r="F11" s="46" t="str">
        <f t="shared" si="0"/>
        <v xml:space="preserve"> </v>
      </c>
      <c r="G11" s="25"/>
    </row>
    <row r="12" spans="1:7" x14ac:dyDescent="0.25">
      <c r="A12" s="24"/>
      <c r="B12" s="29"/>
      <c r="C12" s="29"/>
      <c r="D12" s="46" t="str">
        <f t="shared" si="1"/>
        <v xml:space="preserve"> </v>
      </c>
      <c r="E12" s="46" t="str">
        <f t="shared" si="2"/>
        <v xml:space="preserve"> </v>
      </c>
      <c r="F12" s="46" t="str">
        <f t="shared" si="0"/>
        <v xml:space="preserve"> </v>
      </c>
      <c r="G12" s="25"/>
    </row>
    <row r="13" spans="1:7" x14ac:dyDescent="0.25">
      <c r="A13" s="24"/>
      <c r="B13" s="29"/>
      <c r="C13" s="29"/>
      <c r="D13" s="46" t="str">
        <f t="shared" si="1"/>
        <v xml:space="preserve"> </v>
      </c>
      <c r="E13" s="46" t="str">
        <f t="shared" si="2"/>
        <v xml:space="preserve"> </v>
      </c>
      <c r="F13" s="46" t="str">
        <f t="shared" si="0"/>
        <v xml:space="preserve"> </v>
      </c>
      <c r="G13" s="25"/>
    </row>
    <row r="14" spans="1:7" x14ac:dyDescent="0.25">
      <c r="A14" s="24"/>
      <c r="B14" s="29"/>
      <c r="C14" s="29"/>
      <c r="D14" s="46" t="str">
        <f t="shared" si="1"/>
        <v xml:space="preserve"> </v>
      </c>
      <c r="E14" s="46" t="str">
        <f t="shared" si="2"/>
        <v xml:space="preserve"> </v>
      </c>
      <c r="F14" s="46" t="str">
        <f t="shared" si="0"/>
        <v xml:space="preserve"> </v>
      </c>
      <c r="G14" s="25"/>
    </row>
    <row r="15" spans="1:7" x14ac:dyDescent="0.25">
      <c r="A15" s="24"/>
      <c r="B15" s="29"/>
      <c r="C15" s="29"/>
      <c r="D15" s="46" t="str">
        <f t="shared" si="1"/>
        <v xml:space="preserve"> </v>
      </c>
      <c r="E15" s="46" t="str">
        <f t="shared" si="2"/>
        <v xml:space="preserve"> </v>
      </c>
      <c r="F15" s="46" t="str">
        <f t="shared" si="0"/>
        <v xml:space="preserve"> </v>
      </c>
      <c r="G15" s="25"/>
    </row>
    <row r="16" spans="1:7" ht="13.8" thickBot="1" x14ac:dyDescent="0.3">
      <c r="A16" s="24"/>
      <c r="B16" s="29"/>
      <c r="C16" s="29"/>
      <c r="D16" s="46" t="str">
        <f t="shared" si="1"/>
        <v xml:space="preserve"> </v>
      </c>
      <c r="E16" s="46" t="str">
        <f t="shared" si="2"/>
        <v xml:space="preserve"> </v>
      </c>
      <c r="F16" s="46" t="str">
        <f t="shared" si="0"/>
        <v xml:space="preserve"> </v>
      </c>
      <c r="G16" s="25"/>
    </row>
    <row r="17" spans="1:7" ht="13.8" thickBot="1" x14ac:dyDescent="0.3">
      <c r="A17" s="12" t="s">
        <v>64</v>
      </c>
      <c r="B17" s="30"/>
      <c r="C17" s="30"/>
      <c r="D17" s="30">
        <f>SUM(D5:D16)</f>
        <v>0</v>
      </c>
      <c r="E17" s="30">
        <f>SUM(E5:E16)</f>
        <v>0</v>
      </c>
      <c r="F17" s="30">
        <f>SUM(F5:F16)</f>
        <v>0</v>
      </c>
      <c r="G17" s="27"/>
    </row>
    <row r="18" spans="1:7" x14ac:dyDescent="0.25">
      <c r="A18" s="20"/>
      <c r="B18" s="21"/>
      <c r="C18" s="21"/>
      <c r="D18" s="21"/>
      <c r="E18" s="21"/>
      <c r="F18" s="21"/>
      <c r="G18" s="20"/>
    </row>
    <row r="19" spans="1:7" x14ac:dyDescent="0.25">
      <c r="A19" s="20"/>
      <c r="B19" s="21"/>
      <c r="C19" s="21"/>
      <c r="D19" s="21"/>
      <c r="E19" s="21"/>
      <c r="F19" s="21"/>
      <c r="G19" s="20"/>
    </row>
  </sheetData>
  <mergeCells count="2">
    <mergeCell ref="A1:G1"/>
    <mergeCell ref="D3:F3"/>
  </mergeCells>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pageSetUpPr fitToPage="1"/>
  </sheetPr>
  <dimension ref="A1:K25"/>
  <sheetViews>
    <sheetView showGridLines="0" zoomScaleNormal="100" workbookViewId="0">
      <selection activeCell="I24" sqref="I24"/>
    </sheetView>
  </sheetViews>
  <sheetFormatPr baseColWidth="10" defaultRowHeight="13.2" x14ac:dyDescent="0.25"/>
  <cols>
    <col min="1" max="1" width="30.6640625" customWidth="1"/>
    <col min="2" max="3" width="6.6640625" style="1" customWidth="1"/>
    <col min="4" max="4" width="11.109375" style="1" customWidth="1"/>
    <col min="5" max="6" width="6.6640625" style="1" customWidth="1"/>
    <col min="7" max="7" width="11" style="1" customWidth="1"/>
    <col min="8" max="8" width="7.6640625" style="1" customWidth="1"/>
    <col min="9" max="9" width="10.6640625" style="1" customWidth="1"/>
    <col min="10" max="10" width="7.6640625" style="1" customWidth="1"/>
    <col min="11" max="11" width="19.88671875" customWidth="1"/>
    <col min="12" max="256" width="8.88671875" customWidth="1"/>
  </cols>
  <sheetData>
    <row r="1" spans="1:11" ht="27" customHeight="1" thickBot="1" x14ac:dyDescent="0.3">
      <c r="A1" s="146" t="s">
        <v>73</v>
      </c>
      <c r="B1" s="147"/>
      <c r="C1" s="147"/>
      <c r="D1" s="147"/>
      <c r="E1" s="147"/>
      <c r="F1" s="147"/>
      <c r="G1" s="147"/>
      <c r="H1" s="147"/>
      <c r="I1" s="147"/>
      <c r="J1" s="147"/>
      <c r="K1" s="148"/>
    </row>
    <row r="2" spans="1:11" ht="27" customHeight="1" thickBot="1" x14ac:dyDescent="0.3">
      <c r="A2" s="31"/>
      <c r="B2" s="31"/>
      <c r="C2" s="31"/>
      <c r="D2" s="31"/>
      <c r="E2" s="31"/>
      <c r="F2" s="31"/>
      <c r="G2" s="31"/>
      <c r="H2" s="31"/>
      <c r="I2" s="31"/>
      <c r="J2" s="31"/>
      <c r="K2" s="31"/>
    </row>
    <row r="3" spans="1:11" ht="13.8" thickBot="1" x14ac:dyDescent="0.3">
      <c r="A3" s="161" t="s">
        <v>92</v>
      </c>
      <c r="B3" s="156" t="s">
        <v>69</v>
      </c>
      <c r="C3" s="157"/>
      <c r="D3" s="158"/>
      <c r="E3" s="156" t="s">
        <v>68</v>
      </c>
      <c r="F3" s="157"/>
      <c r="G3" s="158"/>
      <c r="H3" s="156" t="s">
        <v>65</v>
      </c>
      <c r="I3" s="157"/>
      <c r="J3" s="158"/>
      <c r="K3" s="159" t="s">
        <v>63</v>
      </c>
    </row>
    <row r="4" spans="1:11" ht="27" thickBot="1" x14ac:dyDescent="0.3">
      <c r="A4" s="162"/>
      <c r="B4" s="43" t="s">
        <v>66</v>
      </c>
      <c r="C4" s="43" t="s">
        <v>67</v>
      </c>
      <c r="D4" s="43" t="s">
        <v>56</v>
      </c>
      <c r="E4" s="43" t="s">
        <v>66</v>
      </c>
      <c r="F4" s="43" t="s">
        <v>67</v>
      </c>
      <c r="G4" s="43" t="s">
        <v>56</v>
      </c>
      <c r="H4" s="43" t="s">
        <v>50</v>
      </c>
      <c r="I4" s="43" t="s">
        <v>51</v>
      </c>
      <c r="J4" s="43" t="s">
        <v>52</v>
      </c>
      <c r="K4" s="160"/>
    </row>
    <row r="5" spans="1:11" x14ac:dyDescent="0.25">
      <c r="A5" s="22"/>
      <c r="B5" s="28"/>
      <c r="C5" s="28"/>
      <c r="D5" s="45" t="str">
        <f>IF(AND(ISNUMBER($B5),ISNUMBER($C5)),IF(OR(AND($B5&lt;=15,$C5&lt;=1),AND($B5&lt;=4,$C5&lt;=2)),"Low",IF(OR(AND($B5&gt;15,$C5&lt;=1),AND($B5&gt;4,$B5&lt;=15,$C5&gt;1,$C5&lt;=2),AND($B5&lt;=4,$C5&gt;2)),"Avg",IF(OR(AND($B5&gt;4,$C5&gt;2),AND($B5&gt;15,$C5&gt;1)),"High")))," ")</f>
        <v xml:space="preserve"> </v>
      </c>
      <c r="E5" s="28"/>
      <c r="F5" s="28"/>
      <c r="G5" s="45" t="str">
        <f>IF(AND(ISNUMBER($E5),ISNUMBER($F5)),IF(OR(AND($E5&lt;=19,$F5&lt;=1),AND($E5&lt;=5,$F5&lt;=3)),"Low",IF(OR(AND($E5&gt;19,$F5&lt;=1),AND($E5&gt;5,$E5&lt;=19,$F5&gt;1,$F5&lt;=3),AND($E5&lt;=5,$F5&gt;3)),"Avg",IF(OR(AND($E5&gt;5,$F5&gt;3),AND($E5&gt;19,$F5&gt;1)),"High")))," ")</f>
        <v xml:space="preserve"> </v>
      </c>
      <c r="H5" s="45" t="str">
        <f t="shared" ref="H5:H15" si="0">IF(AND(ISNUMBER($B5),ISNUMBER($C5),ISNUMBER($E5),ISNUMBER($F5)),IF(AND(D5="Low",G5="Low"),1,0)," ")</f>
        <v xml:space="preserve"> </v>
      </c>
      <c r="I5" s="45" t="str">
        <f t="shared" ref="I5:I15" si="1">IF(AND(ISNUMBER($B5),ISNUMBER($C5),ISNUMBER($E5),ISNUMBER($F5)),IF(AND($H5=0,J5=0),1,0)," ")</f>
        <v xml:space="preserve"> </v>
      </c>
      <c r="J5" s="45" t="str">
        <f t="shared" ref="J5:J15" si="2">IF(AND(ISNUMBER($B5),ISNUMBER($C5),ISNUMBER($E5),ISNUMBER($F5)),IF(OR($D5="High",$G5="High"),1,0)," ")</f>
        <v xml:space="preserve"> </v>
      </c>
      <c r="K5" s="23"/>
    </row>
    <row r="6" spans="1:11" x14ac:dyDescent="0.25">
      <c r="A6" s="24" t="s">
        <v>0</v>
      </c>
      <c r="B6" s="29" t="s">
        <v>0</v>
      </c>
      <c r="C6" s="29" t="s">
        <v>0</v>
      </c>
      <c r="D6" s="46" t="str">
        <f t="shared" ref="D6:D15" si="3">IF(AND(ISNUMBER($B6),ISNUMBER($C6)),IF(OR(AND($B6&lt;=15,$C6&lt;=1),AND($B6&lt;=4,$C6&lt;=2)),"Low",IF(OR(AND($B6&gt;15,$C6&lt;=1),AND($B6&gt;4,$B6&lt;=15,$C6&gt;1,$C6&lt;=2),AND($B6&lt;=4,$C6&gt;2)),"Avg",IF(OR(AND($B6&gt;4,$C6&gt;2),AND($B6&gt;15,$C6&gt;1)),"High")))," ")</f>
        <v xml:space="preserve"> </v>
      </c>
      <c r="E6" s="29" t="s">
        <v>0</v>
      </c>
      <c r="F6" s="29" t="s">
        <v>0</v>
      </c>
      <c r="G6" s="46" t="str">
        <f t="shared" ref="G6:G15" si="4">IF(AND(ISNUMBER($E6),ISNUMBER($F6)),IF(OR(AND($E6&lt;=19,$F6&lt;=1),AND($E6&lt;=5,$F6&lt;=3)),"Low",IF(OR(AND($E6&gt;19,$F6&lt;=1),AND($E6&gt;5,$E6&lt;=19,$F6&gt;1,$F6&lt;=3),AND($E6&lt;=5,$F6&gt;3)),"Avg",IF(OR(AND($E6&gt;5,$F6&gt;3),AND($E6&gt;19,$F6&gt;1)),"High")))," ")</f>
        <v xml:space="preserve"> </v>
      </c>
      <c r="H6" s="46" t="str">
        <f t="shared" si="0"/>
        <v xml:space="preserve"> </v>
      </c>
      <c r="I6" s="46" t="str">
        <f t="shared" si="1"/>
        <v xml:space="preserve"> </v>
      </c>
      <c r="J6" s="46" t="str">
        <f t="shared" si="2"/>
        <v xml:space="preserve"> </v>
      </c>
      <c r="K6" s="25"/>
    </row>
    <row r="7" spans="1:11" x14ac:dyDescent="0.25">
      <c r="A7" s="24" t="s">
        <v>0</v>
      </c>
      <c r="B7" s="29" t="s">
        <v>0</v>
      </c>
      <c r="C7" s="29" t="s">
        <v>0</v>
      </c>
      <c r="D7" s="46" t="str">
        <f t="shared" si="3"/>
        <v xml:space="preserve"> </v>
      </c>
      <c r="E7" s="29" t="s">
        <v>0</v>
      </c>
      <c r="F7" s="29" t="s">
        <v>0</v>
      </c>
      <c r="G7" s="46" t="str">
        <f t="shared" si="4"/>
        <v xml:space="preserve"> </v>
      </c>
      <c r="H7" s="46" t="str">
        <f t="shared" si="0"/>
        <v xml:space="preserve"> </v>
      </c>
      <c r="I7" s="46" t="str">
        <f t="shared" si="1"/>
        <v xml:space="preserve"> </v>
      </c>
      <c r="J7" s="46" t="str">
        <f t="shared" si="2"/>
        <v xml:space="preserve"> </v>
      </c>
      <c r="K7" s="25"/>
    </row>
    <row r="8" spans="1:11" x14ac:dyDescent="0.25">
      <c r="A8" s="24" t="s">
        <v>0</v>
      </c>
      <c r="B8" s="29" t="s">
        <v>0</v>
      </c>
      <c r="C8" s="29" t="s">
        <v>0</v>
      </c>
      <c r="D8" s="46" t="str">
        <f t="shared" si="3"/>
        <v xml:space="preserve"> </v>
      </c>
      <c r="E8" s="29" t="s">
        <v>0</v>
      </c>
      <c r="F8" s="29" t="s">
        <v>0</v>
      </c>
      <c r="G8" s="46" t="str">
        <f t="shared" si="4"/>
        <v xml:space="preserve"> </v>
      </c>
      <c r="H8" s="46" t="str">
        <f t="shared" si="0"/>
        <v xml:space="preserve"> </v>
      </c>
      <c r="I8" s="46" t="str">
        <f t="shared" si="1"/>
        <v xml:space="preserve"> </v>
      </c>
      <c r="J8" s="46" t="str">
        <f t="shared" si="2"/>
        <v xml:space="preserve"> </v>
      </c>
      <c r="K8" s="25"/>
    </row>
    <row r="9" spans="1:11" x14ac:dyDescent="0.25">
      <c r="A9" s="24" t="s">
        <v>0</v>
      </c>
      <c r="B9" s="29" t="s">
        <v>0</v>
      </c>
      <c r="C9" s="29" t="s">
        <v>0</v>
      </c>
      <c r="D9" s="46" t="str">
        <f t="shared" si="3"/>
        <v xml:space="preserve"> </v>
      </c>
      <c r="E9" s="29" t="s">
        <v>0</v>
      </c>
      <c r="F9" s="29" t="s">
        <v>0</v>
      </c>
      <c r="G9" s="46" t="str">
        <f t="shared" si="4"/>
        <v xml:space="preserve"> </v>
      </c>
      <c r="H9" s="46" t="str">
        <f t="shared" si="0"/>
        <v xml:space="preserve"> </v>
      </c>
      <c r="I9" s="46" t="str">
        <f t="shared" si="1"/>
        <v xml:space="preserve"> </v>
      </c>
      <c r="J9" s="46" t="str">
        <f t="shared" si="2"/>
        <v xml:space="preserve"> </v>
      </c>
      <c r="K9" s="25"/>
    </row>
    <row r="10" spans="1:11" x14ac:dyDescent="0.25">
      <c r="A10" s="24"/>
      <c r="B10" s="29"/>
      <c r="C10" s="29"/>
      <c r="D10" s="46" t="str">
        <f t="shared" si="3"/>
        <v xml:space="preserve"> </v>
      </c>
      <c r="E10" s="29"/>
      <c r="F10" s="29"/>
      <c r="G10" s="46" t="str">
        <f t="shared" si="4"/>
        <v xml:space="preserve"> </v>
      </c>
      <c r="H10" s="46" t="str">
        <f t="shared" si="0"/>
        <v xml:space="preserve"> </v>
      </c>
      <c r="I10" s="46" t="str">
        <f t="shared" si="1"/>
        <v xml:space="preserve"> </v>
      </c>
      <c r="J10" s="46" t="str">
        <f t="shared" si="2"/>
        <v xml:space="preserve"> </v>
      </c>
      <c r="K10" s="25"/>
    </row>
    <row r="11" spans="1:11" x14ac:dyDescent="0.25">
      <c r="A11" s="24"/>
      <c r="B11" s="29"/>
      <c r="C11" s="29"/>
      <c r="D11" s="46" t="str">
        <f t="shared" si="3"/>
        <v xml:space="preserve"> </v>
      </c>
      <c r="E11" s="29"/>
      <c r="F11" s="29"/>
      <c r="G11" s="46" t="str">
        <f t="shared" si="4"/>
        <v xml:space="preserve"> </v>
      </c>
      <c r="H11" s="46" t="str">
        <f t="shared" si="0"/>
        <v xml:space="preserve"> </v>
      </c>
      <c r="I11" s="46" t="str">
        <f t="shared" si="1"/>
        <v xml:space="preserve"> </v>
      </c>
      <c r="J11" s="46" t="str">
        <f t="shared" si="2"/>
        <v xml:space="preserve"> </v>
      </c>
      <c r="K11" s="25"/>
    </row>
    <row r="12" spans="1:11" x14ac:dyDescent="0.25">
      <c r="A12" s="24"/>
      <c r="B12" s="29"/>
      <c r="C12" s="29"/>
      <c r="D12" s="46" t="str">
        <f t="shared" si="3"/>
        <v xml:space="preserve"> </v>
      </c>
      <c r="E12" s="29"/>
      <c r="F12" s="29"/>
      <c r="G12" s="46" t="str">
        <f t="shared" si="4"/>
        <v xml:space="preserve"> </v>
      </c>
      <c r="H12" s="46" t="str">
        <f t="shared" si="0"/>
        <v xml:space="preserve"> </v>
      </c>
      <c r="I12" s="46" t="str">
        <f t="shared" si="1"/>
        <v xml:space="preserve"> </v>
      </c>
      <c r="J12" s="46" t="str">
        <f t="shared" si="2"/>
        <v xml:space="preserve"> </v>
      </c>
      <c r="K12" s="25"/>
    </row>
    <row r="13" spans="1:11" x14ac:dyDescent="0.25">
      <c r="A13" s="24"/>
      <c r="B13" s="29"/>
      <c r="C13" s="29"/>
      <c r="D13" s="46" t="str">
        <f t="shared" si="3"/>
        <v xml:space="preserve"> </v>
      </c>
      <c r="E13" s="29"/>
      <c r="F13" s="29"/>
      <c r="G13" s="46" t="str">
        <f t="shared" si="4"/>
        <v xml:space="preserve"> </v>
      </c>
      <c r="H13" s="46" t="str">
        <f t="shared" si="0"/>
        <v xml:space="preserve"> </v>
      </c>
      <c r="I13" s="46" t="str">
        <f t="shared" si="1"/>
        <v xml:space="preserve"> </v>
      </c>
      <c r="J13" s="46" t="str">
        <f t="shared" si="2"/>
        <v xml:space="preserve"> </v>
      </c>
      <c r="K13" s="25"/>
    </row>
    <row r="14" spans="1:11" x14ac:dyDescent="0.25">
      <c r="A14" s="24"/>
      <c r="B14" s="29"/>
      <c r="C14" s="29"/>
      <c r="D14" s="46" t="str">
        <f t="shared" si="3"/>
        <v xml:space="preserve"> </v>
      </c>
      <c r="E14" s="29"/>
      <c r="F14" s="29"/>
      <c r="G14" s="46" t="str">
        <f t="shared" si="4"/>
        <v xml:space="preserve"> </v>
      </c>
      <c r="H14" s="46" t="str">
        <f t="shared" si="0"/>
        <v xml:space="preserve"> </v>
      </c>
      <c r="I14" s="46" t="str">
        <f t="shared" si="1"/>
        <v xml:space="preserve"> </v>
      </c>
      <c r="J14" s="46" t="str">
        <f t="shared" si="2"/>
        <v xml:space="preserve"> </v>
      </c>
      <c r="K14" s="25"/>
    </row>
    <row r="15" spans="1:11" ht="13.8" thickBot="1" x14ac:dyDescent="0.3">
      <c r="A15" s="24"/>
      <c r="B15" s="29"/>
      <c r="C15" s="29"/>
      <c r="D15" s="46" t="str">
        <f t="shared" si="3"/>
        <v xml:space="preserve"> </v>
      </c>
      <c r="E15" s="29"/>
      <c r="F15" s="29"/>
      <c r="G15" s="46" t="str">
        <f t="shared" si="4"/>
        <v xml:space="preserve"> </v>
      </c>
      <c r="H15" s="46" t="str">
        <f t="shared" si="0"/>
        <v xml:space="preserve"> </v>
      </c>
      <c r="I15" s="46" t="str">
        <f t="shared" si="1"/>
        <v xml:space="preserve"> </v>
      </c>
      <c r="J15" s="46" t="str">
        <f t="shared" si="2"/>
        <v xml:space="preserve"> </v>
      </c>
      <c r="K15" s="25"/>
    </row>
    <row r="16" spans="1:11" ht="13.8" thickBot="1" x14ac:dyDescent="0.3">
      <c r="A16" s="12" t="s">
        <v>18</v>
      </c>
      <c r="B16" s="30"/>
      <c r="C16" s="30"/>
      <c r="D16" s="30"/>
      <c r="E16" s="30"/>
      <c r="F16" s="30"/>
      <c r="G16" s="30"/>
      <c r="H16" s="30">
        <f>SUM(H5:H15)</f>
        <v>0</v>
      </c>
      <c r="I16" s="30">
        <f>SUM(I5:I15)</f>
        <v>0</v>
      </c>
      <c r="J16" s="30">
        <f>SUM(J5:J15)</f>
        <v>0</v>
      </c>
      <c r="K16" s="27"/>
    </row>
    <row r="17" spans="1:11" x14ac:dyDescent="0.25">
      <c r="A17" s="20"/>
      <c r="B17" s="21"/>
      <c r="C17" s="21"/>
      <c r="D17" s="21"/>
      <c r="E17" s="21"/>
      <c r="F17" s="21"/>
      <c r="G17" s="21"/>
      <c r="H17" s="21"/>
      <c r="I17" s="21"/>
      <c r="J17" s="21"/>
      <c r="K17" s="20"/>
    </row>
    <row r="18" spans="1:11" x14ac:dyDescent="0.25">
      <c r="A18" s="20"/>
      <c r="B18" s="21"/>
      <c r="C18" s="21"/>
      <c r="D18" s="21"/>
      <c r="E18" s="21"/>
      <c r="F18" s="21"/>
      <c r="G18" s="21"/>
      <c r="H18" s="21"/>
      <c r="I18" s="21"/>
      <c r="J18" s="21"/>
      <c r="K18" s="20"/>
    </row>
    <row r="19" spans="1:11" x14ac:dyDescent="0.25">
      <c r="A19" s="20"/>
      <c r="B19" s="21"/>
      <c r="C19" s="21"/>
      <c r="D19" s="21"/>
      <c r="E19" s="21"/>
      <c r="F19" s="21"/>
      <c r="G19" s="21"/>
      <c r="H19" s="21"/>
      <c r="J19" s="21"/>
      <c r="K19" s="20"/>
    </row>
    <row r="20" spans="1:11" x14ac:dyDescent="0.25">
      <c r="A20" s="20"/>
      <c r="B20" s="21"/>
      <c r="C20" s="21"/>
      <c r="D20" s="21"/>
      <c r="E20" s="21"/>
      <c r="F20" s="21"/>
      <c r="G20" s="21"/>
      <c r="H20" s="21"/>
      <c r="J20" s="21"/>
      <c r="K20" s="20"/>
    </row>
    <row r="21" spans="1:11" x14ac:dyDescent="0.25">
      <c r="A21" s="20"/>
      <c r="B21" s="21"/>
      <c r="C21" s="21"/>
      <c r="D21" s="21"/>
      <c r="E21" s="21"/>
      <c r="F21" s="21"/>
      <c r="G21" s="21"/>
      <c r="H21" s="21"/>
      <c r="J21" s="21"/>
      <c r="K21" s="20"/>
    </row>
    <row r="22" spans="1:11" x14ac:dyDescent="0.25">
      <c r="A22" s="20"/>
      <c r="B22" s="21"/>
      <c r="C22" s="21"/>
      <c r="D22" s="21"/>
      <c r="E22" s="21"/>
      <c r="F22" s="21"/>
      <c r="H22" s="21"/>
      <c r="J22" s="21"/>
      <c r="K22" s="20"/>
    </row>
    <row r="23" spans="1:11" x14ac:dyDescent="0.25">
      <c r="A23" s="20"/>
      <c r="B23" s="21"/>
      <c r="C23" s="21"/>
      <c r="D23" s="21"/>
      <c r="E23" s="21"/>
      <c r="F23" s="21"/>
      <c r="G23" s="21"/>
      <c r="H23" s="21"/>
      <c r="J23" s="21"/>
      <c r="K23" s="20"/>
    </row>
    <row r="24" spans="1:11" x14ac:dyDescent="0.25">
      <c r="A24" s="20"/>
      <c r="B24" s="21"/>
      <c r="C24" s="21"/>
      <c r="D24" s="21"/>
      <c r="E24" s="21"/>
      <c r="F24" s="21"/>
      <c r="G24" s="21"/>
      <c r="H24" s="21"/>
      <c r="J24" s="21"/>
      <c r="K24" s="20"/>
    </row>
    <row r="25" spans="1:11" x14ac:dyDescent="0.25">
      <c r="A25" s="20"/>
      <c r="B25" s="21"/>
      <c r="C25" s="21"/>
      <c r="D25" s="21"/>
      <c r="E25" s="21"/>
      <c r="F25" s="21"/>
      <c r="G25" s="21"/>
      <c r="H25" s="21"/>
      <c r="J25" s="21"/>
      <c r="K25" s="20"/>
    </row>
  </sheetData>
  <mergeCells count="6">
    <mergeCell ref="B3:D3"/>
    <mergeCell ref="E3:G3"/>
    <mergeCell ref="H3:J3"/>
    <mergeCell ref="A1:K1"/>
    <mergeCell ref="K3:K4"/>
    <mergeCell ref="A3:A4"/>
  </mergeCells>
  <pageMargins left="0.75" right="0.75" top="1" bottom="1" header="0.5" footer="0.5"/>
  <pageSetup scale="97" orientation="landscape" horizontalDpi="300" verticalDpi="300" r:id="rId1"/>
  <headerFooter alignWithMargins="0">
    <oddHeader>&amp;A</oddHeader>
    <oddFooter>Page &amp;P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pageSetUpPr fitToPage="1"/>
  </sheetPr>
  <dimension ref="A1:F28"/>
  <sheetViews>
    <sheetView showGridLines="0" zoomScaleNormal="100" workbookViewId="0">
      <selection activeCell="F22" sqref="F22"/>
    </sheetView>
  </sheetViews>
  <sheetFormatPr baseColWidth="10" defaultRowHeight="13.2" x14ac:dyDescent="0.25"/>
  <cols>
    <col min="1" max="1" width="25.6640625" customWidth="1"/>
    <col min="2" max="2" width="12.6640625" style="1" customWidth="1"/>
    <col min="3" max="3" width="9.88671875" style="1" customWidth="1"/>
    <col min="4" max="4" width="6.6640625" style="1" customWidth="1"/>
    <col min="5" max="6" width="12.6640625" style="1" customWidth="1"/>
    <col min="7" max="256" width="8.88671875" customWidth="1"/>
  </cols>
  <sheetData>
    <row r="1" spans="1:6" s="20" customFormat="1" ht="40.200000000000003" customHeight="1" thickBot="1" x14ac:dyDescent="0.3">
      <c r="A1" s="146" t="s">
        <v>70</v>
      </c>
      <c r="B1" s="147"/>
      <c r="C1" s="147"/>
      <c r="D1" s="147"/>
      <c r="E1" s="147"/>
      <c r="F1" s="148"/>
    </row>
    <row r="2" spans="1:6" ht="27" customHeight="1" thickBot="1" x14ac:dyDescent="0.3">
      <c r="A2" s="17"/>
      <c r="B2"/>
      <c r="C2"/>
      <c r="D2"/>
      <c r="E2"/>
      <c r="F2" s="17"/>
    </row>
    <row r="3" spans="1:6" ht="27" thickBot="1" x14ac:dyDescent="0.3">
      <c r="A3" s="68" t="s">
        <v>45</v>
      </c>
      <c r="B3" s="69" t="s">
        <v>42</v>
      </c>
      <c r="C3" s="70" t="s">
        <v>90</v>
      </c>
      <c r="D3" s="71" t="s">
        <v>43</v>
      </c>
      <c r="E3" s="72" t="s">
        <v>44</v>
      </c>
      <c r="F3" s="72" t="s">
        <v>15</v>
      </c>
    </row>
    <row r="4" spans="1:6" x14ac:dyDescent="0.25">
      <c r="A4" s="166" t="s">
        <v>46</v>
      </c>
      <c r="B4" s="73" t="s">
        <v>50</v>
      </c>
      <c r="C4" s="74">
        <f>'2-Archivos Lógicos Internos'!$D$17</f>
        <v>0</v>
      </c>
      <c r="D4" s="75">
        <v>7</v>
      </c>
      <c r="E4" s="74">
        <f>C4*D4</f>
        <v>0</v>
      </c>
      <c r="F4" s="76"/>
    </row>
    <row r="5" spans="1:6" x14ac:dyDescent="0.25">
      <c r="A5" s="167"/>
      <c r="B5" s="77" t="s">
        <v>51</v>
      </c>
      <c r="C5" s="78">
        <f>'2-Archivos Lógicos Internos'!$E$17</f>
        <v>0</v>
      </c>
      <c r="D5" s="79">
        <v>10</v>
      </c>
      <c r="E5" s="78">
        <f t="shared" ref="E5:E18" si="0">C5*D5</f>
        <v>0</v>
      </c>
      <c r="F5" s="80"/>
    </row>
    <row r="6" spans="1:6" ht="13.8" thickBot="1" x14ac:dyDescent="0.3">
      <c r="A6" s="168"/>
      <c r="B6" s="77" t="s">
        <v>52</v>
      </c>
      <c r="C6" s="78">
        <f>'2-Archivos Lógicos Internos'!$F$17</f>
        <v>0</v>
      </c>
      <c r="D6" s="79">
        <v>15</v>
      </c>
      <c r="E6" s="78">
        <f t="shared" si="0"/>
        <v>0</v>
      </c>
      <c r="F6" s="81" t="str">
        <f>IF($E$19=0," ",SUM(E4:E6)/$E$19)</f>
        <v xml:space="preserve"> </v>
      </c>
    </row>
    <row r="7" spans="1:6" x14ac:dyDescent="0.25">
      <c r="A7" s="166" t="s">
        <v>91</v>
      </c>
      <c r="B7" s="73" t="s">
        <v>50</v>
      </c>
      <c r="C7" s="74">
        <f>'3-Archivos de Interfaz Externa'!$D$17</f>
        <v>0</v>
      </c>
      <c r="D7" s="75">
        <v>5</v>
      </c>
      <c r="E7" s="74">
        <f t="shared" si="0"/>
        <v>0</v>
      </c>
      <c r="F7" s="76"/>
    </row>
    <row r="8" spans="1:6" x14ac:dyDescent="0.25">
      <c r="A8" s="167"/>
      <c r="B8" s="77" t="s">
        <v>51</v>
      </c>
      <c r="C8" s="78">
        <f>'3-Archivos de Interfaz Externa'!$E$17</f>
        <v>0</v>
      </c>
      <c r="D8" s="79">
        <v>7</v>
      </c>
      <c r="E8" s="78">
        <f t="shared" si="0"/>
        <v>0</v>
      </c>
      <c r="F8" s="80"/>
    </row>
    <row r="9" spans="1:6" ht="13.8" thickBot="1" x14ac:dyDescent="0.3">
      <c r="A9" s="168"/>
      <c r="B9" s="77" t="s">
        <v>52</v>
      </c>
      <c r="C9" s="78">
        <f>'3-Archivos de Interfaz Externa'!$F$17</f>
        <v>0</v>
      </c>
      <c r="D9" s="79">
        <v>10</v>
      </c>
      <c r="E9" s="78">
        <f t="shared" si="0"/>
        <v>0</v>
      </c>
      <c r="F9" s="81" t="str">
        <f>IF($E$19=0," ",SUM(E7:E9)/$E$19)</f>
        <v xml:space="preserve"> </v>
      </c>
    </row>
    <row r="10" spans="1:6" x14ac:dyDescent="0.25">
      <c r="A10" s="166" t="s">
        <v>47</v>
      </c>
      <c r="B10" s="73" t="s">
        <v>50</v>
      </c>
      <c r="C10" s="74">
        <f>'4-Entradas Externas'!$D$19</f>
        <v>0</v>
      </c>
      <c r="D10" s="75">
        <v>3</v>
      </c>
      <c r="E10" s="74">
        <f t="shared" si="0"/>
        <v>0</v>
      </c>
      <c r="F10" s="76"/>
    </row>
    <row r="11" spans="1:6" x14ac:dyDescent="0.25">
      <c r="A11" s="167"/>
      <c r="B11" s="77" t="s">
        <v>51</v>
      </c>
      <c r="C11" s="78">
        <f>'4-Entradas Externas'!$E$19</f>
        <v>0</v>
      </c>
      <c r="D11" s="79">
        <v>4</v>
      </c>
      <c r="E11" s="78">
        <f t="shared" si="0"/>
        <v>0</v>
      </c>
      <c r="F11" s="80"/>
    </row>
    <row r="12" spans="1:6" ht="13.8" thickBot="1" x14ac:dyDescent="0.3">
      <c r="A12" s="168"/>
      <c r="B12" s="77" t="s">
        <v>52</v>
      </c>
      <c r="C12" s="78">
        <f>'4-Entradas Externas'!$F$19</f>
        <v>0</v>
      </c>
      <c r="D12" s="79">
        <v>6</v>
      </c>
      <c r="E12" s="78">
        <f t="shared" si="0"/>
        <v>0</v>
      </c>
      <c r="F12" s="81" t="str">
        <f>IF($E$19=0," ",SUM(E10:E12)/$E$19)</f>
        <v xml:space="preserve"> </v>
      </c>
    </row>
    <row r="13" spans="1:6" x14ac:dyDescent="0.25">
      <c r="A13" s="166" t="s">
        <v>48</v>
      </c>
      <c r="B13" s="73" t="s">
        <v>50</v>
      </c>
      <c r="C13" s="74">
        <f>'5-Salidas Externas'!$D$17</f>
        <v>0</v>
      </c>
      <c r="D13" s="75">
        <v>4</v>
      </c>
      <c r="E13" s="74">
        <f t="shared" si="0"/>
        <v>0</v>
      </c>
      <c r="F13" s="76"/>
    </row>
    <row r="14" spans="1:6" x14ac:dyDescent="0.25">
      <c r="A14" s="167"/>
      <c r="B14" s="77" t="s">
        <v>51</v>
      </c>
      <c r="C14" s="78">
        <f>'5-Salidas Externas'!$E$17</f>
        <v>0</v>
      </c>
      <c r="D14" s="79">
        <v>5</v>
      </c>
      <c r="E14" s="78">
        <f t="shared" si="0"/>
        <v>0</v>
      </c>
      <c r="F14" s="80"/>
    </row>
    <row r="15" spans="1:6" ht="13.8" thickBot="1" x14ac:dyDescent="0.3">
      <c r="A15" s="168"/>
      <c r="B15" s="77" t="s">
        <v>52</v>
      </c>
      <c r="C15" s="78">
        <f>'5-Salidas Externas'!$F$17</f>
        <v>0</v>
      </c>
      <c r="D15" s="79">
        <v>7</v>
      </c>
      <c r="E15" s="78">
        <f t="shared" si="0"/>
        <v>0</v>
      </c>
      <c r="F15" s="81" t="str">
        <f>IF($E$19=0," ",SUM(E13:E15)/$E$19)</f>
        <v xml:space="preserve"> </v>
      </c>
    </row>
    <row r="16" spans="1:6" x14ac:dyDescent="0.25">
      <c r="A16" s="166" t="s">
        <v>49</v>
      </c>
      <c r="B16" s="73" t="s">
        <v>50</v>
      </c>
      <c r="C16" s="74">
        <f>'6-Consultas externas'!$H$16</f>
        <v>0</v>
      </c>
      <c r="D16" s="75">
        <v>3</v>
      </c>
      <c r="E16" s="74">
        <f t="shared" si="0"/>
        <v>0</v>
      </c>
      <c r="F16" s="76"/>
    </row>
    <row r="17" spans="1:6" x14ac:dyDescent="0.25">
      <c r="A17" s="167"/>
      <c r="B17" s="77" t="s">
        <v>51</v>
      </c>
      <c r="C17" s="78">
        <f>'6-Consultas externas'!$I$16</f>
        <v>0</v>
      </c>
      <c r="D17" s="79">
        <v>4</v>
      </c>
      <c r="E17" s="78">
        <f t="shared" si="0"/>
        <v>0</v>
      </c>
      <c r="F17" s="80"/>
    </row>
    <row r="18" spans="1:6" ht="13.8" thickBot="1" x14ac:dyDescent="0.3">
      <c r="A18" s="168"/>
      <c r="B18" s="77" t="s">
        <v>52</v>
      </c>
      <c r="C18" s="78">
        <f>'6-Consultas externas'!$J$16</f>
        <v>0</v>
      </c>
      <c r="D18" s="79">
        <v>6</v>
      </c>
      <c r="E18" s="78">
        <f t="shared" si="0"/>
        <v>0</v>
      </c>
      <c r="F18" s="81" t="str">
        <f>IF($E$19=0," ",SUM(E16:E18)/$E$19)</f>
        <v xml:space="preserve"> </v>
      </c>
    </row>
    <row r="19" spans="1:6" ht="17.399999999999999" customHeight="1" thickBot="1" x14ac:dyDescent="0.3">
      <c r="A19" s="163" t="s">
        <v>53</v>
      </c>
      <c r="B19" s="164"/>
      <c r="C19" s="164"/>
      <c r="D19" s="165"/>
      <c r="E19" s="18">
        <f>SUM(E4:E18)</f>
        <v>0</v>
      </c>
      <c r="F19" s="19">
        <f>SUM(F4:F18)</f>
        <v>0</v>
      </c>
    </row>
    <row r="20" spans="1:6" x14ac:dyDescent="0.25">
      <c r="B20"/>
      <c r="C20"/>
      <c r="D20"/>
      <c r="E20"/>
      <c r="F20"/>
    </row>
    <row r="21" spans="1:6" x14ac:dyDescent="0.25">
      <c r="B21"/>
      <c r="C21"/>
      <c r="D21"/>
      <c r="E21"/>
      <c r="F21"/>
    </row>
    <row r="22" spans="1:6" x14ac:dyDescent="0.25">
      <c r="B22"/>
      <c r="C22"/>
      <c r="D22"/>
      <c r="E22"/>
      <c r="F22"/>
    </row>
    <row r="23" spans="1:6" x14ac:dyDescent="0.25">
      <c r="B23"/>
      <c r="C23"/>
      <c r="D23"/>
      <c r="E23"/>
      <c r="F23"/>
    </row>
    <row r="24" spans="1:6" x14ac:dyDescent="0.25">
      <c r="B24"/>
      <c r="C24"/>
      <c r="D24"/>
      <c r="E24"/>
      <c r="F24"/>
    </row>
    <row r="25" spans="1:6" x14ac:dyDescent="0.25">
      <c r="B25"/>
      <c r="C25"/>
      <c r="D25"/>
      <c r="E25"/>
      <c r="F25"/>
    </row>
    <row r="26" spans="1:6" x14ac:dyDescent="0.25">
      <c r="B26"/>
      <c r="C26"/>
      <c r="D26"/>
      <c r="E26"/>
      <c r="F26"/>
    </row>
    <row r="27" spans="1:6" x14ac:dyDescent="0.25">
      <c r="A27" s="20"/>
      <c r="B27" s="21"/>
      <c r="C27" s="21"/>
      <c r="D27" s="21"/>
      <c r="E27" s="21"/>
      <c r="F27" s="21"/>
    </row>
    <row r="28" spans="1:6" x14ac:dyDescent="0.25">
      <c r="A28" s="20"/>
      <c r="B28" s="21"/>
      <c r="C28" s="21"/>
      <c r="D28" s="21"/>
      <c r="E28" s="21"/>
      <c r="F28" s="21"/>
    </row>
  </sheetData>
  <mergeCells count="7">
    <mergeCell ref="A19:D19"/>
    <mergeCell ref="A1:F1"/>
    <mergeCell ref="A4:A6"/>
    <mergeCell ref="A7:A9"/>
    <mergeCell ref="A10:A12"/>
    <mergeCell ref="A13:A15"/>
    <mergeCell ref="A16:A18"/>
  </mergeCells>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16"/>
  <sheetViews>
    <sheetView showGridLines="0" zoomScale="115" zoomScaleNormal="115" workbookViewId="0">
      <selection activeCell="B6" sqref="B6"/>
    </sheetView>
  </sheetViews>
  <sheetFormatPr baseColWidth="10" defaultRowHeight="13.2" x14ac:dyDescent="0.25"/>
  <cols>
    <col min="1" max="1" width="41" customWidth="1"/>
    <col min="2" max="2" width="9.109375" style="9" customWidth="1"/>
    <col min="3" max="3" width="34.109375" customWidth="1"/>
    <col min="4" max="256" width="8.88671875" customWidth="1"/>
  </cols>
  <sheetData>
    <row r="1" spans="1:3" ht="13.8" thickBot="1" x14ac:dyDescent="0.3">
      <c r="B1"/>
    </row>
    <row r="2" spans="1:3" ht="16.2" thickBot="1" x14ac:dyDescent="0.35">
      <c r="A2" s="169" t="s">
        <v>108</v>
      </c>
      <c r="B2" s="170"/>
      <c r="C2" s="171"/>
    </row>
    <row r="3" spans="1:3" x14ac:dyDescent="0.25">
      <c r="A3" s="37" t="s">
        <v>75</v>
      </c>
      <c r="B3" s="2" t="str">
        <f>IF('7-Puntos de Función no Ajustado'!E19=0," ",'7-Puntos de Función no Ajustado'!E19)</f>
        <v xml:space="preserve"> </v>
      </c>
      <c r="C3" s="3" t="s">
        <v>24</v>
      </c>
    </row>
    <row r="4" spans="1:3" x14ac:dyDescent="0.25">
      <c r="A4" s="38" t="s">
        <v>83</v>
      </c>
      <c r="B4" s="4" t="str">
        <f>IF('1-Factor de Ajuste de Valor'!C19=" "," ",'1-Factor de Ajuste de Valor'!C19)</f>
        <v xml:space="preserve"> </v>
      </c>
      <c r="C4" s="5" t="s">
        <v>25</v>
      </c>
    </row>
    <row r="5" spans="1:3" x14ac:dyDescent="0.25">
      <c r="A5" s="38" t="s">
        <v>74</v>
      </c>
      <c r="B5" s="6" t="str">
        <f>IF(OR(B3=" ",B4=" ")," ",B3*B4)</f>
        <v xml:space="preserve"> </v>
      </c>
      <c r="C5" s="7" t="s">
        <v>79</v>
      </c>
    </row>
    <row r="6" spans="1:3" x14ac:dyDescent="0.25">
      <c r="A6" s="38" t="s">
        <v>76</v>
      </c>
      <c r="B6" s="8"/>
      <c r="C6" s="5" t="s">
        <v>26</v>
      </c>
    </row>
    <row r="7" spans="1:3" x14ac:dyDescent="0.25">
      <c r="A7" s="39" t="s">
        <v>77</v>
      </c>
      <c r="B7" s="41" t="str">
        <f>IF(OR(B5=" ",B6=" ")," ",B5*B6)</f>
        <v xml:space="preserve"> </v>
      </c>
      <c r="C7" s="40" t="s">
        <v>78</v>
      </c>
    </row>
    <row r="8" spans="1:3" x14ac:dyDescent="0.25">
      <c r="B8"/>
    </row>
    <row r="9" spans="1:3" x14ac:dyDescent="0.25">
      <c r="B9"/>
    </row>
    <row r="10" spans="1:3" x14ac:dyDescent="0.25">
      <c r="B10"/>
    </row>
    <row r="11" spans="1:3" x14ac:dyDescent="0.25">
      <c r="B11"/>
    </row>
    <row r="12" spans="1:3" x14ac:dyDescent="0.25">
      <c r="B12"/>
    </row>
    <row r="13" spans="1:3" x14ac:dyDescent="0.25">
      <c r="B13"/>
    </row>
    <row r="14" spans="1:3" x14ac:dyDescent="0.25">
      <c r="B14"/>
    </row>
    <row r="15" spans="1:3" x14ac:dyDescent="0.25">
      <c r="B15"/>
    </row>
    <row r="16" spans="1:3" x14ac:dyDescent="0.25">
      <c r="B16"/>
    </row>
  </sheetData>
  <mergeCells count="1">
    <mergeCell ref="A2:C2"/>
  </mergeCells>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11EDC-E746-4A71-9CF4-6260A3EE834A}">
  <sheetPr>
    <pageSetUpPr fitToPage="1"/>
  </sheetPr>
  <dimension ref="A3:G46"/>
  <sheetViews>
    <sheetView showGridLines="0" tabSelected="1" topLeftCell="A8" workbookViewId="0">
      <selection activeCell="K19" sqref="K19"/>
    </sheetView>
  </sheetViews>
  <sheetFormatPr baseColWidth="10" defaultRowHeight="13.2" x14ac:dyDescent="0.25"/>
  <cols>
    <col min="6" max="6" width="12" customWidth="1"/>
    <col min="7" max="7" width="14.88671875" customWidth="1"/>
  </cols>
  <sheetData>
    <row r="3" spans="1:7" ht="15.6" x14ac:dyDescent="0.25">
      <c r="A3" s="173" t="s">
        <v>109</v>
      </c>
      <c r="B3" s="173"/>
      <c r="C3" s="173"/>
      <c r="D3" s="173"/>
      <c r="E3" s="173"/>
      <c r="F3" s="173"/>
    </row>
    <row r="4" spans="1:7" x14ac:dyDescent="0.25">
      <c r="A4" s="174" t="s">
        <v>110</v>
      </c>
      <c r="B4" s="174"/>
      <c r="C4" s="174"/>
      <c r="D4" s="94" t="s">
        <v>111</v>
      </c>
      <c r="E4" s="95" t="s">
        <v>112</v>
      </c>
      <c r="F4" s="94" t="s">
        <v>113</v>
      </c>
    </row>
    <row r="5" spans="1:7" ht="13.8" x14ac:dyDescent="0.25">
      <c r="A5" s="172" t="s">
        <v>114</v>
      </c>
      <c r="B5" s="172"/>
      <c r="C5" s="172"/>
      <c r="D5" s="96" t="e">
        <f>D7*E5</f>
        <v>#VALUE!</v>
      </c>
      <c r="E5" s="97">
        <v>0.2</v>
      </c>
      <c r="F5" s="98" t="e">
        <f>D5/$C13</f>
        <v>#VALUE!</v>
      </c>
    </row>
    <row r="6" spans="1:7" ht="13.8" x14ac:dyDescent="0.25">
      <c r="A6" s="172" t="s">
        <v>115</v>
      </c>
      <c r="B6" s="172"/>
      <c r="C6" s="172"/>
      <c r="D6" s="96" t="e">
        <f>D7*E6</f>
        <v>#VALUE!</v>
      </c>
      <c r="E6" s="97">
        <v>0.2</v>
      </c>
      <c r="F6" s="98" t="e">
        <f>D6/$C13</f>
        <v>#VALUE!</v>
      </c>
    </row>
    <row r="7" spans="1:7" ht="13.8" x14ac:dyDescent="0.25">
      <c r="A7" s="172" t="s">
        <v>116</v>
      </c>
      <c r="B7" s="172"/>
      <c r="C7" s="172"/>
      <c r="D7" s="96" t="str">
        <f>'8-Resumen estimación de tamaño'!B7</f>
        <v xml:space="preserve"> </v>
      </c>
      <c r="E7" s="97">
        <v>0.4</v>
      </c>
      <c r="F7" s="98" t="e">
        <f>D7/$C13</f>
        <v>#VALUE!</v>
      </c>
    </row>
    <row r="8" spans="1:7" ht="13.8" x14ac:dyDescent="0.25">
      <c r="A8" s="172" t="s">
        <v>117</v>
      </c>
      <c r="B8" s="172"/>
      <c r="C8" s="172"/>
      <c r="D8" s="96" t="e">
        <f>D7*E8</f>
        <v>#VALUE!</v>
      </c>
      <c r="E8" s="97">
        <v>0.2</v>
      </c>
      <c r="F8" s="98" t="e">
        <f>D8/$C13</f>
        <v>#VALUE!</v>
      </c>
    </row>
    <row r="9" spans="1:7" x14ac:dyDescent="0.25">
      <c r="A9" s="99"/>
      <c r="B9" s="99"/>
      <c r="C9" s="99"/>
      <c r="D9" s="100"/>
      <c r="E9" s="101"/>
      <c r="F9" s="102"/>
    </row>
    <row r="10" spans="1:7" ht="13.8" x14ac:dyDescent="0.25">
      <c r="A10" s="175" t="s">
        <v>118</v>
      </c>
      <c r="B10" s="175"/>
      <c r="C10" s="175"/>
      <c r="D10" s="96" t="e">
        <f>SUM(D5:D8)</f>
        <v>#VALUE!</v>
      </c>
      <c r="E10" s="103">
        <f>SUM(E5:E8)</f>
        <v>1</v>
      </c>
      <c r="F10" s="98" t="e">
        <f>SUM(F5:F8)</f>
        <v>#VALUE!</v>
      </c>
      <c r="G10" s="42"/>
    </row>
    <row r="11" spans="1:7" x14ac:dyDescent="0.25">
      <c r="A11" s="99"/>
      <c r="B11" s="99"/>
      <c r="C11" s="99"/>
      <c r="D11" s="100"/>
      <c r="E11" s="100"/>
      <c r="F11" s="102"/>
    </row>
    <row r="12" spans="1:7" x14ac:dyDescent="0.25">
      <c r="A12" s="176" t="s">
        <v>84</v>
      </c>
      <c r="B12" s="176"/>
      <c r="C12" s="176" t="s">
        <v>119</v>
      </c>
      <c r="D12" s="176"/>
      <c r="E12" s="177" t="s">
        <v>120</v>
      </c>
      <c r="F12" s="177"/>
      <c r="G12" s="104" t="s">
        <v>121</v>
      </c>
    </row>
    <row r="13" spans="1:7" x14ac:dyDescent="0.25">
      <c r="A13" s="178">
        <v>21.5</v>
      </c>
      <c r="B13" s="178"/>
      <c r="C13" s="178"/>
      <c r="D13" s="178"/>
      <c r="E13" s="179" t="e">
        <f>ROUNDUP(F10,0)</f>
        <v>#VALUE!</v>
      </c>
      <c r="F13" s="180"/>
      <c r="G13" s="105" t="e">
        <f>ROUNDUP((F10/A13),0)</f>
        <v>#VALUE!</v>
      </c>
    </row>
    <row r="14" spans="1:7" x14ac:dyDescent="0.25">
      <c r="A14" s="106"/>
      <c r="B14" s="106"/>
      <c r="C14" s="106"/>
      <c r="D14" s="106"/>
      <c r="E14" s="107"/>
      <c r="F14" s="107"/>
    </row>
    <row r="15" spans="1:7" ht="15.6" x14ac:dyDescent="0.3">
      <c r="A15" s="182" t="s">
        <v>122</v>
      </c>
      <c r="B15" s="183"/>
      <c r="C15" s="184"/>
      <c r="D15" s="108"/>
      <c r="E15" s="109"/>
      <c r="F15" s="109"/>
      <c r="G15" s="109"/>
    </row>
    <row r="16" spans="1:7" ht="22.8" x14ac:dyDescent="0.3">
      <c r="A16" s="185" t="s">
        <v>123</v>
      </c>
      <c r="B16" s="186"/>
      <c r="C16" s="110" t="s">
        <v>86</v>
      </c>
      <c r="D16" s="109"/>
      <c r="E16" s="109"/>
      <c r="F16" s="109"/>
      <c r="G16" s="109"/>
    </row>
    <row r="17" spans="1:7" ht="14.4" x14ac:dyDescent="0.3">
      <c r="A17" s="187" t="s">
        <v>124</v>
      </c>
      <c r="B17" s="187"/>
      <c r="C17" s="111">
        <v>100</v>
      </c>
      <c r="D17" s="109"/>
      <c r="E17" s="109"/>
      <c r="F17" s="109"/>
      <c r="G17" s="109"/>
    </row>
    <row r="18" spans="1:7" ht="14.4" x14ac:dyDescent="0.3">
      <c r="A18" s="187" t="s">
        <v>125</v>
      </c>
      <c r="B18" s="187" t="s">
        <v>126</v>
      </c>
      <c r="C18" s="111">
        <v>100</v>
      </c>
      <c r="D18" s="109"/>
      <c r="E18" s="109"/>
      <c r="F18" s="109"/>
      <c r="G18" s="109"/>
    </row>
    <row r="19" spans="1:7" ht="14.4" x14ac:dyDescent="0.3">
      <c r="A19" s="187" t="s">
        <v>23</v>
      </c>
      <c r="B19" s="187" t="s">
        <v>127</v>
      </c>
      <c r="C19" s="111">
        <v>100</v>
      </c>
      <c r="D19" s="109"/>
      <c r="E19" s="109"/>
      <c r="F19" s="112"/>
      <c r="G19" s="112"/>
    </row>
    <row r="20" spans="1:7" ht="14.4" x14ac:dyDescent="0.3">
      <c r="A20" s="187" t="s">
        <v>128</v>
      </c>
      <c r="B20" s="187" t="s">
        <v>129</v>
      </c>
      <c r="C20" s="111">
        <v>100</v>
      </c>
      <c r="D20" s="109"/>
      <c r="E20" s="109"/>
      <c r="F20" s="112"/>
      <c r="G20" s="112"/>
    </row>
    <row r="21" spans="1:7" ht="14.4" x14ac:dyDescent="0.3">
      <c r="A21" s="187" t="s">
        <v>130</v>
      </c>
      <c r="B21" s="187"/>
      <c r="C21" s="111">
        <v>100</v>
      </c>
      <c r="D21" s="109"/>
      <c r="E21" s="109"/>
      <c r="F21" s="112"/>
      <c r="G21" s="112"/>
    </row>
    <row r="22" spans="1:7" ht="14.4" x14ac:dyDescent="0.3">
      <c r="A22" s="187" t="s">
        <v>131</v>
      </c>
      <c r="B22" s="187" t="s">
        <v>132</v>
      </c>
      <c r="C22" s="111">
        <v>100</v>
      </c>
      <c r="D22" s="109"/>
      <c r="E22" s="109"/>
      <c r="F22" s="112"/>
      <c r="G22" s="112"/>
    </row>
    <row r="23" spans="1:7" ht="13.8" x14ac:dyDescent="0.3">
      <c r="A23" s="188" t="s">
        <v>118</v>
      </c>
      <c r="B23" s="189"/>
      <c r="C23" s="124" t="e">
        <f>SUM(C17:C22)*G13</f>
        <v>#VALUE!</v>
      </c>
      <c r="E23" s="108"/>
      <c r="F23" s="108"/>
      <c r="G23" s="112"/>
    </row>
    <row r="24" spans="1:7" ht="13.8" x14ac:dyDescent="0.3">
      <c r="A24" s="112"/>
      <c r="B24" s="112"/>
      <c r="C24" s="112"/>
      <c r="D24" s="108"/>
      <c r="E24" s="108"/>
      <c r="F24" s="108"/>
      <c r="G24" s="108"/>
    </row>
    <row r="25" spans="1:7" ht="15.6" x14ac:dyDescent="0.3">
      <c r="A25" s="190" t="s">
        <v>133</v>
      </c>
      <c r="B25" s="190"/>
      <c r="C25" s="190"/>
      <c r="D25" s="190"/>
      <c r="E25" s="108"/>
      <c r="F25" s="108"/>
      <c r="G25" s="108"/>
    </row>
    <row r="26" spans="1:7" ht="13.8" x14ac:dyDescent="0.3">
      <c r="A26" s="191" t="s">
        <v>134</v>
      </c>
      <c r="B26" s="191"/>
      <c r="C26" s="191"/>
      <c r="D26" s="113" t="s">
        <v>85</v>
      </c>
      <c r="E26" s="108"/>
      <c r="F26" s="108"/>
      <c r="G26" s="108"/>
    </row>
    <row r="27" spans="1:7" ht="13.8" x14ac:dyDescent="0.3">
      <c r="A27" s="181" t="s">
        <v>135</v>
      </c>
      <c r="B27" s="181"/>
      <c r="C27" s="181"/>
      <c r="D27" s="114">
        <v>100</v>
      </c>
      <c r="E27" s="108"/>
      <c r="F27" s="108"/>
      <c r="G27" s="108"/>
    </row>
    <row r="28" spans="1:7" ht="13.8" x14ac:dyDescent="0.3">
      <c r="A28" s="181" t="s">
        <v>136</v>
      </c>
      <c r="B28" s="181"/>
      <c r="C28" s="181"/>
      <c r="D28" s="114">
        <v>100</v>
      </c>
      <c r="E28" s="108"/>
      <c r="F28" s="108"/>
      <c r="G28" s="108"/>
    </row>
    <row r="29" spans="1:7" ht="13.8" x14ac:dyDescent="0.3">
      <c r="A29" s="195" t="s">
        <v>137</v>
      </c>
      <c r="B29" s="196"/>
      <c r="C29" s="197"/>
      <c r="D29" s="114">
        <v>100</v>
      </c>
      <c r="E29" s="108"/>
      <c r="F29" s="108"/>
      <c r="G29" s="108"/>
    </row>
    <row r="30" spans="1:7" ht="13.8" x14ac:dyDescent="0.3">
      <c r="A30" s="181" t="s">
        <v>138</v>
      </c>
      <c r="B30" s="181"/>
      <c r="C30" s="181"/>
      <c r="D30" s="114">
        <v>100</v>
      </c>
      <c r="E30" s="108"/>
      <c r="F30" s="108"/>
      <c r="G30" s="108"/>
    </row>
    <row r="31" spans="1:7" ht="13.8" x14ac:dyDescent="0.3">
      <c r="A31" s="198"/>
      <c r="B31" s="199"/>
      <c r="C31" s="200"/>
      <c r="D31" s="115"/>
      <c r="E31" s="108"/>
      <c r="F31" s="108"/>
      <c r="G31" s="108"/>
    </row>
    <row r="32" spans="1:7" ht="13.8" x14ac:dyDescent="0.3">
      <c r="A32" s="201" t="s">
        <v>118</v>
      </c>
      <c r="B32" s="201"/>
      <c r="C32" s="201"/>
      <c r="D32" s="116">
        <f>SUM(D27:D31)</f>
        <v>400</v>
      </c>
      <c r="E32" s="108"/>
      <c r="F32" s="108"/>
      <c r="G32" s="109"/>
    </row>
    <row r="33" spans="1:7" ht="13.8" x14ac:dyDescent="0.3">
      <c r="A33" s="112"/>
      <c r="B33" s="117"/>
      <c r="C33" s="112"/>
      <c r="D33" s="109"/>
      <c r="E33" s="108"/>
      <c r="F33" s="108"/>
      <c r="G33" s="109"/>
    </row>
    <row r="34" spans="1:7" ht="13.8" x14ac:dyDescent="0.3">
      <c r="B34" s="202" t="s">
        <v>139</v>
      </c>
      <c r="C34" s="202"/>
      <c r="D34" s="118" t="e">
        <f>C23+D32</f>
        <v>#VALUE!</v>
      </c>
      <c r="E34" s="108"/>
      <c r="F34" s="108"/>
      <c r="G34" s="119"/>
    </row>
    <row r="35" spans="1:7" ht="13.8" x14ac:dyDescent="0.3">
      <c r="A35" s="112"/>
      <c r="B35" s="112"/>
      <c r="C35" s="112"/>
      <c r="D35" s="108"/>
      <c r="E35" s="108"/>
      <c r="F35" s="108"/>
      <c r="G35" s="109"/>
    </row>
    <row r="36" spans="1:7" ht="13.8" x14ac:dyDescent="0.3">
      <c r="A36" s="112"/>
      <c r="B36" s="117"/>
      <c r="C36" s="112"/>
      <c r="D36" s="109"/>
      <c r="E36" s="120"/>
      <c r="F36" s="120"/>
      <c r="G36" s="120"/>
    </row>
    <row r="37" spans="1:7" ht="14.4" x14ac:dyDescent="0.3">
      <c r="B37" s="192" t="s">
        <v>114</v>
      </c>
      <c r="C37" s="192"/>
      <c r="D37" s="193" t="s">
        <v>140</v>
      </c>
      <c r="E37" s="194"/>
      <c r="F37" s="194"/>
      <c r="G37" s="194"/>
    </row>
    <row r="38" spans="1:7" ht="13.8" x14ac:dyDescent="0.3">
      <c r="A38" s="112"/>
      <c r="B38" s="112"/>
      <c r="C38" s="112"/>
      <c r="D38" s="194"/>
      <c r="E38" s="194"/>
      <c r="F38" s="194"/>
      <c r="G38" s="194"/>
    </row>
    <row r="39" spans="1:7" ht="13.8" x14ac:dyDescent="0.3">
      <c r="A39" s="112"/>
      <c r="B39" s="112"/>
      <c r="C39" s="112"/>
      <c r="D39" s="194"/>
      <c r="E39" s="194"/>
      <c r="F39" s="194"/>
      <c r="G39" s="194"/>
    </row>
    <row r="40" spans="1:7" ht="13.8" x14ac:dyDescent="0.3">
      <c r="A40" s="112"/>
      <c r="B40" s="112"/>
      <c r="C40" s="112"/>
      <c r="D40" s="194"/>
      <c r="E40" s="194"/>
      <c r="F40" s="194"/>
      <c r="G40" s="194"/>
    </row>
    <row r="41" spans="1:7" ht="13.8" x14ac:dyDescent="0.3">
      <c r="A41" s="112"/>
      <c r="B41" s="112"/>
      <c r="C41" s="112"/>
      <c r="D41" s="194"/>
      <c r="E41" s="194"/>
      <c r="F41" s="194"/>
      <c r="G41" s="194"/>
    </row>
    <row r="42" spans="1:7" ht="13.8" x14ac:dyDescent="0.3">
      <c r="A42" s="112"/>
      <c r="B42" s="112"/>
      <c r="C42" s="112"/>
      <c r="D42" s="194"/>
      <c r="E42" s="194"/>
      <c r="F42" s="194"/>
      <c r="G42" s="194"/>
    </row>
    <row r="43" spans="1:7" ht="13.8" x14ac:dyDescent="0.3">
      <c r="A43" s="112"/>
      <c r="B43" s="112"/>
      <c r="C43" s="112"/>
      <c r="D43" s="194"/>
      <c r="E43" s="194"/>
      <c r="F43" s="194"/>
      <c r="G43" s="194"/>
    </row>
    <row r="44" spans="1:7" ht="13.8" x14ac:dyDescent="0.3">
      <c r="A44" s="112"/>
      <c r="B44" s="112"/>
      <c r="C44" s="112"/>
      <c r="D44" s="194"/>
      <c r="E44" s="194"/>
      <c r="F44" s="194"/>
      <c r="G44" s="194"/>
    </row>
    <row r="45" spans="1:7" ht="13.8" x14ac:dyDescent="0.3">
      <c r="A45" s="112"/>
      <c r="B45" s="112"/>
      <c r="C45" s="112"/>
      <c r="D45" s="194"/>
      <c r="E45" s="194"/>
      <c r="F45" s="194"/>
      <c r="G45" s="194"/>
    </row>
    <row r="46" spans="1:7" ht="13.8" x14ac:dyDescent="0.3">
      <c r="A46" s="112"/>
      <c r="B46" s="112"/>
      <c r="C46" s="112"/>
      <c r="D46" s="194"/>
      <c r="E46" s="194"/>
      <c r="F46" s="194"/>
      <c r="G46" s="194"/>
    </row>
  </sheetData>
  <mergeCells count="33">
    <mergeCell ref="B37:C37"/>
    <mergeCell ref="D37:G46"/>
    <mergeCell ref="A28:C28"/>
    <mergeCell ref="A29:C29"/>
    <mergeCell ref="A30:C30"/>
    <mergeCell ref="A31:C31"/>
    <mergeCell ref="A32:C32"/>
    <mergeCell ref="B34:C34"/>
    <mergeCell ref="A27:C27"/>
    <mergeCell ref="A15:C15"/>
    <mergeCell ref="A16:B16"/>
    <mergeCell ref="A17:B17"/>
    <mergeCell ref="A18:B18"/>
    <mergeCell ref="A19:B19"/>
    <mergeCell ref="A20:B20"/>
    <mergeCell ref="A21:B21"/>
    <mergeCell ref="A22:B22"/>
    <mergeCell ref="A23:B23"/>
    <mergeCell ref="A25:D25"/>
    <mergeCell ref="A26:C26"/>
    <mergeCell ref="A10:C10"/>
    <mergeCell ref="A12:B12"/>
    <mergeCell ref="C12:D12"/>
    <mergeCell ref="E12:F12"/>
    <mergeCell ref="A13:B13"/>
    <mergeCell ref="C13:D13"/>
    <mergeCell ref="E13:F13"/>
    <mergeCell ref="A8:C8"/>
    <mergeCell ref="A3:F3"/>
    <mergeCell ref="A4:C4"/>
    <mergeCell ref="A5:C5"/>
    <mergeCell ref="A6:C6"/>
    <mergeCell ref="A7:C7"/>
  </mergeCells>
  <pageMargins left="0.7" right="0.7" top="0.75" bottom="0.75" header="0.3" footer="0.3"/>
  <pageSetup paperSize="9" orientation="portrait" horizontalDpi="0"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escripci_x00f3_n xmlns="f1020bcf-9500-4749-8c84-b23cf1385772" xsi:nil="true"/>
    <Estado xmlns="f1020bcf-9500-4749-8c84-b23cf1385772" xsi:nil="true"/>
    <TaxCatchAll xmlns="7a0a35da-276e-4c8e-b365-e7c47df80865" xsi:nil="true"/>
    <lcf76f155ced4ddcb4097134ff3c332f xmlns="f1020bcf-9500-4749-8c84-b23cf1385772">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5F79CA91C779E94BAF39074ADA180F65" ma:contentTypeVersion="14" ma:contentTypeDescription="Crear nuevo documento." ma:contentTypeScope="" ma:versionID="d6205b0d1c25ed055490250e5b851106">
  <xsd:schema xmlns:xsd="http://www.w3.org/2001/XMLSchema" xmlns:xs="http://www.w3.org/2001/XMLSchema" xmlns:p="http://schemas.microsoft.com/office/2006/metadata/properties" xmlns:ns2="f1020bcf-9500-4749-8c84-b23cf1385772" xmlns:ns3="7a0a35da-276e-4c8e-b365-e7c47df80865" targetNamespace="http://schemas.microsoft.com/office/2006/metadata/properties" ma:root="true" ma:fieldsID="30a4542a350e85cf4441d679f58bc062" ns2:_="" ns3:_="">
    <xsd:import namespace="f1020bcf-9500-4749-8c84-b23cf1385772"/>
    <xsd:import namespace="7a0a35da-276e-4c8e-b365-e7c47df80865"/>
    <xsd:element name="properties">
      <xsd:complexType>
        <xsd:sequence>
          <xsd:element name="documentManagement">
            <xsd:complexType>
              <xsd:all>
                <xsd:element ref="ns2:MediaServiceMetadata" minOccurs="0"/>
                <xsd:element ref="ns2:MediaServiceFastMetadata" minOccurs="0"/>
                <xsd:element ref="ns2:Descripci_x00f3_n"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Estado"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020bcf-9500-4749-8c84-b23cf13857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Descripci_x00f3_n" ma:index="10" nillable="true" ma:displayName="Descripción" ma:format="Dropdown" ma:internalName="Descripci_x00f3_n">
      <xsd:simpleType>
        <xsd:restriction base="dms:Note">
          <xsd:maxLength value="255"/>
        </xsd:restriction>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7fe8c325-51f2-41db-97de-ec0d1fae0df0"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Estado" ma:index="20" nillable="true" ma:displayName="Estado" ma:description="Fase en el flujo de trabajo de la elaboración de documentos para la PA.&#10;&#10;PA = Practice Area&#10;LA = Lead Appraiser&#10;RI = Revisión interna (miembros del grupo de desarrollo)" ma:format="Dropdown" ma:internalName="Estado">
      <xsd:simpleType>
        <xsd:restriction base="dms:Choice">
          <xsd:enumeration value="Enviado a LA"/>
          <xsd:enumeration value="Aprobada por LA"/>
          <xsd:enumeration value="Con observaciones de LA"/>
          <xsd:enumeration value="INTERNO - En proceso"/>
          <xsd:enumeration value="INTERNO - Aprobado"/>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a0a35da-276e-4c8e-b365-e7c47df80865"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79373c78-d39d-4c83-b4a7-15850042ac80}" ma:internalName="TaxCatchAll" ma:showField="CatchAllData" ma:web="7a0a35da-276e-4c8e-b365-e7c47df8086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AE6493C-13DF-4FF0-9E18-76485A10F7AD}">
  <ds:schemaRefs>
    <ds:schemaRef ds:uri="http://schemas.microsoft.com/office/infopath/2007/PartnerControls"/>
    <ds:schemaRef ds:uri="http://schemas.openxmlformats.org/package/2006/metadata/core-properties"/>
    <ds:schemaRef ds:uri="http://schemas.microsoft.com/office/2006/documentManagement/types"/>
    <ds:schemaRef ds:uri="7a0a35da-276e-4c8e-b365-e7c47df80865"/>
    <ds:schemaRef ds:uri="http://www.w3.org/XML/1998/namespace"/>
    <ds:schemaRef ds:uri="http://purl.org/dc/elements/1.1/"/>
    <ds:schemaRef ds:uri="http://purl.org/dc/dcmitype/"/>
    <ds:schemaRef ds:uri="f1020bcf-9500-4749-8c84-b23cf1385772"/>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2569AE55-CC7F-4D90-B5A0-57C28249B983}"/>
</file>

<file path=customXml/itemProps3.xml><?xml version="1.0" encoding="utf-8"?>
<ds:datastoreItem xmlns:ds="http://schemas.openxmlformats.org/officeDocument/2006/customXml" ds:itemID="{0B3583C0-6DA9-435F-B2D9-A23D9A2361B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Históricos</vt:lpstr>
      <vt:lpstr>1-Factor de Ajuste de Valor</vt:lpstr>
      <vt:lpstr>2-Archivos Lógicos Internos</vt:lpstr>
      <vt:lpstr>3-Archivos de Interfaz Externa</vt:lpstr>
      <vt:lpstr>4-Entradas Externas</vt:lpstr>
      <vt:lpstr>5-Salidas Externas</vt:lpstr>
      <vt:lpstr>6-Consultas externas</vt:lpstr>
      <vt:lpstr>7-Puntos de Función no Ajustado</vt:lpstr>
      <vt:lpstr>8-Resumen estimación de tamaño</vt:lpstr>
      <vt:lpstr>9-Estimado de esfuerzo y costo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Craig Borysowich</dc:creator>
  <cp:lastModifiedBy>Documentación Innevo</cp:lastModifiedBy>
  <cp:lastPrinted>2024-07-12T16:30:05Z</cp:lastPrinted>
  <dcterms:created xsi:type="dcterms:W3CDTF">1996-04-29T18:37:58Z</dcterms:created>
  <dcterms:modified xsi:type="dcterms:W3CDTF">2024-07-12T16:32:49Z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0x0101005F79CA91C779E94BAF39074ADA180F65</vt:lpwstr>
  </property>
  <property fmtid="{D5CDD505-2E9C-101B-9397-08002B2CF9AE}" pid="3" name="MediaServiceImageTags">
    <vt:lpwstr/>
  </property>
</Properties>
</file>