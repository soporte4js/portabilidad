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innevocorp-my.sharepoint.com/personal/mota_innevo_com/Documents/Clientes/4JS/Shared/Estimaciones/Estimación/"/>
    </mc:Choice>
  </mc:AlternateContent>
  <xr:revisionPtr revIDLastSave="201" documentId="8_{D212D148-FEE5-4DB1-BB96-DF35F643434D}" xr6:coauthVersionLast="47" xr6:coauthVersionMax="47" xr10:uidLastSave="{C530FBE0-9B3A-4415-8CA4-BB095E78ADE2}"/>
  <bookViews>
    <workbookView xWindow="3000" yWindow="10720" windowWidth="22560" windowHeight="14160" activeTab="1" xr2:uid="{CBED30A7-3180-4E27-A4FA-B6D9A5855DCE}"/>
  </bookViews>
  <sheets>
    <sheet name="1.-Históricos" sheetId="8" r:id="rId1"/>
    <sheet name="2.-Round 1" sheetId="2" r:id="rId2"/>
    <sheet name="3.-Round 2" sheetId="4" r:id="rId3"/>
    <sheet name="4.-Round 3" sheetId="5" r:id="rId4"/>
    <sheet name="5.-Resumen estimación de tamaño" sheetId="1" r:id="rId5"/>
    <sheet name="6.-Estimación esfuerzo y costo" sheetId="9" r:id="rId6"/>
    <sheet name="Lista" sheetId="3"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B7" i="1"/>
  <c r="B6" i="1"/>
  <c r="H9" i="4" l="1"/>
  <c r="H7" i="4"/>
  <c r="H9" i="2"/>
  <c r="H7" i="2"/>
  <c r="H12" i="5"/>
  <c r="H10" i="5"/>
  <c r="C6" i="1"/>
  <c r="E31" i="9"/>
  <c r="F9" i="9"/>
  <c r="F18" i="5"/>
  <c r="D10" i="1" s="1"/>
  <c r="E18" i="5"/>
  <c r="C10" i="1" s="1"/>
  <c r="D18" i="5"/>
  <c r="B10" i="1" s="1"/>
  <c r="B11" i="1" l="1"/>
  <c r="C19" i="1" s="1"/>
  <c r="E6" i="9" s="1"/>
  <c r="E7" i="9" s="1"/>
  <c r="G7" i="9" s="1"/>
  <c r="E4" i="9" l="1"/>
  <c r="G4" i="9" s="1"/>
  <c r="E5" i="9"/>
  <c r="G5" i="9" s="1"/>
  <c r="G6" i="9"/>
  <c r="G9" i="9" l="1"/>
  <c r="F12" i="9" s="1"/>
  <c r="E9" i="9"/>
  <c r="H12" i="9" l="1"/>
  <c r="D22" i="9" l="1"/>
  <c r="E33" i="9" s="1"/>
  <c r="J17" i="5"/>
  <c r="I17" i="5"/>
  <c r="H17" i="5"/>
  <c r="J16" i="5"/>
  <c r="I16" i="5"/>
  <c r="H16" i="5"/>
  <c r="J15" i="5"/>
  <c r="I15" i="5"/>
  <c r="H15" i="5"/>
  <c r="J14" i="5"/>
  <c r="I14" i="5"/>
  <c r="K14" i="5" s="1"/>
  <c r="H14" i="5"/>
  <c r="J13" i="5"/>
  <c r="I13" i="5"/>
  <c r="H13" i="5"/>
  <c r="J12" i="5"/>
  <c r="I12" i="5"/>
  <c r="K12" i="5" s="1"/>
  <c r="J11" i="5"/>
  <c r="I11" i="5"/>
  <c r="H11" i="5"/>
  <c r="J10" i="5"/>
  <c r="I10" i="5"/>
  <c r="K10" i="5" s="1"/>
  <c r="J9" i="5"/>
  <c r="I9" i="5"/>
  <c r="H9" i="5"/>
  <c r="J8" i="5"/>
  <c r="I8" i="5"/>
  <c r="H8" i="5"/>
  <c r="J14" i="4"/>
  <c r="I14" i="4"/>
  <c r="H14" i="4"/>
  <c r="J13" i="4"/>
  <c r="I13" i="4"/>
  <c r="K13" i="4" s="1"/>
  <c r="H13" i="4"/>
  <c r="J12" i="4"/>
  <c r="I12" i="4"/>
  <c r="H12" i="4"/>
  <c r="K12" i="4" s="1"/>
  <c r="J11" i="4"/>
  <c r="I11" i="4"/>
  <c r="H11" i="4"/>
  <c r="K11" i="4" s="1"/>
  <c r="J10" i="4"/>
  <c r="I10" i="4"/>
  <c r="H10" i="4"/>
  <c r="J9" i="4"/>
  <c r="I9" i="4"/>
  <c r="K9" i="4" s="1"/>
  <c r="J8" i="4"/>
  <c r="I8" i="4"/>
  <c r="H8" i="4"/>
  <c r="J7" i="4"/>
  <c r="I7" i="4"/>
  <c r="K7" i="4" s="1"/>
  <c r="J6" i="4"/>
  <c r="I6" i="4"/>
  <c r="H6" i="4"/>
  <c r="J5" i="4"/>
  <c r="I5" i="4"/>
  <c r="H5" i="4"/>
  <c r="I7" i="2"/>
  <c r="H14" i="2"/>
  <c r="H13" i="2"/>
  <c r="H12" i="2"/>
  <c r="H11" i="2"/>
  <c r="H10" i="2"/>
  <c r="H8" i="2"/>
  <c r="I5" i="2"/>
  <c r="H6" i="2"/>
  <c r="H5" i="2"/>
  <c r="I6" i="2"/>
  <c r="I8" i="2"/>
  <c r="I9" i="2"/>
  <c r="I10" i="2"/>
  <c r="I11" i="2"/>
  <c r="I12" i="2"/>
  <c r="I13" i="2"/>
  <c r="I14" i="2"/>
  <c r="K16" i="5" l="1"/>
  <c r="K17" i="5"/>
  <c r="K15" i="5"/>
  <c r="K13" i="5"/>
  <c r="K11" i="5"/>
  <c r="K9" i="5"/>
  <c r="K8" i="5"/>
  <c r="K8" i="4"/>
  <c r="K6" i="4"/>
  <c r="K14" i="4"/>
  <c r="K10" i="4"/>
  <c r="K5" i="4"/>
  <c r="J14" i="2"/>
  <c r="K14" i="2" s="1"/>
  <c r="J13" i="2"/>
  <c r="K13" i="2" s="1"/>
  <c r="J12" i="2"/>
  <c r="J11" i="2"/>
  <c r="J10" i="2"/>
  <c r="J9" i="2"/>
  <c r="J8" i="2"/>
  <c r="J7" i="2"/>
  <c r="K7" i="2" s="1"/>
  <c r="J6" i="2"/>
  <c r="J5" i="2"/>
  <c r="K5" i="2" s="1"/>
  <c r="K9" i="2" l="1"/>
  <c r="K12" i="2"/>
  <c r="K10" i="2"/>
  <c r="K8" i="2"/>
  <c r="K11" i="2"/>
  <c r="K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B6" authorId="0" shapeId="0" xr:uid="{0A01B4FA-63C7-41A1-B702-96AC18A582E0}">
      <text>
        <r>
          <rPr>
            <sz val="9"/>
            <color indexed="81"/>
            <rFont val="Tahoma"/>
            <family val="2"/>
          </rPr>
          <t>En esta sección se debe hacer referencia a las estimaciones de otros proyectos en base a los cuales se realizó las estimaciones iniciales del proyecto.
Ver la información historica de los proyectos en la carpeta métricas del repositorio del SGC.</t>
        </r>
      </text>
    </comment>
    <comment ref="F8" authorId="0" shapeId="0" xr:uid="{26E89BE4-FEC2-4B31-BA6E-6946AEB3AA0C}">
      <text>
        <r>
          <rPr>
            <sz val="9"/>
            <color indexed="81"/>
            <rFont val="Tahoma"/>
            <family val="2"/>
          </rPr>
          <t>Aspectos que se consideraron del proyecto para la estimación.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Pedro Alatorre</author>
  </authors>
  <commentList>
    <comment ref="M3" authorId="0" shapeId="0" xr:uid="{35D1D30B-E083-45F2-9E43-74B7CDB38789}">
      <text>
        <r>
          <rPr>
            <sz val="9"/>
            <color indexed="81"/>
            <rFont val="Tahoma"/>
            <family val="2"/>
          </rPr>
          <t>Cuando no se llega a un acuerdo por parte de los expertos se debe explicar el motivo.</t>
        </r>
      </text>
    </comment>
    <comment ref="H4" authorId="0" shapeId="0" xr:uid="{90690209-B0B1-4770-8426-53FA52106633}">
      <text>
        <r>
          <rPr>
            <b/>
            <sz val="9"/>
            <color indexed="81"/>
            <rFont val="Tahoma"/>
            <family val="2"/>
          </rPr>
          <t>Si no se logra llegar a un acuerdo la estimación más grande es la que se tomara en cuenta.</t>
        </r>
      </text>
    </comment>
    <comment ref="K4" authorId="0" shapeId="0" xr:uid="{55A0F7ED-EEB4-474B-B9E5-3CD22258495C}">
      <text>
        <r>
          <rPr>
            <b/>
            <sz val="9"/>
            <color indexed="81"/>
            <rFont val="Tahoma"/>
            <family val="2"/>
          </rPr>
          <t>Pedro Alatorre:</t>
        </r>
        <r>
          <rPr>
            <sz val="9"/>
            <color indexed="81"/>
            <rFont val="Tahoma"/>
            <family val="2"/>
          </rPr>
          <t xml:space="preserve">
La fórmula compara la diferencia entre el valor máximo y el valor medio, así como la diferencia entre el valor medio y el valor mínimo, y luego calcula el porcentaje de variación en relación al valor medio. Este cálculo puede proporcionar una indicación de la dispersión o variabilidad en la estimación realizada por el equipo.
Si el porcentaje de variación es alto, podría indicar que hay una gran diferencia entre las estimaciones individuales del equipo, lo que puede requerir una mayor discusión y clarificación. Por otro lado, si el porcentaje de variación es bajo, significa que las estimaciones son más consistentes y hay un acuerdo generalizado en la estimación de la historia de usuario.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Pedro Alatorre</author>
  </authors>
  <commentList>
    <comment ref="M3" authorId="0" shapeId="0" xr:uid="{1C1EC526-CCCB-4182-AB73-77A72CA1A790}">
      <text>
        <r>
          <rPr>
            <sz val="9"/>
            <color indexed="81"/>
            <rFont val="Tahoma"/>
            <family val="2"/>
          </rPr>
          <t>Cuando no se llega a un acuerdo por parte de los expertos se debe explicar el motivo.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Pedro Alatorre</author>
    <author>Documentación Innevo</author>
  </authors>
  <commentList>
    <comment ref="M6" authorId="0" shapeId="0" xr:uid="{624AEFEC-6C3A-4FC9-96DD-702EA7AAD5BA}">
      <text>
        <r>
          <rPr>
            <sz val="9"/>
            <color indexed="81"/>
            <rFont val="Tahoma"/>
            <family val="2"/>
          </rPr>
          <t>Cuando no se llega a un acuerdo por parte de los expertos se debe explicar el motivo.</t>
        </r>
      </text>
    </comment>
    <comment ref="O6" authorId="1" shapeId="0" xr:uid="{0EAE4F53-AA71-4517-80E6-2BEB7F16AD5B}">
      <text>
        <r>
          <rPr>
            <sz val="9"/>
            <color indexed="81"/>
            <rFont val="Tahoma"/>
            <family val="2"/>
          </rPr>
          <t>Sumatoria de puntos por sprit, 
La suma por sprint se realiza manualmente</t>
        </r>
      </text>
    </comment>
    <comment ref="R7" authorId="1" shapeId="0" xr:uid="{1BEB9FC6-52A0-460D-8A11-08F55D278AF8}">
      <text>
        <r>
          <rPr>
            <sz val="9"/>
            <color indexed="81"/>
            <rFont val="Tahoma"/>
            <family val="2"/>
          </rPr>
          <t>Registrar el resultado de puntos del sprint.
Este puede ser directamente el número resultante o aplicar fórmula de sumar cada calificación del sprint correspondiente.</t>
        </r>
      </text>
    </comment>
    <comment ref="S7" authorId="1" shapeId="0" xr:uid="{22CE6427-AFDD-43CF-B9E8-B24C2CA700B5}">
      <text>
        <r>
          <rPr>
            <sz val="9"/>
            <color indexed="81"/>
            <rFont val="Tahoma"/>
            <family val="2"/>
          </rPr>
          <t>Registrar el resultado de puntos del sprint.
Este puede ser directamente el número resultante o aplicar fórmula de sumar cada calificación del sprint correspondiente.</t>
        </r>
      </text>
    </comment>
    <comment ref="T7" authorId="1" shapeId="0" xr:uid="{8169D285-100B-4AE3-8DBB-D642D66A03FD}">
      <text>
        <r>
          <rPr>
            <sz val="9"/>
            <color indexed="81"/>
            <rFont val="Tahoma"/>
            <family val="2"/>
          </rPr>
          <t>Registrar el resultado de puntos del sprint.
Este puede ser directamente el número resultante o aplicar fórmula de sumar cada calificación del sprint correspondiente.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Pedro Alatorre</author>
    <author>Documentación Innevo</author>
  </authors>
  <commentList>
    <comment ref="A3" authorId="0" shapeId="0" xr:uid="{4F7970BF-B36A-477B-96B1-B1743017398D}">
      <text>
        <r>
          <rPr>
            <sz val="9"/>
            <color indexed="81"/>
            <rFont val="Tahoma"/>
            <family val="2"/>
          </rPr>
          <t>Historia de usuario que no sea tan pequeña y ni tan grande y que todo el equipo tenga claro la dimensión de ese pivote.</t>
        </r>
      </text>
    </comment>
    <comment ref="A5" authorId="1" shapeId="0" xr:uid="{5E472563-C18E-48D5-811D-58B42F50168A}">
      <text>
        <r>
          <rPr>
            <sz val="9"/>
            <color indexed="81"/>
            <rFont val="Tahoma"/>
            <family val="2"/>
          </rPr>
          <t>Agregar más sprint de ser necesario</t>
        </r>
      </text>
    </comment>
    <comment ref="B5" authorId="0" shapeId="0" xr:uid="{E4648AB8-B585-44B5-B66A-281422F6BFFC}">
      <text>
        <r>
          <rPr>
            <sz val="9"/>
            <color indexed="81"/>
            <rFont val="Tahoma"/>
            <family val="2"/>
          </rPr>
          <t>Puntos historia de usuario.
Se registra de manera manual el resultado de cada sprint</t>
        </r>
      </text>
    </comment>
    <comment ref="A10" authorId="1" shapeId="0" xr:uid="{59CFB57F-1524-4462-BA32-7123665055D8}">
      <text>
        <r>
          <rPr>
            <sz val="9"/>
            <color indexed="81"/>
            <rFont val="Tahoma"/>
            <family val="2"/>
          </rPr>
          <t>Este formato esta planeado para 3 expertos, en caso de ser más expertos agragar la(s) columna(s) necesarias y verificar resultados en la sumatoria.</t>
        </r>
      </text>
    </comment>
    <comment ref="B11" authorId="1" shapeId="0" xr:uid="{ACF2CE07-0121-4F87-B8DE-72C659E6E1D9}">
      <text>
        <r>
          <rPr>
            <sz val="9"/>
            <color indexed="81"/>
            <rFont val="Tahoma"/>
            <family val="2"/>
          </rPr>
          <t>Cuando el resultado es uniforme (todos los expertos coinciden en el temaño) será el mismo resultado en totales como en tamaño. 
Cuando llegue a existir una pequeña variación se mostrará la cantidad más alta.</t>
        </r>
        <r>
          <rPr>
            <b/>
            <sz val="9"/>
            <color indexed="81"/>
            <rFont val="Tahoma"/>
            <family val="2"/>
          </rPr>
          <t xml:space="preserve">
</t>
        </r>
        <r>
          <rPr>
            <b/>
            <i/>
            <sz val="8"/>
            <color indexed="81"/>
            <rFont val="Tahoma"/>
            <family val="2"/>
          </rPr>
          <t>Nota: en teoría debería ser resultados uniformes siempre</t>
        </r>
      </text>
    </comment>
    <comment ref="B15" authorId="0" shapeId="0" xr:uid="{BFCD8DBE-CE09-4181-90D6-ED27EC73D11C}">
      <text>
        <r>
          <rPr>
            <sz val="9"/>
            <color indexed="81"/>
            <rFont val="Tahoma"/>
            <family val="2"/>
          </rPr>
          <t>Son las horas promedio que se dedican para cumplir con un punto de función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Tania López</author>
    <author>Pedro Alatorre</author>
  </authors>
  <commentList>
    <comment ref="F3" authorId="0" shapeId="0" xr:uid="{238FC164-AAFD-4504-90F1-F2F06073D98D}">
      <text>
        <r>
          <rPr>
            <sz val="9"/>
            <color indexed="81"/>
            <rFont val="Tahoma"/>
            <family val="2"/>
          </rPr>
          <t>Estos porcentajes se ajustarán de acuerdo con la información de cada proyecto y a los históricos.</t>
        </r>
      </text>
    </comment>
    <comment ref="B11" authorId="1" shapeId="0" xr:uid="{FF71C6EA-284B-463C-997A-5195D259EBA6}">
      <text>
        <r>
          <rPr>
            <b/>
            <sz val="9"/>
            <color indexed="81"/>
            <rFont val="Tahoma"/>
            <family val="2"/>
          </rPr>
          <t xml:space="preserve">Días por persona/mes
</t>
        </r>
        <r>
          <rPr>
            <sz val="9"/>
            <color indexed="81"/>
            <rFont val="Tahoma"/>
            <family val="2"/>
          </rPr>
          <t>&lt;Ingrese el factor de conversión que se usará para convertir meses-persona de esfuerzo en días-persona de esfuerzo, estos son los días laborales de la semana.&gt;
Nota: el valor predeterminado es 21.5 días establecido por nómina.</t>
        </r>
      </text>
    </comment>
    <comment ref="D11" authorId="1" shapeId="0" xr:uid="{D400B005-3DA2-46FA-9BBB-A3C406B0EA75}">
      <text>
        <r>
          <rPr>
            <sz val="9"/>
            <color indexed="81"/>
            <rFont val="Tahoma"/>
            <family val="2"/>
          </rPr>
          <t>Horas efectivas de trabajo.</t>
        </r>
      </text>
    </comment>
    <comment ref="F11" authorId="1" shapeId="0" xr:uid="{B818910A-30E7-4B8D-864B-7A234FA68A51}">
      <text>
        <r>
          <rPr>
            <sz val="9"/>
            <color indexed="81"/>
            <rFont val="Tahoma"/>
            <family val="2"/>
          </rPr>
          <t>Días redo</t>
        </r>
      </text>
    </comment>
  </commentList>
</comments>
</file>

<file path=xl/sharedStrings.xml><?xml version="1.0" encoding="utf-8"?>
<sst xmlns="http://schemas.openxmlformats.org/spreadsheetml/2006/main" count="203" uniqueCount="119">
  <si>
    <t>Nombre del cliente</t>
  </si>
  <si>
    <t>Nombre del proyecto</t>
  </si>
  <si>
    <t>Analista</t>
  </si>
  <si>
    <t>Pivote</t>
  </si>
  <si>
    <t>Equipo</t>
  </si>
  <si>
    <t>Secuencia Fibonacci</t>
  </si>
  <si>
    <t>0 + 1</t>
  </si>
  <si>
    <t>Fácil</t>
  </si>
  <si>
    <t>1 + 1</t>
  </si>
  <si>
    <t xml:space="preserve">1 + 2 </t>
  </si>
  <si>
    <t>2 + 3</t>
  </si>
  <si>
    <t xml:space="preserve">3 + 5 </t>
  </si>
  <si>
    <t xml:space="preserve">5 + 8 </t>
  </si>
  <si>
    <t>8 + 13</t>
  </si>
  <si>
    <t>13 + 21</t>
  </si>
  <si>
    <t>21 + 34</t>
  </si>
  <si>
    <t>34 + 55</t>
  </si>
  <si>
    <t>55 + 89</t>
  </si>
  <si>
    <t>Díficil</t>
  </si>
  <si>
    <t>Tabla de estimación (round 1)</t>
  </si>
  <si>
    <t>Desviación estandar aceptada: &lt;= 10%</t>
  </si>
  <si>
    <t>Identificador</t>
  </si>
  <si>
    <t>Enunciado de historia</t>
  </si>
  <si>
    <t>Prioridad</t>
  </si>
  <si>
    <t xml:space="preserve">Tamaño esperado </t>
  </si>
  <si>
    <t>Observaciones</t>
  </si>
  <si>
    <t>Estimador 1</t>
  </si>
  <si>
    <t>Estimador 2</t>
  </si>
  <si>
    <t>Estimador 3</t>
  </si>
  <si>
    <t>Sprint</t>
  </si>
  <si>
    <t>Maximo</t>
  </si>
  <si>
    <t>Valor medio</t>
  </si>
  <si>
    <t>Minimo</t>
  </si>
  <si>
    <t>desviación (%)</t>
  </si>
  <si>
    <t>¿Se acepta?</t>
  </si>
  <si>
    <t>xxxx-xxxx-xxx1</t>
  </si>
  <si>
    <t>Media</t>
  </si>
  <si>
    <t>xxxx-xxxx-xxx2</t>
  </si>
  <si>
    <t>xxxx-xxxx-xxx3</t>
  </si>
  <si>
    <t>Baja</t>
  </si>
  <si>
    <t>Yes</t>
  </si>
  <si>
    <t>xxxx-xxxx-xxx4</t>
  </si>
  <si>
    <t>Alta</t>
  </si>
  <si>
    <t>xxxx-xxxx-xxx5</t>
  </si>
  <si>
    <t>xxxx-xxxx-xxx6</t>
  </si>
  <si>
    <t>xxxx-xxxx-xxx7</t>
  </si>
  <si>
    <t>xxxx-xxxx-xxx8</t>
  </si>
  <si>
    <t>xxxx-xxxx-xxx9</t>
  </si>
  <si>
    <t>xxxx-xxxx-xxx10</t>
  </si>
  <si>
    <t>Tabla de estimación (round 2)</t>
  </si>
  <si>
    <t>Tabla de estimación (round 3)</t>
  </si>
  <si>
    <t>PHU</t>
  </si>
  <si>
    <t>Total puntos</t>
  </si>
  <si>
    <t>RESULTADO</t>
  </si>
  <si>
    <t>Estimación→</t>
  </si>
  <si>
    <t>Esfuerzo</t>
  </si>
  <si>
    <t>hrs</t>
  </si>
  <si>
    <t>Costo</t>
  </si>
  <si>
    <t>Lenguaje</t>
  </si>
  <si>
    <t>Tablas de datos</t>
  </si>
  <si>
    <t>Horas PF promedio</t>
  </si>
  <si>
    <t>Costo por mes</t>
  </si>
  <si>
    <t>Líder técnico</t>
  </si>
  <si>
    <t>Resumen</t>
  </si>
  <si>
    <r>
      <rPr>
        <b/>
        <sz val="12"/>
        <color theme="1"/>
        <rFont val="Calibri"/>
        <family val="2"/>
        <scheme val="minor"/>
      </rPr>
      <t>Cliente:</t>
    </r>
    <r>
      <rPr>
        <sz val="12"/>
        <color theme="1"/>
        <rFont val="Calibri"/>
        <family val="2"/>
        <scheme val="minor"/>
      </rPr>
      <t xml:space="preserve"> </t>
    </r>
  </si>
  <si>
    <r>
      <rPr>
        <b/>
        <sz val="12"/>
        <color theme="1"/>
        <rFont val="Calibri"/>
        <family val="2"/>
        <scheme val="minor"/>
      </rPr>
      <t>Proyecto:</t>
    </r>
    <r>
      <rPr>
        <sz val="12"/>
        <color theme="1"/>
        <rFont val="Calibri"/>
        <family val="2"/>
        <scheme val="minor"/>
      </rPr>
      <t xml:space="preserve"> </t>
    </r>
  </si>
  <si>
    <t>Información histórica de referencia</t>
  </si>
  <si>
    <t>Indique el nombre del proyecto o proyectos de referencia revisados</t>
  </si>
  <si>
    <t>Aspectos considerados</t>
  </si>
  <si>
    <t>Proyecto de Referencia 1</t>
  </si>
  <si>
    <t>Proyecto de Referencia 2</t>
  </si>
  <si>
    <t>Proyecto de Referencia 3</t>
  </si>
  <si>
    <t>Proyecto de Referencia 4</t>
  </si>
  <si>
    <t xml:space="preserve">Sumatoría de Tamaño esperado </t>
  </si>
  <si>
    <t>Puntos totales</t>
  </si>
  <si>
    <t>Desglose de horas por actividad</t>
  </si>
  <si>
    <t>Actividades</t>
  </si>
  <si>
    <t>Horas</t>
  </si>
  <si>
    <t>%</t>
  </si>
  <si>
    <t>Días hombre</t>
  </si>
  <si>
    <t>Análisis</t>
  </si>
  <si>
    <t>Diseño</t>
  </si>
  <si>
    <t>Construcción</t>
  </si>
  <si>
    <t>Pruebas</t>
  </si>
  <si>
    <t xml:space="preserve">Total </t>
  </si>
  <si>
    <t>DPM</t>
  </si>
  <si>
    <t>Horas efectivas de trabajo</t>
  </si>
  <si>
    <t>Días totales (red)</t>
  </si>
  <si>
    <t>Plazo en meses</t>
  </si>
  <si>
    <t>Costos</t>
  </si>
  <si>
    <t>Rol</t>
  </si>
  <si>
    <t>Líder de proyecto</t>
  </si>
  <si>
    <t>LT</t>
  </si>
  <si>
    <t>AN</t>
  </si>
  <si>
    <t>Arquitecto</t>
  </si>
  <si>
    <t>AR</t>
  </si>
  <si>
    <t>Desarrollador</t>
  </si>
  <si>
    <t>Tester</t>
  </si>
  <si>
    <t>DE</t>
  </si>
  <si>
    <t>Otros conceptos</t>
  </si>
  <si>
    <t>Conceptos</t>
  </si>
  <si>
    <t>Compras</t>
  </si>
  <si>
    <t>Licencias</t>
  </si>
  <si>
    <t>Formación</t>
  </si>
  <si>
    <t>Consumibles</t>
  </si>
  <si>
    <t>Presupuesto total</t>
  </si>
  <si>
    <t>Razonamiento o base para la estimación y motivo de ajuste en la estimación. Describir el fundamento de las estimaciones de esfuerzo, duración y costo, para que proporcionen el contexto para el uso de datos históricos.</t>
  </si>
  <si>
    <t>Resultado Tamaño</t>
  </si>
  <si>
    <r>
      <rPr>
        <i/>
        <sz val="10"/>
        <rFont val="Calibri"/>
        <family val="2"/>
        <scheme val="minor"/>
      </rPr>
      <t>Calificación de pivote</t>
    </r>
    <r>
      <rPr>
        <i/>
        <sz val="9"/>
        <rFont val="Calibri"/>
        <family val="2"/>
        <scheme val="minor"/>
      </rPr>
      <t xml:space="preserve">
Ejemplo: 8 pts.de historia</t>
    </r>
  </si>
  <si>
    <r>
      <rPr>
        <sz val="11"/>
        <rFont val="Calibri"/>
        <family val="2"/>
        <scheme val="minor"/>
      </rPr>
      <t>Historia de usuario que reprsenta al pivote:</t>
    </r>
    <r>
      <rPr>
        <i/>
        <sz val="10"/>
        <rFont val="Calibri"/>
        <family val="2"/>
        <scheme val="minor"/>
      </rPr>
      <t xml:space="preserve">
Ejemplo: Actualizaciones online en base de datos de manera instantanea</t>
    </r>
  </si>
  <si>
    <r>
      <rPr>
        <sz val="11"/>
        <color theme="1"/>
        <rFont val="Calibri"/>
        <family val="2"/>
        <scheme val="minor"/>
      </rPr>
      <t>Observaciones especiales:</t>
    </r>
    <r>
      <rPr>
        <i/>
        <sz val="9"/>
        <color theme="1"/>
        <rFont val="Calibri"/>
        <family val="2"/>
        <scheme val="minor"/>
      </rPr>
      <t xml:space="preserve">
</t>
    </r>
    <r>
      <rPr>
        <i/>
        <sz val="10"/>
        <color theme="1"/>
        <rFont val="Calibri"/>
        <family val="2"/>
        <scheme val="minor"/>
      </rPr>
      <t>Ejemplo: El sprint 2 y 3 nos dan margen de error indirectametne.</t>
    </r>
  </si>
  <si>
    <r>
      <rPr>
        <sz val="11"/>
        <color theme="1"/>
        <rFont val="Calibri"/>
        <family val="2"/>
        <scheme val="minor"/>
      </rPr>
      <t>Puntos de historia que hace el equipo por sprint:</t>
    </r>
    <r>
      <rPr>
        <i/>
        <sz val="10"/>
        <color theme="1"/>
        <rFont val="Calibri"/>
        <family val="2"/>
        <scheme val="minor"/>
      </rPr>
      <t xml:space="preserve">
Ejemplo: 28 pts por sprint.</t>
    </r>
  </si>
  <si>
    <r>
      <t xml:space="preserve">Como un </t>
    </r>
    <r>
      <rPr>
        <b/>
        <sz val="11"/>
        <color theme="1"/>
        <rFont val="Calibri"/>
        <family val="2"/>
        <scheme val="minor"/>
      </rPr>
      <t>[Rol]</t>
    </r>
    <r>
      <rPr>
        <sz val="11"/>
        <color theme="1"/>
        <rFont val="Calibri"/>
        <family val="2"/>
        <scheme val="minor"/>
      </rPr>
      <t>, necesito</t>
    </r>
    <r>
      <rPr>
        <b/>
        <sz val="11"/>
        <color theme="1"/>
        <rFont val="Calibri"/>
        <family val="2"/>
        <scheme val="minor"/>
      </rPr>
      <t xml:space="preserve"> [descripción de la funcionalidad]</t>
    </r>
    <r>
      <rPr>
        <sz val="11"/>
        <color theme="1"/>
        <rFont val="Calibri"/>
        <family val="2"/>
        <scheme val="minor"/>
      </rPr>
      <t>, con la finalidad de</t>
    </r>
    <r>
      <rPr>
        <b/>
        <sz val="11"/>
        <color theme="1"/>
        <rFont val="Calibri"/>
        <family val="2"/>
        <scheme val="minor"/>
      </rPr>
      <t xml:space="preserve"> [Razón o Resultado]</t>
    </r>
  </si>
  <si>
    <r>
      <t>Como un</t>
    </r>
    <r>
      <rPr>
        <b/>
        <sz val="11"/>
        <color theme="1"/>
        <rFont val="Calibri"/>
        <family val="2"/>
        <scheme val="minor"/>
      </rPr>
      <t xml:space="preserve"> [Rol]</t>
    </r>
    <r>
      <rPr>
        <sz val="11"/>
        <color theme="1"/>
        <rFont val="Calibri"/>
        <family val="2"/>
        <scheme val="minor"/>
      </rPr>
      <t xml:space="preserve">, necesito </t>
    </r>
    <r>
      <rPr>
        <b/>
        <sz val="11"/>
        <color theme="1"/>
        <rFont val="Calibri"/>
        <family val="2"/>
        <scheme val="minor"/>
      </rPr>
      <t>[descripción de la funcionalidad]</t>
    </r>
    <r>
      <rPr>
        <sz val="11"/>
        <color theme="1"/>
        <rFont val="Calibri"/>
        <family val="2"/>
        <scheme val="minor"/>
      </rPr>
      <t xml:space="preserve">, con la finalidad de </t>
    </r>
    <r>
      <rPr>
        <b/>
        <sz val="11"/>
        <color theme="1"/>
        <rFont val="Calibri"/>
        <family val="2"/>
        <scheme val="minor"/>
      </rPr>
      <t>[Razón o Resultado]</t>
    </r>
  </si>
  <si>
    <t xml:space="preserve">Se acepta </t>
  </si>
  <si>
    <t>SI</t>
  </si>
  <si>
    <t>NO</t>
  </si>
  <si>
    <t>Ejemplo: Java</t>
  </si>
  <si>
    <t xml:space="preserve">Calificación por sprint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</si>
</sst>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uot;#,##0;[Red]\-&quot;$&quot;#,##0"/>
    <numFmt numFmtId="165" formatCode="_-&quot;$&quot;* #,##0.00_-;\-&quot;$&quot;* #,##0.00_-;_-&quot;$&quot;* &quot;-&quot;??_-;_-@_-"/>
    <numFmt numFmtId="166" formatCode="0.00_);[Red]\(0.00\)"/>
    <numFmt numFmtId="167" formatCode="0_ "/>
    <numFmt numFmtId="168" formatCode="#,##0.00\ &quot;€&quot;"/>
    <numFmt numFmtId="169" formatCode="0.00%;[Red]\-0.00%"/>
    <numFmt numFmtId="170" formatCode="#,##0.00\ &quot;€&quot;;\-#,##0.00\ &quot;€&quot;"/>
    <numFmt numFmtId="171" formatCode="_-[$$-80A]* #,##0.00_-;\-[$$-80A]* #,##0.00_-;_-[$$-80A]* &quot;-&quot;??_-;_-@_-"/>
    <numFmt numFmtId="172" formatCode="_-&quot;$&quot;* #,##0_-;\-&quot;$&quot;* #,##0_-;_-&quot;$&quot;* &quot;-&quot;??_-;_-@_-"/>
  </numFmts>
  <fonts count="40">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0"/>
      <name val="Arial"/>
      <family val="2"/>
    </font>
    <font>
      <sz val="10"/>
      <name val="Arial"/>
      <family val="2"/>
    </font>
    <font>
      <b/>
      <sz val="12"/>
      <color theme="0"/>
      <name val="Calibri"/>
      <family val="2"/>
      <scheme val="minor"/>
    </font>
    <font>
      <sz val="9"/>
      <color indexed="81"/>
      <name val="Tahoma"/>
      <family val="2"/>
    </font>
    <font>
      <sz val="12"/>
      <name val="宋体"/>
      <charset val="134"/>
    </font>
    <font>
      <b/>
      <sz val="10"/>
      <name val="Arial"/>
      <family val="2"/>
    </font>
    <font>
      <sz val="10"/>
      <name val="Calibri"/>
      <family val="2"/>
      <scheme val="minor"/>
    </font>
    <font>
      <sz val="8"/>
      <name val="Calibri"/>
      <family val="2"/>
      <scheme val="minor"/>
    </font>
    <font>
      <b/>
      <sz val="16"/>
      <color theme="0"/>
      <name val="Calibri"/>
      <family val="2"/>
      <scheme val="minor"/>
    </font>
    <font>
      <b/>
      <sz val="18"/>
      <color theme="0"/>
      <name val="Arial"/>
      <family val="2"/>
    </font>
    <font>
      <b/>
      <sz val="9"/>
      <color indexed="81"/>
      <name val="Tahoma"/>
      <family val="2"/>
    </font>
    <font>
      <b/>
      <sz val="11"/>
      <color theme="0"/>
      <name val="Arial"/>
      <family val="2"/>
    </font>
    <font>
      <b/>
      <sz val="11"/>
      <name val="Calibri"/>
      <family val="2"/>
      <scheme val="minor"/>
    </font>
    <font>
      <sz val="12"/>
      <color theme="1"/>
      <name val="Calibri"/>
      <family val="2"/>
      <scheme val="minor"/>
    </font>
    <font>
      <b/>
      <sz val="12"/>
      <color theme="1"/>
      <name val="Calibri"/>
      <family val="2"/>
      <scheme val="minor"/>
    </font>
    <font>
      <i/>
      <sz val="11"/>
      <color theme="1" tint="0.249977111117893"/>
      <name val="Calibri"/>
      <family val="2"/>
      <scheme val="minor"/>
    </font>
    <font>
      <b/>
      <sz val="12"/>
      <name val="Calibri"/>
      <family val="2"/>
      <scheme val="minor"/>
    </font>
    <font>
      <b/>
      <sz val="14"/>
      <color theme="0"/>
      <name val="Calibri"/>
      <family val="2"/>
      <scheme val="minor"/>
    </font>
    <font>
      <b/>
      <sz val="9"/>
      <color indexed="63"/>
      <name val="Verdana"/>
      <family val="2"/>
    </font>
    <font>
      <sz val="10"/>
      <color theme="1"/>
      <name val="Calibri"/>
      <family val="2"/>
      <scheme val="minor"/>
    </font>
    <font>
      <sz val="9"/>
      <name val="Verdana"/>
      <family val="2"/>
    </font>
    <font>
      <sz val="11"/>
      <name val="Calibri"/>
      <family val="2"/>
      <scheme val="minor"/>
    </font>
    <font>
      <b/>
      <sz val="10"/>
      <name val="Calibri"/>
      <family val="2"/>
      <scheme val="minor"/>
    </font>
    <font>
      <sz val="9"/>
      <color indexed="63"/>
      <name val="Verdana"/>
      <family val="2"/>
    </font>
    <font>
      <b/>
      <sz val="11"/>
      <color indexed="63"/>
      <name val="Calibri"/>
      <family val="2"/>
      <scheme val="minor"/>
    </font>
    <font>
      <i/>
      <sz val="10"/>
      <color theme="1" tint="0.34998626667073579"/>
      <name val="Calibri"/>
      <family val="2"/>
      <scheme val="minor"/>
    </font>
    <font>
      <b/>
      <i/>
      <sz val="8"/>
      <color indexed="81"/>
      <name val="Tahoma"/>
      <family val="2"/>
    </font>
    <font>
      <b/>
      <sz val="14"/>
      <name val="Calibri"/>
      <family val="2"/>
      <scheme val="minor"/>
    </font>
    <font>
      <i/>
      <sz val="10"/>
      <name val="Calibri"/>
      <family val="2"/>
      <scheme val="minor"/>
    </font>
    <font>
      <i/>
      <sz val="9"/>
      <name val="Calibri"/>
      <family val="2"/>
      <scheme val="minor"/>
    </font>
    <font>
      <i/>
      <sz val="9"/>
      <color theme="1"/>
      <name val="Calibri"/>
      <family val="2"/>
      <scheme val="minor"/>
    </font>
    <font>
      <i/>
      <sz val="10"/>
      <color theme="1"/>
      <name val="Calibri"/>
      <family val="2"/>
      <scheme val="minor"/>
    </font>
    <font>
      <b/>
      <sz val="10"/>
      <color theme="0"/>
      <name val="Calibri"/>
      <family val="2"/>
      <scheme val="minor"/>
    </font>
    <font>
      <sz val="10"/>
      <color theme="0"/>
      <name val="Calibri"/>
      <family val="2"/>
      <scheme val="minor"/>
    </font>
    <font>
      <i/>
      <sz val="10"/>
      <color theme="0" tint="-0.499984740745262"/>
      <name val="Calibri"/>
      <family val="2"/>
      <scheme val="minor"/>
    </font>
  </fonts>
  <fills count="10">
    <fill>
      <patternFill patternType="none"/>
    </fill>
    <fill>
      <patternFill patternType="gray125"/>
    </fill>
    <fill>
      <patternFill patternType="solid">
        <fgColor indexed="22"/>
        <bgColor indexed="64"/>
      </patternFill>
    </fill>
    <fill>
      <patternFill patternType="solid">
        <fgColor theme="1" tint="0.249977111117893"/>
        <bgColor indexed="64"/>
      </patternFill>
    </fill>
    <fill>
      <patternFill patternType="solid">
        <fgColor indexed="9"/>
        <bgColor indexed="64"/>
      </patternFill>
    </fill>
    <fill>
      <patternFill patternType="solid">
        <fgColor theme="0"/>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6" tint="0.59999389629810485"/>
        <bgColor indexed="64"/>
      </patternFill>
    </fill>
    <fill>
      <patternFill patternType="solid">
        <fgColor theme="0" tint="-0.14999847407452621"/>
        <bgColor indexed="64"/>
      </patternFill>
    </fill>
  </fills>
  <borders count="22">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s>
  <cellStyleXfs count="4">
    <xf numFmtId="0" fontId="0" fillId="0" borderId="0"/>
    <xf numFmtId="165" fontId="1" fillId="0" borderId="0" applyFont="0" applyFill="0" applyBorder="0" applyAlignment="0" applyProtection="0"/>
    <xf numFmtId="0" fontId="9" fillId="0" borderId="0">
      <alignment vertical="center"/>
    </xf>
    <xf numFmtId="9" fontId="1" fillId="0" borderId="0" applyFont="0" applyFill="0" applyBorder="0" applyAlignment="0" applyProtection="0"/>
  </cellStyleXfs>
  <cellXfs count="147">
    <xf numFmtId="0" fontId="0" fillId="0" borderId="0" xfId="0"/>
    <xf numFmtId="0" fontId="10" fillId="4" borderId="2" xfId="2" applyFont="1" applyFill="1" applyBorder="1" applyAlignment="1">
      <alignment horizontal="center" vertical="center"/>
    </xf>
    <xf numFmtId="0" fontId="10" fillId="4" borderId="2" xfId="2" applyFont="1" applyFill="1" applyBorder="1" applyAlignment="1">
      <alignment vertical="center" wrapText="1"/>
    </xf>
    <xf numFmtId="0" fontId="10" fillId="4" borderId="2" xfId="2" applyFont="1" applyFill="1" applyBorder="1">
      <alignment vertical="center"/>
    </xf>
    <xf numFmtId="166" fontId="10" fillId="4" borderId="2" xfId="2" applyNumberFormat="1" applyFont="1" applyFill="1" applyBorder="1">
      <alignment vertical="center"/>
    </xf>
    <xf numFmtId="0" fontId="11" fillId="0" borderId="6" xfId="0" applyFont="1" applyBorder="1" applyAlignment="1">
      <alignment horizontal="left" vertical="center" wrapText="1"/>
    </xf>
    <xf numFmtId="0" fontId="11" fillId="0" borderId="3" xfId="0" applyFont="1" applyBorder="1" applyAlignment="1">
      <alignment horizontal="center" vertical="center" wrapText="1"/>
    </xf>
    <xf numFmtId="167" fontId="11" fillId="0" borderId="3" xfId="0" applyNumberFormat="1" applyFont="1" applyBorder="1" applyAlignment="1">
      <alignment horizontal="center" vertical="center" wrapText="1"/>
    </xf>
    <xf numFmtId="10" fontId="11" fillId="0" borderId="3" xfId="0" applyNumberFormat="1" applyFont="1" applyBorder="1" applyAlignment="1">
      <alignment horizontal="center" vertical="center" wrapText="1"/>
    </xf>
    <xf numFmtId="0" fontId="0" fillId="5" borderId="3" xfId="0" applyFill="1" applyBorder="1" applyAlignment="1">
      <alignment horizontal="left" vertical="top" wrapText="1"/>
    </xf>
    <xf numFmtId="0" fontId="11" fillId="0" borderId="5" xfId="0" applyFont="1" applyBorder="1" applyAlignment="1">
      <alignment vertical="center" wrapText="1"/>
    </xf>
    <xf numFmtId="0" fontId="11" fillId="0" borderId="6" xfId="0" applyFont="1" applyBorder="1" applyAlignment="1">
      <alignment vertical="center" wrapText="1"/>
    </xf>
    <xf numFmtId="0" fontId="2" fillId="7" borderId="3" xfId="0" applyFont="1" applyFill="1" applyBorder="1" applyAlignment="1">
      <alignment horizontal="center" vertical="center" wrapText="1"/>
    </xf>
    <xf numFmtId="166" fontId="2" fillId="7" borderId="3" xfId="2" applyNumberFormat="1" applyFont="1" applyFill="1" applyBorder="1" applyAlignment="1">
      <alignment horizontal="center" vertical="center" wrapText="1"/>
    </xf>
    <xf numFmtId="0" fontId="2" fillId="7" borderId="3" xfId="2" applyFont="1" applyFill="1" applyBorder="1" applyAlignment="1">
      <alignment horizontal="center" vertical="center" wrapText="1"/>
    </xf>
    <xf numFmtId="0" fontId="6" fillId="0" borderId="0" xfId="0" applyFont="1"/>
    <xf numFmtId="0" fontId="18" fillId="9" borderId="3" xfId="0" applyFont="1" applyFill="1" applyBorder="1" applyAlignment="1">
      <alignment horizontal="center" vertical="center"/>
    </xf>
    <xf numFmtId="0" fontId="3" fillId="9" borderId="3" xfId="0" applyFont="1" applyFill="1" applyBorder="1" applyAlignment="1">
      <alignment horizontal="center" vertical="center"/>
    </xf>
    <xf numFmtId="0" fontId="0" fillId="9" borderId="4" xfId="0" applyFill="1" applyBorder="1" applyAlignment="1">
      <alignment horizontal="center" vertical="center"/>
    </xf>
    <xf numFmtId="0" fontId="0" fillId="9" borderId="8" xfId="0" applyFill="1" applyBorder="1" applyAlignment="1">
      <alignment horizontal="center" vertical="center"/>
    </xf>
    <xf numFmtId="0" fontId="3" fillId="0" borderId="0" xfId="0" applyFont="1" applyFill="1" applyBorder="1" applyAlignment="1">
      <alignment horizontal="center" vertical="center"/>
    </xf>
    <xf numFmtId="0" fontId="0" fillId="0" borderId="0" xfId="0" applyFill="1" applyBorder="1"/>
    <xf numFmtId="168" fontId="23" fillId="9" borderId="3" xfId="0" applyNumberFormat="1" applyFont="1" applyFill="1" applyBorder="1" applyAlignment="1">
      <alignment horizontal="center" vertical="center"/>
    </xf>
    <xf numFmtId="0" fontId="23" fillId="9" borderId="3" xfId="0" applyFont="1" applyFill="1" applyBorder="1" applyAlignment="1">
      <alignment horizontal="center" vertical="center"/>
    </xf>
    <xf numFmtId="1" fontId="24" fillId="9" borderId="3" xfId="0" applyNumberFormat="1" applyFont="1" applyFill="1" applyBorder="1" applyAlignment="1">
      <alignment horizontal="center" vertical="center" shrinkToFit="1"/>
    </xf>
    <xf numFmtId="169" fontId="25" fillId="5" borderId="3" xfId="0" applyNumberFormat="1" applyFont="1" applyFill="1" applyBorder="1" applyAlignment="1">
      <alignment vertical="center" shrinkToFit="1"/>
    </xf>
    <xf numFmtId="2" fontId="25" fillId="9" borderId="3" xfId="0" applyNumberFormat="1" applyFont="1" applyFill="1" applyBorder="1" applyAlignment="1">
      <alignment vertical="center" shrinkToFit="1"/>
    </xf>
    <xf numFmtId="0" fontId="25" fillId="5" borderId="0" xfId="0" applyFont="1" applyFill="1"/>
    <xf numFmtId="168" fontId="25" fillId="5" borderId="0" xfId="0" applyNumberFormat="1" applyFont="1" applyFill="1"/>
    <xf numFmtId="10" fontId="25" fillId="5" borderId="0" xfId="0" applyNumberFormat="1" applyFont="1" applyFill="1"/>
    <xf numFmtId="2" fontId="25" fillId="5" borderId="0" xfId="0" applyNumberFormat="1" applyFont="1" applyFill="1"/>
    <xf numFmtId="10" fontId="25" fillId="9" borderId="3" xfId="0" applyNumberFormat="1" applyFont="1" applyFill="1" applyBorder="1" applyAlignment="1">
      <alignment vertical="center" shrinkToFit="1"/>
    </xf>
    <xf numFmtId="0" fontId="5" fillId="3" borderId="3" xfId="0" applyFont="1" applyFill="1" applyBorder="1"/>
    <xf numFmtId="0" fontId="0" fillId="9" borderId="3" xfId="0" applyFill="1" applyBorder="1"/>
    <xf numFmtId="0" fontId="0" fillId="0" borderId="0" xfId="0" applyAlignment="1">
      <alignment horizontal="center" vertical="center"/>
    </xf>
    <xf numFmtId="2" fontId="0" fillId="0" borderId="0" xfId="0" applyNumberFormat="1" applyAlignment="1">
      <alignment horizontal="center"/>
    </xf>
    <xf numFmtId="168" fontId="11" fillId="5" borderId="0" xfId="0" applyNumberFormat="1" applyFont="1" applyFill="1"/>
    <xf numFmtId="168" fontId="11" fillId="0" borderId="0" xfId="0" applyNumberFormat="1" applyFont="1"/>
    <xf numFmtId="168" fontId="23" fillId="9" borderId="3" xfId="0" applyNumberFormat="1" applyFont="1" applyFill="1" applyBorder="1" applyAlignment="1">
      <alignment horizontal="center" vertical="center" wrapText="1"/>
    </xf>
    <xf numFmtId="164" fontId="11" fillId="5" borderId="3" xfId="0" applyNumberFormat="1" applyFont="1" applyFill="1" applyBorder="1" applyAlignment="1">
      <alignment horizontal="center"/>
    </xf>
    <xf numFmtId="0" fontId="11" fillId="5" borderId="0" xfId="0" applyFont="1" applyFill="1"/>
    <xf numFmtId="165" fontId="27" fillId="9" borderId="3" xfId="1" applyFont="1" applyFill="1" applyBorder="1" applyAlignment="1">
      <alignment horizontal="center" vertical="center" shrinkToFit="1"/>
    </xf>
    <xf numFmtId="168" fontId="28" fillId="2" borderId="3" xfId="0" applyNumberFormat="1" applyFont="1" applyFill="1" applyBorder="1" applyAlignment="1">
      <alignment horizontal="center" vertical="center"/>
    </xf>
    <xf numFmtId="165" fontId="11" fillId="0" borderId="3" xfId="1" applyFont="1" applyFill="1" applyBorder="1" applyAlignment="1">
      <alignment shrinkToFit="1"/>
    </xf>
    <xf numFmtId="165" fontId="11" fillId="0" borderId="4" xfId="1" applyFont="1" applyFill="1" applyBorder="1" applyAlignment="1">
      <alignment shrinkToFit="1"/>
    </xf>
    <xf numFmtId="171" fontId="11" fillId="9" borderId="3" xfId="1" applyNumberFormat="1" applyFont="1" applyFill="1" applyBorder="1" applyAlignment="1">
      <alignment vertical="center" shrinkToFit="1"/>
    </xf>
    <xf numFmtId="0" fontId="11" fillId="0" borderId="0" xfId="0" applyFont="1"/>
    <xf numFmtId="172" fontId="27" fillId="9" borderId="6" xfId="1" applyNumberFormat="1" applyFont="1" applyFill="1" applyBorder="1" applyAlignment="1">
      <alignment horizontal="center" vertical="center" shrinkToFit="1"/>
    </xf>
    <xf numFmtId="0" fontId="27" fillId="0" borderId="0" xfId="0" applyFont="1" applyAlignment="1">
      <alignment horizontal="center" vertical="center"/>
    </xf>
    <xf numFmtId="10" fontId="11" fillId="5" borderId="0" xfId="0" applyNumberFormat="1" applyFont="1" applyFill="1"/>
    <xf numFmtId="0" fontId="19" fillId="9" borderId="3" xfId="0" applyFont="1" applyFill="1" applyBorder="1" applyAlignment="1">
      <alignment horizontal="center" vertical="center"/>
    </xf>
    <xf numFmtId="0" fontId="16" fillId="5" borderId="0" xfId="0" applyFont="1" applyFill="1" applyBorder="1" applyAlignment="1"/>
    <xf numFmtId="0" fontId="13" fillId="0" borderId="0" xfId="0" applyFont="1" applyFill="1" applyBorder="1" applyAlignment="1">
      <alignment vertical="center" wrapText="1"/>
    </xf>
    <xf numFmtId="0" fontId="21" fillId="8" borderId="3" xfId="0" applyFont="1" applyFill="1" applyBorder="1" applyAlignment="1">
      <alignment horizontal="center" vertical="center"/>
    </xf>
    <xf numFmtId="0" fontId="21" fillId="9" borderId="3" xfId="0" applyFont="1" applyFill="1" applyBorder="1" applyAlignment="1">
      <alignment horizontal="center" vertical="center"/>
    </xf>
    <xf numFmtId="0" fontId="21" fillId="9" borderId="10" xfId="0" applyFont="1" applyFill="1" applyBorder="1" applyAlignment="1">
      <alignment horizontal="center" vertical="center"/>
    </xf>
    <xf numFmtId="0" fontId="17" fillId="9" borderId="3" xfId="0" applyFont="1" applyFill="1" applyBorder="1" applyAlignment="1">
      <alignment horizontal="center" vertical="center"/>
    </xf>
    <xf numFmtId="0" fontId="17" fillId="9" borderId="3" xfId="0" applyFont="1" applyFill="1" applyBorder="1"/>
    <xf numFmtId="0" fontId="10" fillId="0" borderId="0" xfId="0" applyFont="1" applyFill="1" applyBorder="1" applyAlignment="1">
      <alignment horizontal="center"/>
    </xf>
    <xf numFmtId="0" fontId="6" fillId="0" borderId="0" xfId="0" applyFont="1" applyFill="1" applyBorder="1"/>
    <xf numFmtId="165" fontId="0" fillId="0" borderId="0" xfId="0" applyNumberFormat="1" applyFill="1" applyBorder="1"/>
    <xf numFmtId="0" fontId="27" fillId="9" borderId="3" xfId="0" applyFont="1" applyFill="1" applyBorder="1" applyAlignment="1">
      <alignment horizontal="center" vertical="center" wrapText="1"/>
    </xf>
    <xf numFmtId="0" fontId="0" fillId="0" borderId="0" xfId="0" applyFont="1"/>
    <xf numFmtId="0" fontId="0" fillId="0" borderId="3" xfId="0" applyFont="1" applyBorder="1" applyAlignment="1">
      <alignment horizontal="center" vertical="center"/>
    </xf>
    <xf numFmtId="0" fontId="0" fillId="9" borderId="3" xfId="0" applyFont="1" applyFill="1" applyBorder="1" applyAlignment="1">
      <alignment horizontal="center" vertical="center"/>
    </xf>
    <xf numFmtId="0" fontId="0" fillId="0" borderId="0" xfId="0" applyFont="1" applyFill="1" applyBorder="1"/>
    <xf numFmtId="0" fontId="27" fillId="6" borderId="3" xfId="0" applyFont="1" applyFill="1" applyBorder="1" applyAlignment="1">
      <alignment horizontal="center" vertical="center" wrapText="1"/>
    </xf>
    <xf numFmtId="0" fontId="11" fillId="0" borderId="5" xfId="0" applyFont="1" applyFill="1" applyBorder="1" applyAlignment="1">
      <alignment vertical="center" wrapText="1"/>
    </xf>
    <xf numFmtId="0" fontId="0" fillId="0" borderId="3" xfId="0" applyFill="1" applyBorder="1" applyAlignment="1">
      <alignment horizontal="left" vertical="top" wrapText="1"/>
    </xf>
    <xf numFmtId="0" fontId="11" fillId="0" borderId="6" xfId="0" applyFont="1" applyFill="1" applyBorder="1" applyAlignment="1">
      <alignment horizontal="left" vertical="center" wrapText="1"/>
    </xf>
    <xf numFmtId="0" fontId="11" fillId="0" borderId="3" xfId="0" applyFont="1" applyFill="1" applyBorder="1" applyAlignment="1">
      <alignment horizontal="center" vertical="center" wrapText="1"/>
    </xf>
    <xf numFmtId="167" fontId="11" fillId="0" borderId="3" xfId="0" applyNumberFormat="1" applyFont="1" applyFill="1" applyBorder="1" applyAlignment="1">
      <alignment horizontal="center" vertical="center" wrapText="1"/>
    </xf>
    <xf numFmtId="10" fontId="11" fillId="0" borderId="3" xfId="0" applyNumberFormat="1" applyFont="1" applyFill="1" applyBorder="1" applyAlignment="1">
      <alignment horizontal="center" vertical="center" wrapText="1"/>
    </xf>
    <xf numFmtId="0" fontId="11" fillId="0" borderId="6" xfId="0" applyFont="1" applyFill="1" applyBorder="1" applyAlignment="1">
      <alignment vertical="center" wrapText="1"/>
    </xf>
    <xf numFmtId="167" fontId="11" fillId="9" borderId="3" xfId="0" applyNumberFormat="1" applyFont="1" applyFill="1" applyBorder="1" applyAlignment="1">
      <alignment horizontal="center" vertical="center" wrapText="1"/>
    </xf>
    <xf numFmtId="9" fontId="11" fillId="9" borderId="3" xfId="0" applyNumberFormat="1" applyFont="1" applyFill="1" applyBorder="1" applyAlignment="1">
      <alignment horizontal="center" vertical="center" wrapText="1"/>
    </xf>
    <xf numFmtId="0" fontId="39" fillId="0" borderId="3" xfId="0" applyFont="1" applyBorder="1" applyAlignment="1">
      <alignment horizontal="center" vertical="center"/>
    </xf>
    <xf numFmtId="0" fontId="32" fillId="6" borderId="3" xfId="0" applyFont="1" applyFill="1" applyBorder="1" applyAlignment="1">
      <alignment horizontal="center" vertical="center" wrapText="1"/>
    </xf>
    <xf numFmtId="0" fontId="11" fillId="5" borderId="3" xfId="0" applyFont="1" applyFill="1" applyBorder="1" applyAlignment="1">
      <alignment horizontal="center" vertical="center" wrapText="1"/>
    </xf>
    <xf numFmtId="0" fontId="0" fillId="0" borderId="3" xfId="0" applyBorder="1"/>
    <xf numFmtId="0" fontId="20" fillId="0" borderId="3" xfId="0" applyFont="1" applyBorder="1" applyAlignment="1">
      <alignment horizontal="left" vertical="center" wrapText="1"/>
    </xf>
    <xf numFmtId="0" fontId="13" fillId="3" borderId="12" xfId="0" applyFont="1" applyFill="1" applyBorder="1" applyAlignment="1">
      <alignment horizontal="center" vertical="center"/>
    </xf>
    <xf numFmtId="0" fontId="13" fillId="3" borderId="13" xfId="0" applyFont="1" applyFill="1" applyBorder="1" applyAlignment="1">
      <alignment horizontal="center" vertical="center"/>
    </xf>
    <xf numFmtId="0" fontId="13" fillId="3" borderId="14" xfId="0" applyFont="1" applyFill="1" applyBorder="1" applyAlignment="1">
      <alignment horizontal="center" vertical="center"/>
    </xf>
    <xf numFmtId="0" fontId="21" fillId="9" borderId="15" xfId="0" applyFont="1" applyFill="1" applyBorder="1" applyAlignment="1">
      <alignment horizontal="center" vertical="center" wrapText="1"/>
    </xf>
    <xf numFmtId="0" fontId="21" fillId="9" borderId="3" xfId="0" applyFont="1" applyFill="1" applyBorder="1" applyAlignment="1">
      <alignment horizontal="center" vertical="center" wrapText="1"/>
    </xf>
    <xf numFmtId="0" fontId="21" fillId="9" borderId="16" xfId="0" applyFont="1" applyFill="1" applyBorder="1" applyAlignment="1">
      <alignment horizontal="center" vertical="center" wrapText="1"/>
    </xf>
    <xf numFmtId="0" fontId="20" fillId="0" borderId="15" xfId="0" applyFont="1" applyBorder="1" applyAlignment="1">
      <alignment horizontal="center" vertical="center" wrapText="1"/>
    </xf>
    <xf numFmtId="0" fontId="20"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6"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19" xfId="0" applyFont="1" applyBorder="1" applyAlignment="1">
      <alignment horizontal="center" vertical="center" wrapText="1"/>
    </xf>
    <xf numFmtId="0" fontId="7" fillId="0" borderId="0" xfId="0" applyFont="1" applyFill="1" applyBorder="1" applyAlignment="1">
      <alignment horizontal="center" vertical="center" wrapText="1"/>
    </xf>
    <xf numFmtId="0" fontId="22" fillId="3" borderId="3" xfId="0" applyFont="1" applyFill="1" applyBorder="1" applyAlignment="1">
      <alignment horizontal="center"/>
    </xf>
    <xf numFmtId="0" fontId="22" fillId="3" borderId="4" xfId="0" applyFont="1" applyFill="1" applyBorder="1" applyAlignment="1">
      <alignment horizontal="center"/>
    </xf>
    <xf numFmtId="0" fontId="0" fillId="9" borderId="7" xfId="0" applyFill="1" applyBorder="1" applyAlignment="1">
      <alignment horizontal="center" vertical="center"/>
    </xf>
    <xf numFmtId="0" fontId="14" fillId="3" borderId="1" xfId="2" applyFont="1" applyFill="1" applyBorder="1" applyAlignment="1">
      <alignment horizontal="center" vertical="center"/>
    </xf>
    <xf numFmtId="0" fontId="2" fillId="7" borderId="3" xfId="2" applyFont="1" applyFill="1" applyBorder="1" applyAlignment="1">
      <alignment horizontal="center" vertical="center" wrapText="1"/>
    </xf>
    <xf numFmtId="0" fontId="2" fillId="7" borderId="4" xfId="2" applyFont="1" applyFill="1" applyBorder="1" applyAlignment="1">
      <alignment horizontal="center" vertical="center" wrapText="1"/>
    </xf>
    <xf numFmtId="0" fontId="4" fillId="7" borderId="3" xfId="2" applyFont="1" applyFill="1" applyBorder="1" applyAlignment="1">
      <alignment horizontal="center" vertical="center"/>
    </xf>
    <xf numFmtId="167" fontId="7" fillId="7" borderId="3" xfId="2" applyNumberFormat="1" applyFont="1" applyFill="1" applyBorder="1" applyAlignment="1">
      <alignment horizontal="center" vertical="center" wrapText="1"/>
    </xf>
    <xf numFmtId="10" fontId="2" fillId="7" borderId="3" xfId="2" applyNumberFormat="1" applyFont="1" applyFill="1" applyBorder="1" applyAlignment="1">
      <alignment horizontal="center" vertical="center" wrapText="1"/>
    </xf>
    <xf numFmtId="0" fontId="4" fillId="7" borderId="3" xfId="2" applyFont="1" applyFill="1" applyBorder="1" applyAlignment="1">
      <alignment vertical="center"/>
    </xf>
    <xf numFmtId="0" fontId="32" fillId="6" borderId="3" xfId="0" applyFont="1" applyFill="1" applyBorder="1" applyAlignment="1">
      <alignment horizontal="center" vertical="center" wrapText="1"/>
    </xf>
    <xf numFmtId="0" fontId="19" fillId="9" borderId="3" xfId="0" applyFont="1" applyFill="1" applyBorder="1" applyAlignment="1">
      <alignment horizontal="center" vertical="center"/>
    </xf>
    <xf numFmtId="0" fontId="2" fillId="3" borderId="3" xfId="0" applyFont="1" applyFill="1" applyBorder="1" applyAlignment="1">
      <alignment horizontal="center"/>
    </xf>
    <xf numFmtId="0" fontId="38" fillId="3" borderId="3" xfId="0" applyFont="1" applyFill="1" applyBorder="1" applyAlignment="1">
      <alignment horizontal="center"/>
    </xf>
    <xf numFmtId="0" fontId="35" fillId="0" borderId="3" xfId="0" applyFont="1" applyBorder="1" applyAlignment="1">
      <alignment horizontal="center" vertical="center" wrapText="1"/>
    </xf>
    <xf numFmtId="0" fontId="37" fillId="3" borderId="9" xfId="0" applyFont="1" applyFill="1" applyBorder="1" applyAlignment="1">
      <alignment horizontal="center"/>
    </xf>
    <xf numFmtId="0" fontId="37" fillId="3" borderId="0" xfId="0" applyFont="1" applyFill="1" applyAlignment="1">
      <alignment horizontal="center"/>
    </xf>
    <xf numFmtId="0" fontId="34" fillId="0" borderId="3" xfId="0" applyFont="1" applyBorder="1" applyAlignment="1">
      <alignment horizontal="center" vertical="center" wrapText="1"/>
    </xf>
    <xf numFmtId="0" fontId="33" fillId="0" borderId="3" xfId="0" applyFont="1" applyBorder="1" applyAlignment="1">
      <alignment horizontal="center" vertical="center" wrapText="1"/>
    </xf>
    <xf numFmtId="0" fontId="36" fillId="0" borderId="3" xfId="0" applyFont="1" applyBorder="1" applyAlignment="1">
      <alignment horizontal="center" vertical="center" wrapText="1"/>
    </xf>
    <xf numFmtId="0" fontId="24" fillId="5" borderId="3" xfId="0" applyFont="1" applyFill="1" applyBorder="1" applyAlignment="1">
      <alignment horizontal="center" vertical="center"/>
    </xf>
    <xf numFmtId="0" fontId="7" fillId="3" borderId="0" xfId="0" applyFont="1" applyFill="1" applyAlignment="1">
      <alignment horizontal="center" vertical="center"/>
    </xf>
    <xf numFmtId="0" fontId="23" fillId="9" borderId="3" xfId="0" applyFont="1" applyFill="1" applyBorder="1" applyAlignment="1">
      <alignment horizontal="center" vertical="center"/>
    </xf>
    <xf numFmtId="0" fontId="23" fillId="9" borderId="3" xfId="0" applyFont="1" applyFill="1" applyBorder="1" applyAlignment="1">
      <alignment horizont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0" fillId="0" borderId="3" xfId="0" applyBorder="1" applyAlignment="1">
      <alignment horizontal="center" vertical="center"/>
    </xf>
    <xf numFmtId="2" fontId="0" fillId="9" borderId="11" xfId="0" applyNumberFormat="1" applyFill="1" applyBorder="1" applyAlignment="1">
      <alignment horizontal="center"/>
    </xf>
    <xf numFmtId="2" fontId="0" fillId="9" borderId="6" xfId="0" applyNumberFormat="1" applyFill="1" applyBorder="1" applyAlignment="1">
      <alignment horizontal="center"/>
    </xf>
    <xf numFmtId="170" fontId="30" fillId="5" borderId="3" xfId="3" applyNumberFormat="1" applyFont="1" applyFill="1" applyBorder="1" applyAlignment="1">
      <alignment horizontal="center" shrinkToFit="1"/>
    </xf>
    <xf numFmtId="0" fontId="7" fillId="3" borderId="11" xfId="0" applyFont="1" applyFill="1" applyBorder="1" applyAlignment="1">
      <alignment horizontal="center"/>
    </xf>
    <xf numFmtId="0" fontId="7" fillId="3" borderId="20" xfId="0" applyFont="1" applyFill="1" applyBorder="1" applyAlignment="1">
      <alignment horizontal="center"/>
    </xf>
    <xf numFmtId="0" fontId="7" fillId="3" borderId="6" xfId="0" applyFont="1" applyFill="1" applyBorder="1" applyAlignment="1">
      <alignment horizontal="center"/>
    </xf>
    <xf numFmtId="168" fontId="23" fillId="9" borderId="11" xfId="0" applyNumberFormat="1" applyFont="1" applyFill="1" applyBorder="1" applyAlignment="1">
      <alignment horizontal="center" vertical="center"/>
    </xf>
    <xf numFmtId="168" fontId="23" fillId="9" borderId="6" xfId="0" applyNumberFormat="1" applyFont="1" applyFill="1" applyBorder="1" applyAlignment="1">
      <alignment horizontal="center" vertical="center"/>
    </xf>
    <xf numFmtId="4" fontId="26" fillId="0" borderId="3" xfId="0" applyNumberFormat="1" applyFont="1" applyBorder="1" applyAlignment="1">
      <alignment horizontal="center"/>
    </xf>
    <xf numFmtId="0" fontId="23" fillId="9" borderId="11" xfId="0" applyFont="1" applyFill="1" applyBorder="1" applyAlignment="1">
      <alignment horizontal="center"/>
    </xf>
    <xf numFmtId="0" fontId="23" fillId="9" borderId="6" xfId="0" applyFont="1" applyFill="1" applyBorder="1" applyAlignment="1">
      <alignment horizontal="center"/>
    </xf>
    <xf numFmtId="0" fontId="7" fillId="3" borderId="1" xfId="0" applyFont="1" applyFill="1" applyBorder="1" applyAlignment="1">
      <alignment horizontal="center"/>
    </xf>
    <xf numFmtId="0" fontId="28" fillId="2" borderId="3" xfId="0" applyFont="1" applyFill="1" applyBorder="1" applyAlignment="1">
      <alignment horizontal="center" vertical="center"/>
    </xf>
    <xf numFmtId="0" fontId="29" fillId="9" borderId="3" xfId="0" applyFont="1" applyFill="1" applyBorder="1" applyAlignment="1">
      <alignment horizontal="center"/>
    </xf>
    <xf numFmtId="49" fontId="30" fillId="0" borderId="6" xfId="0" applyNumberFormat="1" applyFont="1" applyBorder="1" applyAlignment="1">
      <alignment horizontal="center" vertical="top" wrapText="1" shrinkToFit="1"/>
    </xf>
    <xf numFmtId="49" fontId="30" fillId="0" borderId="3" xfId="0" applyNumberFormat="1" applyFont="1" applyBorder="1" applyAlignment="1">
      <alignment horizontal="center" vertical="top" wrapText="1" shrinkToFit="1"/>
    </xf>
    <xf numFmtId="170" fontId="30" fillId="5" borderId="11" xfId="3" applyNumberFormat="1" applyFont="1" applyFill="1" applyBorder="1" applyAlignment="1">
      <alignment horizontal="center" shrinkToFit="1"/>
    </xf>
    <xf numFmtId="170" fontId="30" fillId="5" borderId="20" xfId="3" applyNumberFormat="1" applyFont="1" applyFill="1" applyBorder="1" applyAlignment="1">
      <alignment horizontal="center" shrinkToFit="1"/>
    </xf>
    <xf numFmtId="170" fontId="30" fillId="5" borderId="6" xfId="3" applyNumberFormat="1" applyFont="1" applyFill="1" applyBorder="1" applyAlignment="1">
      <alignment horizontal="center" shrinkToFit="1"/>
    </xf>
    <xf numFmtId="170" fontId="30" fillId="5" borderId="21" xfId="3" applyNumberFormat="1" applyFont="1" applyFill="1" applyBorder="1" applyAlignment="1">
      <alignment horizontal="center" shrinkToFit="1"/>
    </xf>
    <xf numFmtId="170" fontId="30" fillId="5" borderId="2" xfId="3" applyNumberFormat="1" applyFont="1" applyFill="1" applyBorder="1" applyAlignment="1">
      <alignment horizontal="center" shrinkToFit="1"/>
    </xf>
    <xf numFmtId="170" fontId="30" fillId="5" borderId="5" xfId="3" applyNumberFormat="1" applyFont="1" applyFill="1" applyBorder="1" applyAlignment="1">
      <alignment horizontal="center" shrinkToFit="1"/>
    </xf>
    <xf numFmtId="0" fontId="27" fillId="9" borderId="3" xfId="0" applyFont="1" applyFill="1" applyBorder="1" applyAlignment="1">
      <alignment horizontal="right"/>
    </xf>
    <xf numFmtId="0" fontId="27" fillId="9" borderId="3" xfId="0" applyFont="1" applyFill="1" applyBorder="1" applyAlignment="1">
      <alignment horizontal="center"/>
    </xf>
  </cellXfs>
  <cellStyles count="4">
    <cellStyle name="Currency" xfId="1" builtinId="4"/>
    <cellStyle name="Normal" xfId="0" builtinId="0"/>
    <cellStyle name="Percent" xfId="3" builtinId="5"/>
    <cellStyle name="常规 2" xfId="2" xr:uid="{A0F1B8A0-DCCC-4970-8B6F-329148097867}"/>
  </cellStyles>
  <dxfs count="1">
    <dxf>
      <fill>
        <patternFill patternType="gray0625">
          <bgColor theme="0" tint="-0.149906918546098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C673D-25C7-4352-8BA2-0BEA4C6A1BFB}">
  <sheetPr codeName="Hoja2"/>
  <dimension ref="B2:P27"/>
  <sheetViews>
    <sheetView showGridLines="0" topLeftCell="B7" zoomScale="130" zoomScaleNormal="130" workbookViewId="0">
      <selection activeCell="F23" sqref="F23"/>
    </sheetView>
  </sheetViews>
  <sheetFormatPr defaultColWidth="11.42578125" defaultRowHeight="15"/>
  <sheetData>
    <row r="2" spans="2:11" ht="15.75">
      <c r="B2" s="16" t="s">
        <v>64</v>
      </c>
      <c r="C2" s="80" t="s">
        <v>0</v>
      </c>
      <c r="D2" s="80"/>
    </row>
    <row r="3" spans="2:11" ht="15.75">
      <c r="B3" s="16" t="s">
        <v>65</v>
      </c>
      <c r="C3" s="80" t="s">
        <v>1</v>
      </c>
      <c r="D3" s="80"/>
    </row>
    <row r="5" spans="2:11" ht="15.75" thickBot="1"/>
    <row r="6" spans="2:11" ht="21">
      <c r="B6" s="81" t="s">
        <v>66</v>
      </c>
      <c r="C6" s="82"/>
      <c r="D6" s="82"/>
      <c r="E6" s="82"/>
      <c r="F6" s="82"/>
      <c r="G6" s="82"/>
      <c r="H6" s="82"/>
      <c r="I6" s="82"/>
      <c r="J6" s="82"/>
      <c r="K6" s="83"/>
    </row>
    <row r="7" spans="2:11" ht="15.75">
      <c r="B7" s="84" t="s">
        <v>67</v>
      </c>
      <c r="C7" s="85"/>
      <c r="D7" s="85"/>
      <c r="E7" s="85"/>
      <c r="F7" s="85"/>
      <c r="G7" s="85"/>
      <c r="H7" s="85"/>
      <c r="I7" s="85"/>
      <c r="J7" s="85"/>
      <c r="K7" s="86"/>
    </row>
    <row r="8" spans="2:11" ht="15.75">
      <c r="B8" s="84" t="s">
        <v>1</v>
      </c>
      <c r="C8" s="85"/>
      <c r="D8" s="85"/>
      <c r="E8" s="85"/>
      <c r="F8" s="85" t="s">
        <v>68</v>
      </c>
      <c r="G8" s="85"/>
      <c r="H8" s="85"/>
      <c r="I8" s="85"/>
      <c r="J8" s="85"/>
      <c r="K8" s="86"/>
    </row>
    <row r="9" spans="2:11">
      <c r="B9" s="87" t="s">
        <v>69</v>
      </c>
      <c r="C9" s="88"/>
      <c r="D9" s="88"/>
      <c r="E9" s="88"/>
      <c r="F9" s="89"/>
      <c r="G9" s="89"/>
      <c r="H9" s="89"/>
      <c r="I9" s="89"/>
      <c r="J9" s="89"/>
      <c r="K9" s="90"/>
    </row>
    <row r="10" spans="2:11">
      <c r="B10" s="87" t="s">
        <v>70</v>
      </c>
      <c r="C10" s="88"/>
      <c r="D10" s="88"/>
      <c r="E10" s="88"/>
      <c r="F10" s="89"/>
      <c r="G10" s="89"/>
      <c r="H10" s="89"/>
      <c r="I10" s="89"/>
      <c r="J10" s="89"/>
      <c r="K10" s="90"/>
    </row>
    <row r="11" spans="2:11">
      <c r="B11" s="87" t="s">
        <v>71</v>
      </c>
      <c r="C11" s="88"/>
      <c r="D11" s="88"/>
      <c r="E11" s="88"/>
      <c r="F11" s="89"/>
      <c r="G11" s="89"/>
      <c r="H11" s="89"/>
      <c r="I11" s="89"/>
      <c r="J11" s="89"/>
      <c r="K11" s="90"/>
    </row>
    <row r="12" spans="2:11" ht="15.75" thickBot="1">
      <c r="B12" s="91" t="s">
        <v>72</v>
      </c>
      <c r="C12" s="92"/>
      <c r="D12" s="92"/>
      <c r="E12" s="92"/>
      <c r="F12" s="93"/>
      <c r="G12" s="93"/>
      <c r="H12" s="93"/>
      <c r="I12" s="93"/>
      <c r="J12" s="93"/>
      <c r="K12" s="94"/>
    </row>
    <row r="16" spans="2:11" ht="18.75">
      <c r="B16" s="96" t="s">
        <v>5</v>
      </c>
      <c r="C16" s="97"/>
      <c r="D16" s="97"/>
    </row>
    <row r="17" spans="2:16">
      <c r="B17" s="17" t="s">
        <v>6</v>
      </c>
      <c r="C17" s="17">
        <v>1</v>
      </c>
      <c r="D17" s="18" t="s">
        <v>7</v>
      </c>
      <c r="M17" s="95"/>
      <c r="N17" s="20"/>
      <c r="O17" s="20"/>
      <c r="P17" s="21"/>
    </row>
    <row r="18" spans="2:16">
      <c r="B18" s="17" t="s">
        <v>8</v>
      </c>
      <c r="C18" s="17">
        <v>2</v>
      </c>
      <c r="D18" s="98"/>
      <c r="M18" s="95"/>
      <c r="N18" s="20"/>
      <c r="O18" s="20"/>
      <c r="P18" s="21"/>
    </row>
    <row r="19" spans="2:16">
      <c r="B19" s="17" t="s">
        <v>9</v>
      </c>
      <c r="C19" s="17">
        <v>3</v>
      </c>
      <c r="D19" s="98"/>
      <c r="M19" s="95"/>
      <c r="N19" s="20"/>
      <c r="O19" s="20"/>
      <c r="P19" s="21"/>
    </row>
    <row r="20" spans="2:16">
      <c r="B20" s="17" t="s">
        <v>10</v>
      </c>
      <c r="C20" s="17">
        <v>5</v>
      </c>
      <c r="D20" s="98"/>
      <c r="M20" s="95"/>
      <c r="N20" s="20"/>
      <c r="O20" s="20"/>
      <c r="P20" s="21"/>
    </row>
    <row r="21" spans="2:16">
      <c r="B21" s="17" t="s">
        <v>11</v>
      </c>
      <c r="C21" s="17">
        <v>8</v>
      </c>
      <c r="D21" s="98"/>
      <c r="M21" s="95"/>
      <c r="N21" s="20"/>
      <c r="O21" s="20"/>
      <c r="P21" s="21"/>
    </row>
    <row r="22" spans="2:16">
      <c r="B22" s="17" t="s">
        <v>12</v>
      </c>
      <c r="C22" s="17">
        <v>13</v>
      </c>
      <c r="D22" s="98"/>
      <c r="M22" s="95"/>
      <c r="N22" s="20"/>
      <c r="O22" s="20"/>
      <c r="P22" s="21"/>
    </row>
    <row r="23" spans="2:16">
      <c r="B23" s="17" t="s">
        <v>13</v>
      </c>
      <c r="C23" s="17">
        <v>21</v>
      </c>
      <c r="D23" s="98"/>
      <c r="M23" s="95"/>
      <c r="N23" s="20"/>
      <c r="O23" s="20"/>
      <c r="P23" s="21"/>
    </row>
    <row r="24" spans="2:16">
      <c r="B24" s="17" t="s">
        <v>14</v>
      </c>
      <c r="C24" s="17">
        <v>34</v>
      </c>
      <c r="D24" s="98"/>
      <c r="M24" s="95"/>
      <c r="N24" s="20"/>
      <c r="O24" s="20"/>
      <c r="P24" s="21"/>
    </row>
    <row r="25" spans="2:16">
      <c r="B25" s="17" t="s">
        <v>15</v>
      </c>
      <c r="C25" s="17">
        <v>55</v>
      </c>
      <c r="D25" s="98"/>
      <c r="M25" s="95"/>
      <c r="N25" s="20"/>
      <c r="O25" s="20"/>
      <c r="P25" s="21"/>
    </row>
    <row r="26" spans="2:16">
      <c r="B26" s="17" t="s">
        <v>16</v>
      </c>
      <c r="C26" s="17">
        <v>89</v>
      </c>
      <c r="D26" s="98"/>
      <c r="M26" s="95"/>
      <c r="N26" s="20"/>
      <c r="O26" s="20"/>
      <c r="P26" s="21"/>
    </row>
    <row r="27" spans="2:16">
      <c r="B27" s="17" t="s">
        <v>17</v>
      </c>
      <c r="C27" s="17">
        <v>144</v>
      </c>
      <c r="D27" s="19" t="s">
        <v>18</v>
      </c>
      <c r="M27" s="95"/>
      <c r="N27" s="20"/>
      <c r="O27" s="20"/>
      <c r="P27" s="21"/>
    </row>
  </sheetData>
  <mergeCells count="17">
    <mergeCell ref="B12:E12"/>
    <mergeCell ref="F12:K12"/>
    <mergeCell ref="M17:M27"/>
    <mergeCell ref="B16:D16"/>
    <mergeCell ref="D18:D26"/>
    <mergeCell ref="B9:E9"/>
    <mergeCell ref="F9:K9"/>
    <mergeCell ref="B10:E10"/>
    <mergeCell ref="F10:K10"/>
    <mergeCell ref="B11:E11"/>
    <mergeCell ref="F11:K11"/>
    <mergeCell ref="C2:D2"/>
    <mergeCell ref="C3:D3"/>
    <mergeCell ref="B6:K6"/>
    <mergeCell ref="B7:K7"/>
    <mergeCell ref="B8:E8"/>
    <mergeCell ref="F8:K8"/>
  </mergeCells>
  <pageMargins left="0.7" right="0.7" top="0.75" bottom="0.75" header="0.3" footer="0.3"/>
  <pageSetup paperSize="9" orientation="landscape" horizontalDpi="0"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B88D4-189B-45B3-9497-EA4A43D401A6}">
  <sheetPr codeName="Hoja1">
    <pageSetUpPr fitToPage="1"/>
  </sheetPr>
  <dimension ref="A1:M14"/>
  <sheetViews>
    <sheetView showGridLines="0" tabSelected="1" zoomScaleNormal="100" workbookViewId="0">
      <selection activeCell="B8" sqref="B8:G9"/>
    </sheetView>
  </sheetViews>
  <sheetFormatPr defaultColWidth="11.42578125" defaultRowHeight="15"/>
  <cols>
    <col min="1" max="1" width="16.28515625" customWidth="1"/>
    <col min="2" max="2" width="45.28515625" customWidth="1"/>
    <col min="13" max="13" width="39" customWidth="1"/>
  </cols>
  <sheetData>
    <row r="1" spans="1:13" ht="23.25">
      <c r="A1" s="99" t="s">
        <v>19</v>
      </c>
      <c r="B1" s="99"/>
      <c r="C1" s="99"/>
      <c r="D1" s="99"/>
      <c r="E1" s="99"/>
      <c r="F1" s="99"/>
      <c r="G1" s="99"/>
      <c r="H1" s="99"/>
      <c r="I1" s="99"/>
      <c r="J1" s="99"/>
      <c r="K1" s="99"/>
      <c r="L1" s="99"/>
      <c r="M1" s="99"/>
    </row>
    <row r="2" spans="1:13">
      <c r="A2" s="1"/>
      <c r="B2" s="2" t="s">
        <v>20</v>
      </c>
      <c r="C2" s="3"/>
      <c r="D2" s="4"/>
      <c r="E2" s="4"/>
      <c r="F2" s="4"/>
      <c r="G2" s="4"/>
      <c r="H2" s="4"/>
      <c r="I2" s="4"/>
      <c r="J2" s="4"/>
      <c r="K2" s="3"/>
      <c r="L2" s="3"/>
      <c r="M2" s="3"/>
    </row>
    <row r="3" spans="1:13" ht="15.75">
      <c r="A3" s="100" t="s">
        <v>21</v>
      </c>
      <c r="B3" s="100" t="s">
        <v>22</v>
      </c>
      <c r="C3" s="100" t="s">
        <v>23</v>
      </c>
      <c r="D3" s="103" t="s">
        <v>24</v>
      </c>
      <c r="E3" s="103"/>
      <c r="F3" s="103"/>
      <c r="G3" s="103"/>
      <c r="H3" s="103"/>
      <c r="I3" s="103"/>
      <c r="J3" s="103"/>
      <c r="K3" s="103"/>
      <c r="L3" s="103"/>
      <c r="M3" s="104" t="s">
        <v>25</v>
      </c>
    </row>
    <row r="4" spans="1:13" ht="30">
      <c r="A4" s="100"/>
      <c r="B4" s="101"/>
      <c r="C4" s="102"/>
      <c r="D4" s="12" t="s">
        <v>26</v>
      </c>
      <c r="E4" s="12" t="s">
        <v>27</v>
      </c>
      <c r="F4" s="12" t="s">
        <v>28</v>
      </c>
      <c r="G4" s="13" t="s">
        <v>29</v>
      </c>
      <c r="H4" s="13" t="s">
        <v>30</v>
      </c>
      <c r="I4" s="13" t="s">
        <v>31</v>
      </c>
      <c r="J4" s="13" t="s">
        <v>32</v>
      </c>
      <c r="K4" s="14" t="s">
        <v>33</v>
      </c>
      <c r="L4" s="14" t="s">
        <v>34</v>
      </c>
      <c r="M4" s="105"/>
    </row>
    <row r="5" spans="1:13" ht="43.35" customHeight="1">
      <c r="A5" s="10" t="s">
        <v>35</v>
      </c>
      <c r="B5" s="9" t="s">
        <v>112</v>
      </c>
      <c r="C5" s="5"/>
      <c r="D5" s="6">
        <v>5</v>
      </c>
      <c r="E5" s="6">
        <v>2</v>
      </c>
      <c r="F5" s="6">
        <v>2</v>
      </c>
      <c r="G5" s="71">
        <v>1</v>
      </c>
      <c r="H5" s="74">
        <f t="shared" ref="H5:H14" si="0">MAX(D5:G5)</f>
        <v>5</v>
      </c>
      <c r="I5" s="74">
        <f t="shared" ref="I5:I14" si="1">IF(SUM(D5:F5)&lt;&gt;0,AVERAGE(D5:F5),0)</f>
        <v>3</v>
      </c>
      <c r="J5" s="74">
        <f t="shared" ref="J5:J14" si="2">MIN(D5:F5)</f>
        <v>2</v>
      </c>
      <c r="K5" s="75">
        <f t="shared" ref="K5:K14" si="3">IF(I5&lt;&gt;0,MAX((H5-I5)/I5*100%,(I5-J5)/I5*100%),0)</f>
        <v>0.66666666666666663</v>
      </c>
      <c r="L5" s="7"/>
      <c r="M5" s="8"/>
    </row>
    <row r="6" spans="1:13" ht="43.9" customHeight="1">
      <c r="A6" s="10" t="s">
        <v>37</v>
      </c>
      <c r="B6" s="9" t="s">
        <v>112</v>
      </c>
      <c r="C6" s="5"/>
      <c r="D6" s="6">
        <v>5</v>
      </c>
      <c r="E6" s="6">
        <v>5</v>
      </c>
      <c r="F6" s="6">
        <v>5</v>
      </c>
      <c r="G6" s="71">
        <v>1</v>
      </c>
      <c r="H6" s="74">
        <f t="shared" si="0"/>
        <v>5</v>
      </c>
      <c r="I6" s="74">
        <f t="shared" si="1"/>
        <v>5</v>
      </c>
      <c r="J6" s="74">
        <f t="shared" si="2"/>
        <v>5</v>
      </c>
      <c r="K6" s="75">
        <f t="shared" si="3"/>
        <v>0</v>
      </c>
      <c r="L6" s="7"/>
      <c r="M6" s="8"/>
    </row>
    <row r="7" spans="1:13" ht="45">
      <c r="A7" s="67" t="s">
        <v>38</v>
      </c>
      <c r="B7" s="9" t="s">
        <v>112</v>
      </c>
      <c r="C7" s="69"/>
      <c r="D7" s="6">
        <v>8</v>
      </c>
      <c r="E7" s="6">
        <v>13</v>
      </c>
      <c r="F7" s="6">
        <v>8</v>
      </c>
      <c r="G7" s="71">
        <v>1</v>
      </c>
      <c r="H7" s="74">
        <f t="shared" si="0"/>
        <v>13</v>
      </c>
      <c r="I7" s="74">
        <f>IF(SUM(D7:F7)&lt;&gt;0,AVERAGE(D7:F7),0)</f>
        <v>9.6666666666666661</v>
      </c>
      <c r="J7" s="74">
        <f t="shared" si="2"/>
        <v>8</v>
      </c>
      <c r="K7" s="75">
        <f>IF(I7&lt;&gt;0,MAX((H7-I7)/I7*100%,(I7-J7)/I7*100%),0)</f>
        <v>0.34482758620689663</v>
      </c>
      <c r="L7" s="7"/>
      <c r="M7" s="72"/>
    </row>
    <row r="8" spans="1:13" ht="44.65" customHeight="1">
      <c r="A8" s="10" t="s">
        <v>41</v>
      </c>
      <c r="B8" s="9" t="s">
        <v>112</v>
      </c>
      <c r="C8" s="5"/>
      <c r="D8" s="6">
        <v>5</v>
      </c>
      <c r="E8" s="6">
        <v>5</v>
      </c>
      <c r="F8" s="6">
        <v>5</v>
      </c>
      <c r="G8" s="71">
        <v>2</v>
      </c>
      <c r="H8" s="74">
        <f t="shared" si="0"/>
        <v>5</v>
      </c>
      <c r="I8" s="74">
        <f t="shared" si="1"/>
        <v>5</v>
      </c>
      <c r="J8" s="74">
        <f t="shared" si="2"/>
        <v>5</v>
      </c>
      <c r="K8" s="75">
        <f t="shared" si="3"/>
        <v>0</v>
      </c>
      <c r="L8" s="7"/>
      <c r="M8" s="8"/>
    </row>
    <row r="9" spans="1:13" ht="43.9" customHeight="1">
      <c r="A9" s="67" t="s">
        <v>43</v>
      </c>
      <c r="B9" s="9" t="s">
        <v>112</v>
      </c>
      <c r="C9" s="69"/>
      <c r="D9" s="6">
        <v>8</v>
      </c>
      <c r="E9" s="6">
        <v>8</v>
      </c>
      <c r="F9" s="6">
        <v>8</v>
      </c>
      <c r="G9" s="71">
        <v>2</v>
      </c>
      <c r="H9" s="74">
        <f t="shared" si="0"/>
        <v>8</v>
      </c>
      <c r="I9" s="74">
        <f t="shared" si="1"/>
        <v>8</v>
      </c>
      <c r="J9" s="74">
        <f t="shared" si="2"/>
        <v>8</v>
      </c>
      <c r="K9" s="75">
        <f t="shared" si="3"/>
        <v>0</v>
      </c>
      <c r="L9" s="7"/>
      <c r="M9" s="72"/>
    </row>
    <row r="10" spans="1:13" ht="43.35" customHeight="1">
      <c r="A10" s="10" t="s">
        <v>44</v>
      </c>
      <c r="B10" s="9" t="s">
        <v>112</v>
      </c>
      <c r="C10" s="5"/>
      <c r="D10" s="6">
        <v>3</v>
      </c>
      <c r="E10" s="6">
        <v>3</v>
      </c>
      <c r="F10" s="6">
        <v>3</v>
      </c>
      <c r="G10" s="71">
        <v>1</v>
      </c>
      <c r="H10" s="74">
        <f t="shared" si="0"/>
        <v>3</v>
      </c>
      <c r="I10" s="74">
        <f t="shared" si="1"/>
        <v>3</v>
      </c>
      <c r="J10" s="74">
        <f t="shared" si="2"/>
        <v>3</v>
      </c>
      <c r="K10" s="75">
        <f t="shared" si="3"/>
        <v>0</v>
      </c>
      <c r="L10" s="7"/>
      <c r="M10" s="8"/>
    </row>
    <row r="11" spans="1:13" ht="44.65" customHeight="1">
      <c r="A11" s="67" t="s">
        <v>45</v>
      </c>
      <c r="B11" s="9" t="s">
        <v>112</v>
      </c>
      <c r="C11" s="69"/>
      <c r="D11" s="6">
        <v>1</v>
      </c>
      <c r="E11" s="6">
        <v>1</v>
      </c>
      <c r="F11" s="6">
        <v>1</v>
      </c>
      <c r="G11" s="71"/>
      <c r="H11" s="74">
        <f t="shared" si="0"/>
        <v>1</v>
      </c>
      <c r="I11" s="74">
        <f t="shared" si="1"/>
        <v>1</v>
      </c>
      <c r="J11" s="74">
        <f t="shared" si="2"/>
        <v>1</v>
      </c>
      <c r="K11" s="75">
        <f t="shared" si="3"/>
        <v>0</v>
      </c>
      <c r="L11" s="7"/>
      <c r="M11" s="72"/>
    </row>
    <row r="12" spans="1:13" ht="45">
      <c r="A12" s="10" t="s">
        <v>46</v>
      </c>
      <c r="B12" s="9" t="s">
        <v>112</v>
      </c>
      <c r="C12" s="5"/>
      <c r="D12" s="6">
        <v>1</v>
      </c>
      <c r="E12" s="6">
        <v>1</v>
      </c>
      <c r="F12" s="6">
        <v>1</v>
      </c>
      <c r="G12" s="71"/>
      <c r="H12" s="74">
        <f t="shared" si="0"/>
        <v>1</v>
      </c>
      <c r="I12" s="74">
        <f t="shared" si="1"/>
        <v>1</v>
      </c>
      <c r="J12" s="74">
        <f t="shared" si="2"/>
        <v>1</v>
      </c>
      <c r="K12" s="75">
        <f t="shared" si="3"/>
        <v>0</v>
      </c>
      <c r="L12" s="7"/>
      <c r="M12" s="8"/>
    </row>
    <row r="13" spans="1:13" ht="45">
      <c r="A13" s="67" t="s">
        <v>47</v>
      </c>
      <c r="B13" s="9" t="s">
        <v>112</v>
      </c>
      <c r="C13" s="69"/>
      <c r="D13" s="6">
        <v>2</v>
      </c>
      <c r="E13" s="6">
        <v>2</v>
      </c>
      <c r="F13" s="6">
        <v>2</v>
      </c>
      <c r="G13" s="71"/>
      <c r="H13" s="74">
        <f t="shared" si="0"/>
        <v>2</v>
      </c>
      <c r="I13" s="74">
        <f t="shared" si="1"/>
        <v>2</v>
      </c>
      <c r="J13" s="74">
        <f t="shared" si="2"/>
        <v>2</v>
      </c>
      <c r="K13" s="75">
        <f t="shared" si="3"/>
        <v>0</v>
      </c>
      <c r="L13" s="7"/>
      <c r="M13" s="72"/>
    </row>
    <row r="14" spans="1:13" ht="51.75" customHeight="1">
      <c r="A14" s="11" t="s">
        <v>48</v>
      </c>
      <c r="B14" s="9" t="s">
        <v>112</v>
      </c>
      <c r="C14" s="5"/>
      <c r="D14" s="6"/>
      <c r="E14" s="6"/>
      <c r="F14" s="6"/>
      <c r="G14" s="71"/>
      <c r="H14" s="74">
        <f t="shared" si="0"/>
        <v>0</v>
      </c>
      <c r="I14" s="74">
        <f t="shared" si="1"/>
        <v>0</v>
      </c>
      <c r="J14" s="74">
        <f t="shared" si="2"/>
        <v>0</v>
      </c>
      <c r="K14" s="75">
        <f t="shared" si="3"/>
        <v>0</v>
      </c>
      <c r="L14" s="7"/>
      <c r="M14" s="8"/>
    </row>
  </sheetData>
  <mergeCells count="6">
    <mergeCell ref="A1:M1"/>
    <mergeCell ref="A3:A4"/>
    <mergeCell ref="B3:B4"/>
    <mergeCell ref="C3:C4"/>
    <mergeCell ref="D3:L3"/>
    <mergeCell ref="M3:M4"/>
  </mergeCells>
  <phoneticPr fontId="12" type="noConversion"/>
  <pageMargins left="0.7" right="0.7" top="0.75" bottom="0.75" header="0.3" footer="0.3"/>
  <pageSetup paperSize="9" scale="61" orientation="landscape" horizontalDpi="0" verticalDpi="0"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494D5F1A-2378-4E19-9834-E15C257B0B39}">
          <x14:formula1>
            <xm:f>Lista!$B$2:$B$4</xm:f>
          </x14:formula1>
          <xm:sqref>C5:C14</xm:sqref>
        </x14:dataValidation>
        <x14:dataValidation type="list" allowBlank="1" showInputMessage="1" showErrorMessage="1" xr:uid="{FAD5E60A-CD97-4ED5-ABBF-A65E9A6DCE19}">
          <x14:formula1>
            <xm:f>Lista!$C$2:$C$3</xm:f>
          </x14:formula1>
          <xm:sqref>L5:L14</xm:sqref>
        </x14:dataValidation>
        <x14:dataValidation type="list" allowBlank="1" showInputMessage="1" showErrorMessage="1" xr:uid="{72B9A60F-CDD3-43E2-9227-E808F1BE2DA0}">
          <x14:formula1>
            <xm:f>'1.-Históricos'!$C$17:$C$27</xm:f>
          </x14:formula1>
          <xm:sqref>D5:F14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E908C-E447-41CB-8D9C-336E59252544}">
  <sheetPr codeName="Hoja3">
    <pageSetUpPr fitToPage="1"/>
  </sheetPr>
  <dimension ref="A1:M14"/>
  <sheetViews>
    <sheetView showGridLines="0" zoomScale="85" zoomScaleNormal="85" workbookViewId="0">
      <selection activeCell="F5" sqref="F5"/>
    </sheetView>
  </sheetViews>
  <sheetFormatPr defaultColWidth="11.42578125" defaultRowHeight="15"/>
  <cols>
    <col min="1" max="1" width="19.140625" customWidth="1"/>
    <col min="2" max="2" width="40.5703125" customWidth="1"/>
    <col min="11" max="11" width="13.28515625" customWidth="1"/>
    <col min="13" max="13" width="42.7109375" customWidth="1"/>
  </cols>
  <sheetData>
    <row r="1" spans="1:13" ht="23.25">
      <c r="A1" s="99" t="s">
        <v>49</v>
      </c>
      <c r="B1" s="99"/>
      <c r="C1" s="99"/>
      <c r="D1" s="99"/>
      <c r="E1" s="99"/>
      <c r="F1" s="99"/>
      <c r="G1" s="99"/>
      <c r="H1" s="99"/>
      <c r="I1" s="99"/>
      <c r="J1" s="99"/>
      <c r="K1" s="99"/>
      <c r="L1" s="99"/>
      <c r="M1" s="99"/>
    </row>
    <row r="2" spans="1:13" ht="23.1" customHeight="1">
      <c r="A2" s="1"/>
      <c r="B2" s="2" t="s">
        <v>20</v>
      </c>
      <c r="C2" s="3"/>
      <c r="D2" s="4"/>
      <c r="E2" s="4"/>
      <c r="F2" s="4"/>
      <c r="G2" s="4"/>
      <c r="H2" s="4"/>
      <c r="I2" s="4"/>
      <c r="J2" s="4"/>
      <c r="K2" s="3"/>
      <c r="L2" s="3"/>
      <c r="M2" s="3"/>
    </row>
    <row r="3" spans="1:13" ht="15.75">
      <c r="A3" s="100" t="s">
        <v>21</v>
      </c>
      <c r="B3" s="100" t="s">
        <v>22</v>
      </c>
      <c r="C3" s="100" t="s">
        <v>23</v>
      </c>
      <c r="D3" s="103" t="s">
        <v>24</v>
      </c>
      <c r="E3" s="103"/>
      <c r="F3" s="103"/>
      <c r="G3" s="103"/>
      <c r="H3" s="103"/>
      <c r="I3" s="103"/>
      <c r="J3" s="103"/>
      <c r="K3" s="103"/>
      <c r="L3" s="103"/>
      <c r="M3" s="104" t="s">
        <v>25</v>
      </c>
    </row>
    <row r="4" spans="1:13" ht="30">
      <c r="A4" s="100"/>
      <c r="B4" s="101"/>
      <c r="C4" s="102"/>
      <c r="D4" s="12" t="s">
        <v>26</v>
      </c>
      <c r="E4" s="12" t="s">
        <v>27</v>
      </c>
      <c r="F4" s="12" t="s">
        <v>28</v>
      </c>
      <c r="G4" s="13" t="s">
        <v>29</v>
      </c>
      <c r="H4" s="13" t="s">
        <v>30</v>
      </c>
      <c r="I4" s="13" t="s">
        <v>31</v>
      </c>
      <c r="J4" s="13" t="s">
        <v>32</v>
      </c>
      <c r="K4" s="14" t="s">
        <v>33</v>
      </c>
      <c r="L4" s="14" t="s">
        <v>34</v>
      </c>
      <c r="M4" s="105"/>
    </row>
    <row r="5" spans="1:13" ht="44.65" customHeight="1">
      <c r="A5" s="67" t="s">
        <v>35</v>
      </c>
      <c r="B5" s="9" t="s">
        <v>112</v>
      </c>
      <c r="C5" s="69"/>
      <c r="D5" s="70"/>
      <c r="E5" s="70"/>
      <c r="F5" s="70"/>
      <c r="G5" s="71"/>
      <c r="H5" s="74">
        <f t="shared" ref="H5:H14" si="0">MAX(D5:G5)</f>
        <v>0</v>
      </c>
      <c r="I5" s="74">
        <f t="shared" ref="I5:I14" si="1">IF(SUM(D5:F5)&lt;&gt;0,AVERAGE(D5:F5),0)</f>
        <v>0</v>
      </c>
      <c r="J5" s="74">
        <f t="shared" ref="J5:J14" si="2">MIN(D5:F5)</f>
        <v>0</v>
      </c>
      <c r="K5" s="75">
        <f t="shared" ref="K5:K14" si="3">IF(I5&lt;&gt;0,MAX((H5-I5)/I5*100%,(I5-J5)/I5*100%),0)</f>
        <v>0</v>
      </c>
      <c r="L5" s="71"/>
      <c r="M5" s="72"/>
    </row>
    <row r="6" spans="1:13" ht="43.9" customHeight="1">
      <c r="A6" s="67" t="s">
        <v>37</v>
      </c>
      <c r="B6" s="9" t="s">
        <v>112</v>
      </c>
      <c r="C6" s="69"/>
      <c r="D6" s="70"/>
      <c r="E6" s="70"/>
      <c r="F6" s="70"/>
      <c r="G6" s="71"/>
      <c r="H6" s="74">
        <f t="shared" si="0"/>
        <v>0</v>
      </c>
      <c r="I6" s="74">
        <f t="shared" si="1"/>
        <v>0</v>
      </c>
      <c r="J6" s="74">
        <f t="shared" si="2"/>
        <v>0</v>
      </c>
      <c r="K6" s="75">
        <f t="shared" si="3"/>
        <v>0</v>
      </c>
      <c r="L6" s="71"/>
      <c r="M6" s="72"/>
    </row>
    <row r="7" spans="1:13" ht="42.6" customHeight="1">
      <c r="A7" s="67" t="s">
        <v>38</v>
      </c>
      <c r="B7" s="9" t="s">
        <v>112</v>
      </c>
      <c r="C7" s="69"/>
      <c r="D7" s="70"/>
      <c r="E7" s="70"/>
      <c r="F7" s="70"/>
      <c r="G7" s="71"/>
      <c r="H7" s="74">
        <f>MAX(D7:G7)</f>
        <v>0</v>
      </c>
      <c r="I7" s="74">
        <f>IF(SUM(D7:F7)&lt;&gt;0,AVERAGE(D7:F7),0)</f>
        <v>0</v>
      </c>
      <c r="J7" s="74">
        <f t="shared" si="2"/>
        <v>0</v>
      </c>
      <c r="K7" s="75">
        <f t="shared" si="3"/>
        <v>0</v>
      </c>
      <c r="L7" s="71"/>
      <c r="M7" s="72"/>
    </row>
    <row r="8" spans="1:13" ht="46.7" customHeight="1">
      <c r="A8" s="67" t="s">
        <v>41</v>
      </c>
      <c r="B8" s="9" t="s">
        <v>112</v>
      </c>
      <c r="C8" s="69"/>
      <c r="D8" s="70"/>
      <c r="E8" s="70"/>
      <c r="F8" s="70"/>
      <c r="G8" s="71"/>
      <c r="H8" s="74">
        <f t="shared" si="0"/>
        <v>0</v>
      </c>
      <c r="I8" s="74">
        <f t="shared" si="1"/>
        <v>0</v>
      </c>
      <c r="J8" s="74">
        <f t="shared" si="2"/>
        <v>0</v>
      </c>
      <c r="K8" s="75">
        <f t="shared" si="3"/>
        <v>0</v>
      </c>
      <c r="L8" s="71"/>
      <c r="M8" s="72"/>
    </row>
    <row r="9" spans="1:13" ht="45" customHeight="1">
      <c r="A9" s="67" t="s">
        <v>43</v>
      </c>
      <c r="B9" s="9" t="s">
        <v>112</v>
      </c>
      <c r="C9" s="69"/>
      <c r="D9" s="70"/>
      <c r="E9" s="70"/>
      <c r="F9" s="70"/>
      <c r="G9" s="71"/>
      <c r="H9" s="74">
        <f>MAX(D9:G9)</f>
        <v>0</v>
      </c>
      <c r="I9" s="74">
        <f t="shared" si="1"/>
        <v>0</v>
      </c>
      <c r="J9" s="74">
        <f t="shared" si="2"/>
        <v>0</v>
      </c>
      <c r="K9" s="75">
        <f t="shared" si="3"/>
        <v>0</v>
      </c>
      <c r="L9" s="71"/>
      <c r="M9" s="72"/>
    </row>
    <row r="10" spans="1:13" ht="43.35" customHeight="1">
      <c r="A10" s="67" t="s">
        <v>44</v>
      </c>
      <c r="B10" s="9" t="s">
        <v>112</v>
      </c>
      <c r="C10" s="69"/>
      <c r="D10" s="70"/>
      <c r="E10" s="70"/>
      <c r="F10" s="70"/>
      <c r="G10" s="71"/>
      <c r="H10" s="74">
        <f t="shared" si="0"/>
        <v>0</v>
      </c>
      <c r="I10" s="74">
        <f t="shared" si="1"/>
        <v>0</v>
      </c>
      <c r="J10" s="74">
        <f t="shared" si="2"/>
        <v>0</v>
      </c>
      <c r="K10" s="75">
        <f t="shared" si="3"/>
        <v>0</v>
      </c>
      <c r="L10" s="71"/>
      <c r="M10" s="72"/>
    </row>
    <row r="11" spans="1:13" ht="45" customHeight="1">
      <c r="A11" s="67" t="s">
        <v>45</v>
      </c>
      <c r="B11" s="9" t="s">
        <v>112</v>
      </c>
      <c r="C11" s="69"/>
      <c r="D11" s="70"/>
      <c r="E11" s="70"/>
      <c r="F11" s="70"/>
      <c r="G11" s="71"/>
      <c r="H11" s="74">
        <f t="shared" si="0"/>
        <v>0</v>
      </c>
      <c r="I11" s="74">
        <f t="shared" si="1"/>
        <v>0</v>
      </c>
      <c r="J11" s="74">
        <f t="shared" si="2"/>
        <v>0</v>
      </c>
      <c r="K11" s="75">
        <f t="shared" si="3"/>
        <v>0</v>
      </c>
      <c r="L11" s="71"/>
      <c r="M11" s="72"/>
    </row>
    <row r="12" spans="1:13" ht="46.7" customHeight="1">
      <c r="A12" s="67" t="s">
        <v>46</v>
      </c>
      <c r="B12" s="9" t="s">
        <v>112</v>
      </c>
      <c r="C12" s="69"/>
      <c r="D12" s="70"/>
      <c r="E12" s="70"/>
      <c r="F12" s="70"/>
      <c r="G12" s="71"/>
      <c r="H12" s="74">
        <f t="shared" si="0"/>
        <v>0</v>
      </c>
      <c r="I12" s="74">
        <f t="shared" si="1"/>
        <v>0</v>
      </c>
      <c r="J12" s="74">
        <f t="shared" si="2"/>
        <v>0</v>
      </c>
      <c r="K12" s="75">
        <f t="shared" si="3"/>
        <v>0</v>
      </c>
      <c r="L12" s="71"/>
      <c r="M12" s="72"/>
    </row>
    <row r="13" spans="1:13" ht="45" customHeight="1">
      <c r="A13" s="67" t="s">
        <v>47</v>
      </c>
      <c r="B13" s="9" t="s">
        <v>112</v>
      </c>
      <c r="C13" s="69"/>
      <c r="D13" s="70"/>
      <c r="E13" s="70"/>
      <c r="F13" s="70"/>
      <c r="G13" s="71"/>
      <c r="H13" s="74">
        <f t="shared" si="0"/>
        <v>0</v>
      </c>
      <c r="I13" s="74">
        <f t="shared" si="1"/>
        <v>0</v>
      </c>
      <c r="J13" s="74">
        <f t="shared" si="2"/>
        <v>0</v>
      </c>
      <c r="K13" s="75">
        <f t="shared" si="3"/>
        <v>0</v>
      </c>
      <c r="L13" s="71"/>
      <c r="M13" s="72"/>
    </row>
    <row r="14" spans="1:13" ht="46.35" customHeight="1">
      <c r="A14" s="73" t="s">
        <v>48</v>
      </c>
      <c r="B14" s="9" t="s">
        <v>112</v>
      </c>
      <c r="C14" s="69"/>
      <c r="D14" s="70"/>
      <c r="E14" s="70"/>
      <c r="F14" s="70"/>
      <c r="G14" s="71"/>
      <c r="H14" s="74">
        <f t="shared" si="0"/>
        <v>0</v>
      </c>
      <c r="I14" s="74">
        <f t="shared" si="1"/>
        <v>0</v>
      </c>
      <c r="J14" s="74">
        <f t="shared" si="2"/>
        <v>0</v>
      </c>
      <c r="K14" s="75">
        <f t="shared" si="3"/>
        <v>0</v>
      </c>
      <c r="L14" s="71"/>
      <c r="M14" s="72"/>
    </row>
  </sheetData>
  <mergeCells count="6">
    <mergeCell ref="A1:M1"/>
    <mergeCell ref="A3:A4"/>
    <mergeCell ref="B3:B4"/>
    <mergeCell ref="C3:C4"/>
    <mergeCell ref="D3:L3"/>
    <mergeCell ref="M3:M4"/>
  </mergeCells>
  <dataValidations count="1">
    <dataValidation type="list" allowBlank="1" showInputMessage="1" showErrorMessage="1" sqref="L5:L14" xr:uid="{D4569AA5-BAC8-4A42-9B0E-A851CE18706C}">
      <formula1>"Yes,No"</formula1>
    </dataValidation>
  </dataValidations>
  <pageMargins left="0.7" right="0.7" top="0.75" bottom="0.75" header="0.3" footer="0.3"/>
  <pageSetup paperSize="9" scale="60" orientation="landscape" horizontalDpi="0" verticalDpi="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43C3F6-22D3-4EB6-AF2C-C8ACDA2BB87A}">
          <x14:formula1>
            <xm:f>Lista!$B$2:$B$4</xm:f>
          </x14:formula1>
          <xm:sqref>C5:C14</xm:sqref>
        </x14:dataValidation>
        <x14:dataValidation type="list" allowBlank="1" showInputMessage="1" showErrorMessage="1" xr:uid="{D84DC7AA-B60C-4EA6-89D1-D90BC76E5CDA}">
          <x14:formula1>
            <xm:f>'1.-Históricos'!$C$17:$C$27</xm:f>
          </x14:formula1>
          <xm:sqref>D5:F14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A0898-B01F-460F-A9C6-0E88FB98BD40}">
  <sheetPr codeName="Hoja4">
    <pageSetUpPr fitToPage="1"/>
  </sheetPr>
  <dimension ref="A4:T18"/>
  <sheetViews>
    <sheetView showGridLines="0" topLeftCell="B1" zoomScale="85" zoomScaleNormal="85" workbookViewId="0">
      <selection activeCell="T11" sqref="T11"/>
    </sheetView>
  </sheetViews>
  <sheetFormatPr defaultColWidth="11.42578125" defaultRowHeight="15"/>
  <cols>
    <col min="1" max="1" width="20.140625" customWidth="1"/>
    <col min="2" max="2" width="39.7109375" customWidth="1"/>
    <col min="13" max="13" width="37" customWidth="1"/>
  </cols>
  <sheetData>
    <row r="4" spans="1:20" ht="25.35" customHeight="1">
      <c r="A4" s="99" t="s">
        <v>50</v>
      </c>
      <c r="B4" s="99"/>
      <c r="C4" s="99"/>
      <c r="D4" s="99"/>
      <c r="E4" s="99"/>
      <c r="F4" s="99"/>
      <c r="G4" s="99"/>
      <c r="H4" s="99"/>
      <c r="I4" s="99"/>
      <c r="J4" s="99"/>
      <c r="K4" s="99"/>
      <c r="L4" s="99"/>
      <c r="M4" s="99"/>
    </row>
    <row r="5" spans="1:20">
      <c r="A5" s="1"/>
      <c r="B5" s="2" t="s">
        <v>20</v>
      </c>
      <c r="C5" s="3"/>
      <c r="D5" s="4"/>
      <c r="E5" s="4"/>
      <c r="F5" s="4"/>
      <c r="G5" s="4"/>
      <c r="H5" s="4"/>
      <c r="I5" s="4"/>
      <c r="J5" s="4"/>
      <c r="K5" s="3"/>
      <c r="L5" s="3"/>
      <c r="M5" s="3"/>
    </row>
    <row r="6" spans="1:20" ht="30" customHeight="1">
      <c r="A6" s="100" t="s">
        <v>21</v>
      </c>
      <c r="B6" s="100" t="s">
        <v>22</v>
      </c>
      <c r="C6" s="100" t="s">
        <v>23</v>
      </c>
      <c r="D6" s="103" t="s">
        <v>24</v>
      </c>
      <c r="E6" s="103"/>
      <c r="F6" s="103"/>
      <c r="G6" s="103"/>
      <c r="H6" s="103"/>
      <c r="I6" s="103"/>
      <c r="J6" s="103"/>
      <c r="K6" s="103"/>
      <c r="L6" s="103"/>
      <c r="M6" s="104" t="s">
        <v>25</v>
      </c>
      <c r="O6" s="106" t="s">
        <v>118</v>
      </c>
      <c r="P6" s="106"/>
      <c r="Q6" s="106"/>
      <c r="R6" s="78">
        <v>1</v>
      </c>
      <c r="S6" s="78">
        <v>2</v>
      </c>
      <c r="T6" s="78">
        <v>3</v>
      </c>
    </row>
    <row r="7" spans="1:20" ht="29.45" customHeight="1">
      <c r="A7" s="100"/>
      <c r="B7" s="101"/>
      <c r="C7" s="102"/>
      <c r="D7" s="12" t="s">
        <v>26</v>
      </c>
      <c r="E7" s="12" t="s">
        <v>27</v>
      </c>
      <c r="F7" s="12" t="s">
        <v>28</v>
      </c>
      <c r="G7" s="13" t="s">
        <v>29</v>
      </c>
      <c r="H7" s="13" t="s">
        <v>30</v>
      </c>
      <c r="I7" s="13" t="s">
        <v>31</v>
      </c>
      <c r="J7" s="13" t="s">
        <v>32</v>
      </c>
      <c r="K7" s="14" t="s">
        <v>33</v>
      </c>
      <c r="L7" s="14" t="s">
        <v>34</v>
      </c>
      <c r="M7" s="105"/>
      <c r="R7" s="79"/>
      <c r="S7" s="79"/>
      <c r="T7" s="79"/>
    </row>
    <row r="8" spans="1:20" ht="44.65" customHeight="1">
      <c r="A8" s="67" t="s">
        <v>35</v>
      </c>
      <c r="B8" s="68" t="s">
        <v>113</v>
      </c>
      <c r="C8" s="69"/>
      <c r="D8" s="70"/>
      <c r="E8" s="70"/>
      <c r="F8" s="70"/>
      <c r="G8" s="71"/>
      <c r="H8" s="74">
        <f t="shared" ref="H8:H17" si="0">MAX(D8:G8)</f>
        <v>0</v>
      </c>
      <c r="I8" s="74">
        <f t="shared" ref="I8:I17" si="1">IF(SUM(D8:F8)&lt;&gt;0,AVERAGE(D8:F8),0)</f>
        <v>0</v>
      </c>
      <c r="J8" s="74">
        <f t="shared" ref="J8:J17" si="2">MIN(D8:F8)</f>
        <v>0</v>
      </c>
      <c r="K8" s="75">
        <f t="shared" ref="K8:K17" si="3">IF(I8&lt;&gt;0,MAX((H8-I8)/I8*100%,(I8-J8)/I8*100%),0)</f>
        <v>0</v>
      </c>
      <c r="L8" s="71" t="s">
        <v>40</v>
      </c>
      <c r="M8" s="72"/>
    </row>
    <row r="9" spans="1:20" ht="45.6" customHeight="1">
      <c r="A9" s="67" t="s">
        <v>37</v>
      </c>
      <c r="B9" s="68" t="s">
        <v>113</v>
      </c>
      <c r="C9" s="69"/>
      <c r="D9" s="70"/>
      <c r="E9" s="70"/>
      <c r="F9" s="70"/>
      <c r="G9" s="71"/>
      <c r="H9" s="74">
        <f t="shared" si="0"/>
        <v>0</v>
      </c>
      <c r="I9" s="74">
        <f t="shared" si="1"/>
        <v>0</v>
      </c>
      <c r="J9" s="74">
        <f t="shared" si="2"/>
        <v>0</v>
      </c>
      <c r="K9" s="75">
        <f>IF(I9&lt;&gt;0,MAX((H9-I9)/I9*100%,(I9-J9)/I9*100%),0)</f>
        <v>0</v>
      </c>
      <c r="L9" s="71"/>
      <c r="M9" s="72"/>
    </row>
    <row r="10" spans="1:20" ht="46.7" customHeight="1">
      <c r="A10" s="67" t="s">
        <v>38</v>
      </c>
      <c r="B10" s="68" t="s">
        <v>113</v>
      </c>
      <c r="C10" s="69"/>
      <c r="D10" s="70"/>
      <c r="E10" s="70"/>
      <c r="F10" s="70"/>
      <c r="G10" s="71"/>
      <c r="H10" s="74">
        <f t="shared" si="0"/>
        <v>0</v>
      </c>
      <c r="I10" s="74">
        <f>IF(SUM(D10:F10)&lt;&gt;0,AVERAGE(D10:F10),0)</f>
        <v>0</v>
      </c>
      <c r="J10" s="74">
        <f t="shared" si="2"/>
        <v>0</v>
      </c>
      <c r="K10" s="75">
        <f>IF(I10&lt;&gt;0,MAX((H10-I10)/I10*100%,(I10-J10)/I10*100%),0)</f>
        <v>0</v>
      </c>
      <c r="L10" s="71"/>
      <c r="M10" s="72"/>
    </row>
    <row r="11" spans="1:20" ht="42.6" customHeight="1">
      <c r="A11" s="67" t="s">
        <v>41</v>
      </c>
      <c r="B11" s="68" t="s">
        <v>113</v>
      </c>
      <c r="C11" s="69"/>
      <c r="D11" s="70"/>
      <c r="E11" s="70"/>
      <c r="F11" s="70"/>
      <c r="G11" s="71"/>
      <c r="H11" s="74">
        <f t="shared" si="0"/>
        <v>0</v>
      </c>
      <c r="I11" s="74">
        <f t="shared" si="1"/>
        <v>0</v>
      </c>
      <c r="J11" s="74">
        <f t="shared" si="2"/>
        <v>0</v>
      </c>
      <c r="K11" s="75">
        <f>IF(I11&lt;&gt;0,MAX((H11-I11)/I11*100%,(I11-J11)/I11*100%),0)</f>
        <v>0</v>
      </c>
      <c r="L11" s="71"/>
      <c r="M11" s="72"/>
    </row>
    <row r="12" spans="1:20" ht="45" customHeight="1">
      <c r="A12" s="67" t="s">
        <v>43</v>
      </c>
      <c r="B12" s="68" t="s">
        <v>113</v>
      </c>
      <c r="C12" s="69"/>
      <c r="D12" s="70"/>
      <c r="E12" s="70"/>
      <c r="F12" s="70"/>
      <c r="G12" s="71"/>
      <c r="H12" s="74">
        <f t="shared" si="0"/>
        <v>0</v>
      </c>
      <c r="I12" s="74">
        <f t="shared" si="1"/>
        <v>0</v>
      </c>
      <c r="J12" s="74">
        <f t="shared" si="2"/>
        <v>0</v>
      </c>
      <c r="K12" s="75">
        <f t="shared" si="3"/>
        <v>0</v>
      </c>
      <c r="L12" s="71"/>
      <c r="M12" s="72"/>
    </row>
    <row r="13" spans="1:20" ht="43.35" customHeight="1">
      <c r="A13" s="67" t="s">
        <v>44</v>
      </c>
      <c r="B13" s="68" t="s">
        <v>113</v>
      </c>
      <c r="C13" s="69"/>
      <c r="D13" s="70"/>
      <c r="E13" s="70"/>
      <c r="F13" s="70"/>
      <c r="G13" s="71"/>
      <c r="H13" s="74">
        <f t="shared" si="0"/>
        <v>0</v>
      </c>
      <c r="I13" s="74">
        <f t="shared" si="1"/>
        <v>0</v>
      </c>
      <c r="J13" s="74">
        <f t="shared" si="2"/>
        <v>0</v>
      </c>
      <c r="K13" s="75">
        <f t="shared" si="3"/>
        <v>0</v>
      </c>
      <c r="L13" s="71"/>
      <c r="M13" s="72"/>
    </row>
    <row r="14" spans="1:20" ht="46.35" customHeight="1">
      <c r="A14" s="67" t="s">
        <v>45</v>
      </c>
      <c r="B14" s="68" t="s">
        <v>113</v>
      </c>
      <c r="C14" s="69"/>
      <c r="D14" s="70"/>
      <c r="E14" s="70"/>
      <c r="F14" s="70"/>
      <c r="G14" s="71"/>
      <c r="H14" s="74">
        <f t="shared" si="0"/>
        <v>0</v>
      </c>
      <c r="I14" s="74">
        <f t="shared" si="1"/>
        <v>0</v>
      </c>
      <c r="J14" s="74">
        <f t="shared" si="2"/>
        <v>0</v>
      </c>
      <c r="K14" s="75">
        <f t="shared" si="3"/>
        <v>0</v>
      </c>
      <c r="L14" s="71"/>
      <c r="M14" s="72"/>
    </row>
    <row r="15" spans="1:20" ht="46.35" customHeight="1">
      <c r="A15" s="67" t="s">
        <v>46</v>
      </c>
      <c r="B15" s="68" t="s">
        <v>113</v>
      </c>
      <c r="C15" s="69"/>
      <c r="D15" s="70"/>
      <c r="E15" s="70"/>
      <c r="F15" s="70"/>
      <c r="G15" s="71"/>
      <c r="H15" s="74">
        <f t="shared" si="0"/>
        <v>0</v>
      </c>
      <c r="I15" s="74">
        <f t="shared" si="1"/>
        <v>0</v>
      </c>
      <c r="J15" s="74">
        <f t="shared" si="2"/>
        <v>0</v>
      </c>
      <c r="K15" s="75">
        <f t="shared" si="3"/>
        <v>0</v>
      </c>
      <c r="L15" s="71"/>
      <c r="M15" s="72"/>
    </row>
    <row r="16" spans="1:20" ht="45">
      <c r="A16" s="67" t="s">
        <v>47</v>
      </c>
      <c r="B16" s="68" t="s">
        <v>113</v>
      </c>
      <c r="C16" s="69"/>
      <c r="D16" s="70"/>
      <c r="E16" s="70"/>
      <c r="F16" s="70"/>
      <c r="G16" s="71"/>
      <c r="H16" s="74">
        <f t="shared" si="0"/>
        <v>0</v>
      </c>
      <c r="I16" s="74">
        <f t="shared" si="1"/>
        <v>0</v>
      </c>
      <c r="J16" s="74">
        <f t="shared" si="2"/>
        <v>0</v>
      </c>
      <c r="K16" s="75">
        <f t="shared" si="3"/>
        <v>0</v>
      </c>
      <c r="L16" s="71"/>
      <c r="M16" s="72"/>
    </row>
    <row r="17" spans="1:13" ht="45">
      <c r="A17" s="73" t="s">
        <v>48</v>
      </c>
      <c r="B17" s="68" t="s">
        <v>113</v>
      </c>
      <c r="C17" s="69"/>
      <c r="D17" s="70"/>
      <c r="E17" s="70"/>
      <c r="F17" s="70"/>
      <c r="G17" s="71"/>
      <c r="H17" s="74">
        <f t="shared" si="0"/>
        <v>0</v>
      </c>
      <c r="I17" s="74">
        <f t="shared" si="1"/>
        <v>0</v>
      </c>
      <c r="J17" s="74">
        <f t="shared" si="2"/>
        <v>0</v>
      </c>
      <c r="K17" s="75">
        <f t="shared" si="3"/>
        <v>0</v>
      </c>
      <c r="L17" s="71"/>
      <c r="M17" s="72"/>
    </row>
    <row r="18" spans="1:13" ht="34.9" customHeight="1">
      <c r="A18" s="106" t="s">
        <v>73</v>
      </c>
      <c r="B18" s="106"/>
      <c r="C18" s="106"/>
      <c r="D18" s="77">
        <f>SUM(D8:D17)</f>
        <v>0</v>
      </c>
      <c r="E18" s="77">
        <f>SUM(E8:E17)</f>
        <v>0</v>
      </c>
      <c r="F18" s="77">
        <f>SUM(F8:F17)</f>
        <v>0</v>
      </c>
    </row>
  </sheetData>
  <mergeCells count="8">
    <mergeCell ref="O6:Q6"/>
    <mergeCell ref="A18:C18"/>
    <mergeCell ref="A4:M4"/>
    <mergeCell ref="A6:A7"/>
    <mergeCell ref="B6:B7"/>
    <mergeCell ref="C6:C7"/>
    <mergeCell ref="D6:L6"/>
    <mergeCell ref="M6:M7"/>
  </mergeCells>
  <conditionalFormatting sqref="C8:K8 D9:F17">
    <cfRule type="expression" dxfId="0" priority="1">
      <formula>$C$8:$K$8="SI"</formula>
    </cfRule>
  </conditionalFormatting>
  <dataValidations count="1">
    <dataValidation type="list" allowBlank="1" showInputMessage="1" showErrorMessage="1" sqref="L8:L17" xr:uid="{1CBB1A8E-D01D-42D9-ADC0-DBEDCD04F80B}">
      <formula1>"Yes,No"</formula1>
    </dataValidation>
  </dataValidations>
  <pageMargins left="0.7" right="0.7" top="0.75" bottom="0.75" header="0.3" footer="0.3"/>
  <pageSetup paperSize="9" scale="45" orientation="landscape" horizontalDpi="0" verticalDpi="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DE4A00A6-92F6-44A7-BC8A-B1B0CAF56FF9}">
          <x14:formula1>
            <xm:f>Lista!$B$2:$B$4</xm:f>
          </x14:formula1>
          <xm:sqref>C8:C17</xm:sqref>
        </x14:dataValidation>
        <x14:dataValidation type="list" allowBlank="1" showInputMessage="1" showErrorMessage="1" xr:uid="{56180B4F-1A41-467E-8B81-6D8684A04BA3}">
          <x14:formula1>
            <xm:f>'1.-Históricos'!$C$17:$C$27</xm:f>
          </x14:formula1>
          <xm:sqref>D8:F17</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DA287-C881-415A-8AEF-629E2E8FCEE6}">
  <sheetPr codeName="Hoja5">
    <pageSetUpPr fitToPage="1"/>
  </sheetPr>
  <dimension ref="A2:P19"/>
  <sheetViews>
    <sheetView showGridLines="0" zoomScaleNormal="100" workbookViewId="0">
      <selection activeCell="A6" sqref="A6"/>
    </sheetView>
  </sheetViews>
  <sheetFormatPr defaultColWidth="11.42578125" defaultRowHeight="15"/>
  <cols>
    <col min="1" max="1" width="20.5703125" customWidth="1"/>
    <col min="2" max="2" width="11.7109375" customWidth="1"/>
    <col min="3" max="3" width="13.85546875" customWidth="1"/>
    <col min="10" max="10" width="15.28515625" customWidth="1"/>
    <col min="11" max="11" width="17.85546875" customWidth="1"/>
  </cols>
  <sheetData>
    <row r="2" spans="1:16">
      <c r="A2" s="111" t="s">
        <v>63</v>
      </c>
      <c r="B2" s="112"/>
      <c r="C2" s="112"/>
      <c r="D2" s="112"/>
      <c r="E2" s="112"/>
      <c r="F2" s="112"/>
      <c r="G2" s="112"/>
      <c r="L2" s="51"/>
    </row>
    <row r="3" spans="1:16" ht="56.45" customHeight="1">
      <c r="A3" s="61" t="s">
        <v>3</v>
      </c>
      <c r="B3" s="114" t="s">
        <v>109</v>
      </c>
      <c r="C3" s="114"/>
      <c r="D3" s="114"/>
      <c r="E3" s="113" t="s">
        <v>108</v>
      </c>
      <c r="F3" s="113"/>
      <c r="G3" s="113"/>
    </row>
    <row r="4" spans="1:16" ht="42" customHeight="1">
      <c r="A4" s="61" t="s">
        <v>4</v>
      </c>
      <c r="B4" s="115" t="s">
        <v>111</v>
      </c>
      <c r="C4" s="115"/>
      <c r="D4" s="115"/>
      <c r="E4" s="110" t="s">
        <v>110</v>
      </c>
      <c r="F4" s="110"/>
      <c r="G4" s="110"/>
    </row>
    <row r="5" spans="1:16">
      <c r="A5" s="56" t="s">
        <v>29</v>
      </c>
      <c r="B5" s="56" t="s">
        <v>51</v>
      </c>
      <c r="C5" s="57" t="s">
        <v>52</v>
      </c>
      <c r="D5" s="62"/>
      <c r="E5" s="62"/>
      <c r="F5" s="62"/>
      <c r="G5" s="62"/>
    </row>
    <row r="6" spans="1:16" ht="26.65" customHeight="1">
      <c r="A6" s="63">
        <v>1</v>
      </c>
      <c r="B6" s="63">
        <f>'4.-Round 3'!R7</f>
        <v>0</v>
      </c>
      <c r="C6" s="63">
        <f>SUM(B6:B8)</f>
        <v>0</v>
      </c>
      <c r="D6" s="62"/>
      <c r="E6" s="62"/>
      <c r="F6" s="62"/>
      <c r="G6" s="62"/>
    </row>
    <row r="7" spans="1:16" ht="14.45" customHeight="1">
      <c r="A7" s="63">
        <v>2</v>
      </c>
      <c r="B7" s="63">
        <f>'4.-Round 3'!S7</f>
        <v>0</v>
      </c>
      <c r="C7" s="62"/>
      <c r="D7" s="62"/>
      <c r="E7" s="62"/>
      <c r="F7" s="62"/>
      <c r="G7" s="62"/>
    </row>
    <row r="8" spans="1:16" ht="14.45" customHeight="1">
      <c r="A8" s="63">
        <v>3</v>
      </c>
      <c r="B8" s="63">
        <f>'4.-Round 3'!T7</f>
        <v>0</v>
      </c>
      <c r="C8" s="62"/>
      <c r="D8" s="62"/>
      <c r="E8" s="62"/>
      <c r="F8" s="62"/>
      <c r="G8" s="62"/>
    </row>
    <row r="9" spans="1:16" ht="14.45" customHeight="1">
      <c r="A9" s="62"/>
      <c r="B9" s="62"/>
      <c r="C9" s="62"/>
      <c r="D9" s="62"/>
      <c r="E9" s="62"/>
      <c r="F9" s="62"/>
      <c r="G9" s="62"/>
    </row>
    <row r="10" spans="1:16" ht="14.45" customHeight="1">
      <c r="A10" s="17" t="s">
        <v>74</v>
      </c>
      <c r="B10" s="64">
        <f>'4.-Round 3'!D18</f>
        <v>0</v>
      </c>
      <c r="C10" s="64">
        <f>'4.-Round 3'!E18</f>
        <v>0</v>
      </c>
      <c r="D10" s="64">
        <f>'4.-Round 3'!F18</f>
        <v>0</v>
      </c>
      <c r="E10" s="62"/>
      <c r="F10" s="62"/>
      <c r="G10" s="62"/>
    </row>
    <row r="11" spans="1:16" ht="14.45" customHeight="1">
      <c r="A11" s="50" t="s">
        <v>107</v>
      </c>
      <c r="B11" s="107">
        <f>MAX(B10:D10)</f>
        <v>0</v>
      </c>
      <c r="C11" s="107"/>
      <c r="D11" s="107"/>
      <c r="E11" s="62"/>
      <c r="F11" s="62"/>
      <c r="G11" s="62"/>
    </row>
    <row r="12" spans="1:16" ht="14.45" customHeight="1">
      <c r="A12" s="52"/>
      <c r="B12" s="20"/>
      <c r="C12" s="20"/>
      <c r="D12" s="65"/>
      <c r="E12" s="62"/>
      <c r="F12" s="62"/>
      <c r="G12" s="62"/>
      <c r="N12" s="58"/>
      <c r="O12" s="21"/>
      <c r="P12" s="59"/>
    </row>
    <row r="13" spans="1:16" ht="14.45" customHeight="1">
      <c r="A13" s="52"/>
      <c r="B13" s="20"/>
      <c r="C13" s="20"/>
      <c r="D13" s="65"/>
      <c r="E13" s="62"/>
      <c r="F13" s="62"/>
      <c r="G13" s="62"/>
      <c r="N13" s="58"/>
      <c r="O13" s="60"/>
      <c r="P13" s="59"/>
    </row>
    <row r="14" spans="1:16" ht="14.45" customHeight="1">
      <c r="A14" s="108" t="s">
        <v>59</v>
      </c>
      <c r="B14" s="108"/>
      <c r="C14" s="20"/>
      <c r="D14" s="65"/>
      <c r="E14" s="62"/>
      <c r="F14" s="62"/>
      <c r="G14" s="62"/>
    </row>
    <row r="15" spans="1:16" ht="26.65" customHeight="1">
      <c r="A15" s="66" t="s">
        <v>58</v>
      </c>
      <c r="B15" s="66" t="s">
        <v>60</v>
      </c>
      <c r="C15" s="20"/>
      <c r="D15" s="65"/>
      <c r="E15" s="62"/>
      <c r="F15" s="62"/>
      <c r="G15" s="62"/>
    </row>
    <row r="16" spans="1:16" ht="24" customHeight="1">
      <c r="A16" s="76" t="s">
        <v>117</v>
      </c>
      <c r="B16" s="76">
        <v>6</v>
      </c>
      <c r="C16" s="20"/>
      <c r="D16" s="65"/>
      <c r="E16" s="62"/>
      <c r="F16" s="62"/>
      <c r="G16" s="62"/>
    </row>
    <row r="17" spans="1:7">
      <c r="A17" s="46"/>
      <c r="B17" s="20"/>
      <c r="C17" s="65"/>
      <c r="D17" s="62"/>
      <c r="E17" s="62"/>
      <c r="F17" s="62"/>
      <c r="G17" s="62"/>
    </row>
    <row r="18" spans="1:7">
      <c r="A18" s="108" t="s">
        <v>53</v>
      </c>
      <c r="B18" s="109"/>
      <c r="C18" s="109"/>
      <c r="D18" s="109"/>
      <c r="E18" s="62"/>
      <c r="F18" s="62"/>
      <c r="G18" s="62"/>
    </row>
    <row r="19" spans="1:7" ht="26.65" customHeight="1">
      <c r="A19" s="54" t="s">
        <v>54</v>
      </c>
      <c r="B19" s="55" t="s">
        <v>55</v>
      </c>
      <c r="C19" s="50">
        <f>B16*B11</f>
        <v>0</v>
      </c>
      <c r="D19" s="53" t="s">
        <v>56</v>
      </c>
      <c r="E19" s="62"/>
      <c r="F19" s="62"/>
      <c r="G19" s="62"/>
    </row>
  </sheetData>
  <mergeCells count="8">
    <mergeCell ref="B11:D11"/>
    <mergeCell ref="A14:B14"/>
    <mergeCell ref="A18:D18"/>
    <mergeCell ref="E4:G4"/>
    <mergeCell ref="A2:G2"/>
    <mergeCell ref="E3:G3"/>
    <mergeCell ref="B3:D3"/>
    <mergeCell ref="B4:D4"/>
  </mergeCells>
  <pageMargins left="0.7" right="0.7" top="0.75" bottom="0.75" header="0.3" footer="0.3"/>
  <pageSetup paperSize="9" scale="82" orientation="landscape" horizontalDpi="0"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E3B1B-A3B3-4B79-B6D7-A68ECAB26257}">
  <sheetPr codeName="Hoja6">
    <pageSetUpPr fitToPage="1"/>
  </sheetPr>
  <dimension ref="B2:H45"/>
  <sheetViews>
    <sheetView showGridLines="0" zoomScale="70" zoomScaleNormal="70" workbookViewId="0">
      <selection activeCell="P22" sqref="P22"/>
    </sheetView>
  </sheetViews>
  <sheetFormatPr defaultColWidth="11.42578125" defaultRowHeight="15"/>
  <cols>
    <col min="8" max="8" width="16.7109375" customWidth="1"/>
  </cols>
  <sheetData>
    <row r="2" spans="2:8" ht="15.75">
      <c r="B2" s="117" t="s">
        <v>75</v>
      </c>
      <c r="C2" s="117"/>
      <c r="D2" s="117"/>
      <c r="E2" s="117"/>
      <c r="F2" s="117"/>
      <c r="G2" s="117"/>
    </row>
    <row r="3" spans="2:8">
      <c r="B3" s="118" t="s">
        <v>76</v>
      </c>
      <c r="C3" s="118"/>
      <c r="D3" s="118"/>
      <c r="E3" s="22" t="s">
        <v>77</v>
      </c>
      <c r="F3" s="23" t="s">
        <v>78</v>
      </c>
      <c r="G3" s="22" t="s">
        <v>79</v>
      </c>
    </row>
    <row r="4" spans="2:8">
      <c r="B4" s="116" t="s">
        <v>80</v>
      </c>
      <c r="C4" s="116"/>
      <c r="D4" s="116"/>
      <c r="E4" s="24">
        <f>E6*F4</f>
        <v>0</v>
      </c>
      <c r="F4" s="25">
        <v>0.2</v>
      </c>
      <c r="G4" s="26" t="e">
        <f>E4/$D12</f>
        <v>#DIV/0!</v>
      </c>
    </row>
    <row r="5" spans="2:8">
      <c r="B5" s="116" t="s">
        <v>81</v>
      </c>
      <c r="C5" s="116"/>
      <c r="D5" s="116"/>
      <c r="E5" s="24">
        <f>E6*F5</f>
        <v>0</v>
      </c>
      <c r="F5" s="25">
        <v>0.2</v>
      </c>
      <c r="G5" s="26" t="e">
        <f>E5/$D12</f>
        <v>#DIV/0!</v>
      </c>
    </row>
    <row r="6" spans="2:8">
      <c r="B6" s="116" t="s">
        <v>82</v>
      </c>
      <c r="C6" s="116"/>
      <c r="D6" s="116"/>
      <c r="E6" s="24">
        <f>'5.-Resumen estimación de tamaño'!C19</f>
        <v>0</v>
      </c>
      <c r="F6" s="25">
        <v>0.4</v>
      </c>
      <c r="G6" s="26" t="e">
        <f>E6/$D12</f>
        <v>#DIV/0!</v>
      </c>
    </row>
    <row r="7" spans="2:8">
      <c r="B7" s="116" t="s">
        <v>83</v>
      </c>
      <c r="C7" s="116"/>
      <c r="D7" s="116"/>
      <c r="E7" s="24">
        <f>E6*F7</f>
        <v>0</v>
      </c>
      <c r="F7" s="25">
        <v>0.2</v>
      </c>
      <c r="G7" s="26" t="e">
        <f>E7/$D12</f>
        <v>#DIV/0!</v>
      </c>
    </row>
    <row r="8" spans="2:8">
      <c r="B8" s="27"/>
      <c r="C8" s="27"/>
      <c r="D8" s="27"/>
      <c r="E8" s="28"/>
      <c r="F8" s="29"/>
      <c r="G8" s="30"/>
    </row>
    <row r="9" spans="2:8">
      <c r="B9" s="119" t="s">
        <v>84</v>
      </c>
      <c r="C9" s="119"/>
      <c r="D9" s="119"/>
      <c r="E9" s="24">
        <f>SUM(E4:E7)</f>
        <v>0</v>
      </c>
      <c r="F9" s="31">
        <f>SUM(F4:F7)</f>
        <v>1</v>
      </c>
      <c r="G9" s="26" t="e">
        <f>SUM(G4:G7)</f>
        <v>#DIV/0!</v>
      </c>
      <c r="H9" s="15"/>
    </row>
    <row r="10" spans="2:8">
      <c r="B10" s="27"/>
      <c r="C10" s="27"/>
      <c r="D10" s="27"/>
      <c r="E10" s="28"/>
      <c r="F10" s="28"/>
      <c r="G10" s="30"/>
    </row>
    <row r="11" spans="2:8">
      <c r="B11" s="120" t="s">
        <v>85</v>
      </c>
      <c r="C11" s="120"/>
      <c r="D11" s="120" t="s">
        <v>86</v>
      </c>
      <c r="E11" s="120"/>
      <c r="F11" s="121" t="s">
        <v>87</v>
      </c>
      <c r="G11" s="121"/>
      <c r="H11" s="32" t="s">
        <v>88</v>
      </c>
    </row>
    <row r="12" spans="2:8">
      <c r="B12" s="122">
        <v>21.5</v>
      </c>
      <c r="C12" s="122"/>
      <c r="D12" s="122"/>
      <c r="E12" s="122"/>
      <c r="F12" s="123" t="e">
        <f>ROUNDUP(G9,0)</f>
        <v>#DIV/0!</v>
      </c>
      <c r="G12" s="124"/>
      <c r="H12" s="33" t="e">
        <f>ROUNDUP((G9/B12),0)</f>
        <v>#DIV/0!</v>
      </c>
    </row>
    <row r="13" spans="2:8">
      <c r="B13" s="34"/>
      <c r="C13" s="34"/>
      <c r="D13" s="34"/>
      <c r="E13" s="34"/>
      <c r="F13" s="35"/>
      <c r="G13" s="35"/>
    </row>
    <row r="14" spans="2:8" ht="15.75">
      <c r="B14" s="126" t="s">
        <v>89</v>
      </c>
      <c r="C14" s="127"/>
      <c r="D14" s="128"/>
      <c r="E14" s="36"/>
      <c r="F14" s="37"/>
      <c r="G14" s="37"/>
      <c r="H14" s="37"/>
    </row>
    <row r="15" spans="2:8" ht="22.5">
      <c r="B15" s="129" t="s">
        <v>90</v>
      </c>
      <c r="C15" s="130"/>
      <c r="D15" s="38" t="s">
        <v>61</v>
      </c>
      <c r="E15" s="37"/>
      <c r="F15" s="37"/>
      <c r="G15" s="37"/>
      <c r="H15" s="37"/>
    </row>
    <row r="16" spans="2:8">
      <c r="B16" s="131" t="s">
        <v>91</v>
      </c>
      <c r="C16" s="131"/>
      <c r="D16" s="39"/>
      <c r="E16" s="37"/>
      <c r="F16" s="37"/>
      <c r="G16" s="37"/>
      <c r="H16" s="37"/>
    </row>
    <row r="17" spans="2:8">
      <c r="B17" s="131" t="s">
        <v>62</v>
      </c>
      <c r="C17" s="131" t="s">
        <v>92</v>
      </c>
      <c r="D17" s="39"/>
      <c r="E17" s="37"/>
      <c r="F17" s="37"/>
      <c r="G17" s="37"/>
      <c r="H17" s="37"/>
    </row>
    <row r="18" spans="2:8">
      <c r="B18" s="131" t="s">
        <v>2</v>
      </c>
      <c r="C18" s="131" t="s">
        <v>93</v>
      </c>
      <c r="D18" s="39"/>
      <c r="E18" s="37"/>
      <c r="F18" s="37"/>
      <c r="G18" s="40"/>
      <c r="H18" s="40"/>
    </row>
    <row r="19" spans="2:8">
      <c r="B19" s="131" t="s">
        <v>94</v>
      </c>
      <c r="C19" s="131" t="s">
        <v>95</v>
      </c>
      <c r="D19" s="39"/>
      <c r="E19" s="37"/>
      <c r="F19" s="37"/>
      <c r="G19" s="40"/>
      <c r="H19" s="40"/>
    </row>
    <row r="20" spans="2:8">
      <c r="B20" s="131" t="s">
        <v>96</v>
      </c>
      <c r="C20" s="131"/>
      <c r="D20" s="39"/>
      <c r="E20" s="37"/>
      <c r="F20" s="37"/>
      <c r="G20" s="40"/>
      <c r="H20" s="40"/>
    </row>
    <row r="21" spans="2:8">
      <c r="B21" s="131" t="s">
        <v>97</v>
      </c>
      <c r="C21" s="131" t="s">
        <v>98</v>
      </c>
      <c r="D21" s="39"/>
      <c r="E21" s="37"/>
      <c r="F21" s="37"/>
      <c r="G21" s="40"/>
      <c r="H21" s="40"/>
    </row>
    <row r="22" spans="2:8">
      <c r="B22" s="132" t="s">
        <v>84</v>
      </c>
      <c r="C22" s="133"/>
      <c r="D22" s="41" t="e">
        <f>SUM(D16:D21)*H12</f>
        <v>#DIV/0!</v>
      </c>
      <c r="F22" s="36"/>
      <c r="G22" s="36"/>
      <c r="H22" s="40"/>
    </row>
    <row r="23" spans="2:8">
      <c r="B23" s="40"/>
      <c r="C23" s="40"/>
      <c r="D23" s="40"/>
      <c r="E23" s="36"/>
      <c r="F23" s="36"/>
      <c r="G23" s="36"/>
      <c r="H23" s="36"/>
    </row>
    <row r="24" spans="2:8" ht="15.75">
      <c r="B24" s="134" t="s">
        <v>99</v>
      </c>
      <c r="C24" s="134"/>
      <c r="D24" s="134"/>
      <c r="E24" s="134"/>
      <c r="F24" s="36"/>
      <c r="G24" s="36"/>
      <c r="H24" s="36"/>
    </row>
    <row r="25" spans="2:8">
      <c r="B25" s="135" t="s">
        <v>100</v>
      </c>
      <c r="C25" s="135"/>
      <c r="D25" s="135"/>
      <c r="E25" s="42" t="s">
        <v>57</v>
      </c>
      <c r="F25" s="36"/>
      <c r="G25" s="36"/>
      <c r="H25" s="36"/>
    </row>
    <row r="26" spans="2:8">
      <c r="B26" s="125" t="s">
        <v>101</v>
      </c>
      <c r="C26" s="125"/>
      <c r="D26" s="125"/>
      <c r="E26" s="43"/>
      <c r="F26" s="36"/>
      <c r="G26" s="36"/>
      <c r="H26" s="36"/>
    </row>
    <row r="27" spans="2:8">
      <c r="B27" s="125" t="s">
        <v>102</v>
      </c>
      <c r="C27" s="125"/>
      <c r="D27" s="125"/>
      <c r="E27" s="43"/>
      <c r="F27" s="36"/>
      <c r="G27" s="36"/>
      <c r="H27" s="36"/>
    </row>
    <row r="28" spans="2:8">
      <c r="B28" s="139" t="s">
        <v>103</v>
      </c>
      <c r="C28" s="140"/>
      <c r="D28" s="141"/>
      <c r="E28" s="43"/>
      <c r="F28" s="36"/>
      <c r="G28" s="36"/>
      <c r="H28" s="36"/>
    </row>
    <row r="29" spans="2:8">
      <c r="B29" s="125" t="s">
        <v>104</v>
      </c>
      <c r="C29" s="125"/>
      <c r="D29" s="125"/>
      <c r="E29" s="43"/>
      <c r="F29" s="36"/>
      <c r="G29" s="36"/>
      <c r="H29" s="36"/>
    </row>
    <row r="30" spans="2:8">
      <c r="B30" s="142"/>
      <c r="C30" s="143"/>
      <c r="D30" s="144"/>
      <c r="E30" s="44"/>
      <c r="F30" s="36"/>
      <c r="G30" s="36"/>
      <c r="H30" s="36"/>
    </row>
    <row r="31" spans="2:8">
      <c r="B31" s="145" t="s">
        <v>84</v>
      </c>
      <c r="C31" s="145"/>
      <c r="D31" s="145"/>
      <c r="E31" s="45">
        <f>SUM(E26:E30)</f>
        <v>0</v>
      </c>
      <c r="F31" s="36"/>
      <c r="G31" s="36"/>
      <c r="H31" s="37"/>
    </row>
    <row r="32" spans="2:8">
      <c r="B32" s="40"/>
      <c r="C32" s="46"/>
      <c r="D32" s="40"/>
      <c r="E32" s="37"/>
      <c r="F32" s="36"/>
      <c r="G32" s="36"/>
      <c r="H32" s="37"/>
    </row>
    <row r="33" spans="2:8">
      <c r="C33" s="146" t="s">
        <v>105</v>
      </c>
      <c r="D33" s="146"/>
      <c r="E33" s="47" t="e">
        <f>D22+E31</f>
        <v>#DIV/0!</v>
      </c>
      <c r="F33" s="36"/>
      <c r="G33" s="36"/>
      <c r="H33" s="48"/>
    </row>
    <row r="34" spans="2:8">
      <c r="B34" s="40"/>
      <c r="C34" s="40"/>
      <c r="D34" s="40"/>
      <c r="E34" s="36"/>
      <c r="F34" s="36"/>
      <c r="G34" s="36"/>
      <c r="H34" s="37"/>
    </row>
    <row r="35" spans="2:8">
      <c r="B35" s="40"/>
      <c r="C35" s="46"/>
      <c r="D35" s="40"/>
      <c r="E35" s="37"/>
      <c r="F35" s="49"/>
      <c r="G35" s="49"/>
      <c r="H35" s="49"/>
    </row>
    <row r="36" spans="2:8">
      <c r="C36" s="136" t="s">
        <v>80</v>
      </c>
      <c r="D36" s="136"/>
      <c r="E36" s="137" t="s">
        <v>106</v>
      </c>
      <c r="F36" s="138"/>
      <c r="G36" s="138"/>
      <c r="H36" s="138"/>
    </row>
    <row r="37" spans="2:8">
      <c r="B37" s="40"/>
      <c r="C37" s="40"/>
      <c r="D37" s="40"/>
      <c r="E37" s="138"/>
      <c r="F37" s="138"/>
      <c r="G37" s="138"/>
      <c r="H37" s="138"/>
    </row>
    <row r="38" spans="2:8">
      <c r="B38" s="40"/>
      <c r="C38" s="40"/>
      <c r="D38" s="40"/>
      <c r="E38" s="138"/>
      <c r="F38" s="138"/>
      <c r="G38" s="138"/>
      <c r="H38" s="138"/>
    </row>
    <row r="39" spans="2:8">
      <c r="B39" s="40"/>
      <c r="C39" s="40"/>
      <c r="D39" s="40"/>
      <c r="E39" s="138"/>
      <c r="F39" s="138"/>
      <c r="G39" s="138"/>
      <c r="H39" s="138"/>
    </row>
    <row r="40" spans="2:8">
      <c r="B40" s="40"/>
      <c r="C40" s="40"/>
      <c r="D40" s="40"/>
      <c r="E40" s="138"/>
      <c r="F40" s="138"/>
      <c r="G40" s="138"/>
      <c r="H40" s="138"/>
    </row>
    <row r="41" spans="2:8">
      <c r="B41" s="40"/>
      <c r="C41" s="40"/>
      <c r="D41" s="40"/>
      <c r="E41" s="138"/>
      <c r="F41" s="138"/>
      <c r="G41" s="138"/>
      <c r="H41" s="138"/>
    </row>
    <row r="42" spans="2:8">
      <c r="B42" s="40"/>
      <c r="C42" s="40"/>
      <c r="D42" s="40"/>
      <c r="E42" s="138"/>
      <c r="F42" s="138"/>
      <c r="G42" s="138"/>
      <c r="H42" s="138"/>
    </row>
    <row r="43" spans="2:8">
      <c r="B43" s="40"/>
      <c r="C43" s="40"/>
      <c r="D43" s="40"/>
      <c r="E43" s="138"/>
      <c r="F43" s="138"/>
      <c r="G43" s="138"/>
      <c r="H43" s="138"/>
    </row>
    <row r="44" spans="2:8">
      <c r="B44" s="40"/>
      <c r="C44" s="40"/>
      <c r="D44" s="40"/>
      <c r="E44" s="138"/>
      <c r="F44" s="138"/>
      <c r="G44" s="138"/>
      <c r="H44" s="138"/>
    </row>
    <row r="45" spans="2:8">
      <c r="B45" s="40"/>
      <c r="C45" s="40"/>
      <c r="D45" s="40"/>
      <c r="E45" s="138"/>
      <c r="F45" s="138"/>
      <c r="G45" s="138"/>
      <c r="H45" s="138"/>
    </row>
  </sheetData>
  <mergeCells count="33">
    <mergeCell ref="C36:D36"/>
    <mergeCell ref="E36:H45"/>
    <mergeCell ref="B27:D27"/>
    <mergeCell ref="B28:D28"/>
    <mergeCell ref="B29:D29"/>
    <mergeCell ref="B30:D30"/>
    <mergeCell ref="B31:D31"/>
    <mergeCell ref="C33:D33"/>
    <mergeCell ref="B26:D26"/>
    <mergeCell ref="B14:D14"/>
    <mergeCell ref="B15:C15"/>
    <mergeCell ref="B16:C16"/>
    <mergeCell ref="B17:C17"/>
    <mergeCell ref="B18:C18"/>
    <mergeCell ref="B19:C19"/>
    <mergeCell ref="B20:C20"/>
    <mergeCell ref="B21:C21"/>
    <mergeCell ref="B22:C22"/>
    <mergeCell ref="B24:E24"/>
    <mergeCell ref="B25:D25"/>
    <mergeCell ref="B9:D9"/>
    <mergeCell ref="B11:C11"/>
    <mergeCell ref="D11:E11"/>
    <mergeCell ref="F11:G11"/>
    <mergeCell ref="B12:C12"/>
    <mergeCell ref="D12:E12"/>
    <mergeCell ref="F12:G12"/>
    <mergeCell ref="B7:D7"/>
    <mergeCell ref="B2:G2"/>
    <mergeCell ref="B3:D3"/>
    <mergeCell ref="B4:D4"/>
    <mergeCell ref="B5:D5"/>
    <mergeCell ref="B6:D6"/>
  </mergeCells>
  <pageMargins left="0.7" right="0.7" top="0.75" bottom="0.75" header="0.3" footer="0.3"/>
  <pageSetup paperSize="9" scale="90" orientation="portrait" horizontalDpi="0" verticalDpi="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2C551-4716-4EB8-97B2-D4513675AB07}">
  <sheetPr codeName="Hoja7"/>
  <dimension ref="B1:C4"/>
  <sheetViews>
    <sheetView zoomScale="145" zoomScaleNormal="145" workbookViewId="0">
      <selection activeCell="D5" sqref="D5"/>
    </sheetView>
  </sheetViews>
  <sheetFormatPr defaultColWidth="11.42578125" defaultRowHeight="15"/>
  <sheetData>
    <row r="1" spans="2:3">
      <c r="B1" t="s">
        <v>23</v>
      </c>
      <c r="C1" t="s">
        <v>114</v>
      </c>
    </row>
    <row r="2" spans="2:3">
      <c r="B2" t="s">
        <v>42</v>
      </c>
      <c r="C2" t="s">
        <v>115</v>
      </c>
    </row>
    <row r="3" spans="2:3">
      <c r="B3" t="s">
        <v>36</v>
      </c>
      <c r="C3" t="s">
        <v>116</v>
      </c>
    </row>
    <row r="4" spans="2:3">
      <c r="B4" t="s">
        <v>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Estado xmlns="f1020bcf-9500-4749-8c84-b23cf138577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F79CA91C779E94BAF39074ADA180F65" ma:contentTypeVersion="14" ma:contentTypeDescription="Create a new document." ma:contentTypeScope="" ma:versionID="b8c81b995d4ba8c1d72e6e66b781faae">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f53811fa579c635c88adb8d24199f6dd"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EC228A-44AB-49E2-A478-62FBDDC3DC72}">
  <ds:schemaRefs>
    <ds:schemaRef ds:uri="http://purl.org/dc/terms/"/>
    <ds:schemaRef ds:uri="http://schemas.microsoft.com/office/2006/metadata/properties"/>
    <ds:schemaRef ds:uri="http://www.w3.org/XML/1998/namespace"/>
    <ds:schemaRef ds:uri="7a0a35da-276e-4c8e-b365-e7c47df80865"/>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infopath/2007/PartnerControls"/>
    <ds:schemaRef ds:uri="f1020bcf-9500-4749-8c84-b23cf1385772"/>
  </ds:schemaRefs>
</ds:datastoreItem>
</file>

<file path=customXml/itemProps2.xml><?xml version="1.0" encoding="utf-8"?>
<ds:datastoreItem xmlns:ds="http://schemas.openxmlformats.org/officeDocument/2006/customXml" ds:itemID="{CEFB2BBD-AE7E-4666-82E4-C45C583210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020bcf-9500-4749-8c84-b23cf1385772"/>
    <ds:schemaRef ds:uri="7a0a35da-276e-4c8e-b365-e7c47df808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14C9D1D-9F26-45E5-827A-48344D71EFB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1.-Históricos</vt:lpstr>
      <vt:lpstr>2.-Round 1</vt:lpstr>
      <vt:lpstr>3.-Round 2</vt:lpstr>
      <vt:lpstr>4.-Round 3</vt:lpstr>
      <vt:lpstr>5.-Resumen estimación de tamaño</vt:lpstr>
      <vt:lpstr>6.-Estimación esfuerzo y costo</vt:lpstr>
      <vt:lpstr>Lista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Alatorre</dc:creator>
  <cp:keywords/>
  <dc:description/>
  <cp:lastModifiedBy>Documentación Innevo</cp:lastModifiedBy>
  <cp:revision/>
  <cp:lastPrinted>2024-07-12T16:25:21Z</cp:lastPrinted>
  <dcterms:created xsi:type="dcterms:W3CDTF">2023-06-23T15:57:15Z</dcterms:created>
  <dcterms:modified xsi:type="dcterms:W3CDTF">2026-05-05T16:47:20Z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ies>
</file>