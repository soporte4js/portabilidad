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Documentos por Área de Práctica/EST/"/>
    </mc:Choice>
  </mc:AlternateContent>
  <xr:revisionPtr revIDLastSave="432" documentId="8_{36768B17-0363-40B7-B98A-4573ECF5EC29}" xr6:coauthVersionLast="47" xr6:coauthVersionMax="47" xr10:uidLastSave="{4BF35E91-04B7-4995-89CC-44ACFBEDA726}"/>
  <bookViews>
    <workbookView xWindow="-28920" yWindow="-120" windowWidth="29040" windowHeight="15840" activeTab="5" xr2:uid="{CBED30A7-3180-4E27-A4FA-B6D9A5855DCE}"/>
  </bookViews>
  <sheets>
    <sheet name="1.-Históricos" sheetId="8" r:id="rId1"/>
    <sheet name="2.-Round 1" sheetId="2" r:id="rId2"/>
    <sheet name="3.-Round 2" sheetId="4" r:id="rId3"/>
    <sheet name="4.-Round 3" sheetId="5" r:id="rId4"/>
    <sheet name="5.-Resumen estimación de tamaño" sheetId="1" r:id="rId5"/>
    <sheet name="6.-Estimación esfuerzo y costo" sheetId="9" r:id="rId6"/>
    <sheet name="Lista" sheetId="3"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9" l="1"/>
  <c r="B8" i="1"/>
  <c r="B7" i="1"/>
  <c r="B6" i="1"/>
  <c r="T8" i="5"/>
  <c r="S8" i="5"/>
  <c r="R8" i="5"/>
  <c r="H5" i="2"/>
  <c r="E31" i="9" l="1"/>
  <c r="C6" i="1"/>
  <c r="F9" i="9"/>
  <c r="F18" i="5"/>
  <c r="D10" i="1" s="1"/>
  <c r="E18" i="5"/>
  <c r="C10" i="1" s="1"/>
  <c r="D18" i="5"/>
  <c r="B10" i="1" s="1"/>
  <c r="B11" i="1" l="1"/>
  <c r="C19" i="1" s="1"/>
  <c r="E6" i="9" s="1"/>
  <c r="E4" i="9" s="1"/>
  <c r="G4" i="9" s="1"/>
  <c r="E7" i="9" l="1"/>
  <c r="G7" i="9" s="1"/>
  <c r="E5" i="9"/>
  <c r="G5" i="9" s="1"/>
  <c r="G6" i="9"/>
  <c r="E9" i="9" l="1"/>
  <c r="G9" i="9"/>
  <c r="F12" i="9" s="1"/>
  <c r="H12" i="9" l="1"/>
  <c r="E33" i="9" s="1"/>
  <c r="H9" i="2"/>
  <c r="H7" i="2"/>
  <c r="H9" i="4"/>
  <c r="H7" i="4"/>
  <c r="J17" i="5" l="1"/>
  <c r="I17" i="5"/>
  <c r="K17" i="5" s="1"/>
  <c r="H17" i="5"/>
  <c r="J16" i="5"/>
  <c r="I16" i="5"/>
  <c r="H16" i="5"/>
  <c r="J15" i="5"/>
  <c r="I15" i="5"/>
  <c r="H15" i="5"/>
  <c r="J14" i="5"/>
  <c r="I14" i="5"/>
  <c r="H14" i="5"/>
  <c r="J13" i="5"/>
  <c r="I13" i="5"/>
  <c r="H13" i="5"/>
  <c r="J12" i="5"/>
  <c r="I12" i="5"/>
  <c r="K12" i="5" s="1"/>
  <c r="J11" i="5"/>
  <c r="I11" i="5"/>
  <c r="H11" i="5"/>
  <c r="J10" i="5"/>
  <c r="I10" i="5"/>
  <c r="J9" i="5"/>
  <c r="I9" i="5"/>
  <c r="H9" i="5"/>
  <c r="K8" i="5"/>
  <c r="J8" i="5"/>
  <c r="I8" i="5"/>
  <c r="H8" i="5"/>
  <c r="J14" i="4"/>
  <c r="I14" i="4"/>
  <c r="H14" i="4"/>
  <c r="J13" i="4"/>
  <c r="I13" i="4"/>
  <c r="H13" i="4"/>
  <c r="J12" i="4"/>
  <c r="I12" i="4"/>
  <c r="H12" i="4"/>
  <c r="J11" i="4"/>
  <c r="I11" i="4"/>
  <c r="H11" i="4"/>
  <c r="J10" i="4"/>
  <c r="I10" i="4"/>
  <c r="H10" i="4"/>
  <c r="J9" i="4"/>
  <c r="I9" i="4"/>
  <c r="J8" i="4"/>
  <c r="I8" i="4"/>
  <c r="H8" i="4"/>
  <c r="J7" i="4"/>
  <c r="I7" i="4"/>
  <c r="J6" i="4"/>
  <c r="I6" i="4"/>
  <c r="H6" i="4"/>
  <c r="J5" i="4"/>
  <c r="I5" i="4"/>
  <c r="H5" i="4"/>
  <c r="I7" i="2"/>
  <c r="H14" i="2"/>
  <c r="H13" i="2"/>
  <c r="H12" i="2"/>
  <c r="H11" i="2"/>
  <c r="H10" i="2"/>
  <c r="H8" i="2"/>
  <c r="I5" i="2"/>
  <c r="H6" i="2"/>
  <c r="I6" i="2"/>
  <c r="I8" i="2"/>
  <c r="I9" i="2"/>
  <c r="I10" i="2"/>
  <c r="I11" i="2"/>
  <c r="I12" i="2"/>
  <c r="I13" i="2"/>
  <c r="I14" i="2"/>
  <c r="K15" i="5" l="1"/>
  <c r="K10" i="5"/>
  <c r="K13" i="5"/>
  <c r="K9" i="5"/>
  <c r="K16" i="5"/>
  <c r="K11" i="5"/>
  <c r="K14" i="5"/>
  <c r="K7" i="4"/>
  <c r="K13" i="4"/>
  <c r="K11" i="4"/>
  <c r="K12" i="4"/>
  <c r="K9" i="4"/>
  <c r="K8" i="4"/>
  <c r="K6" i="4"/>
  <c r="K14" i="4"/>
  <c r="K10" i="4"/>
  <c r="K5" i="4"/>
  <c r="J14" i="2"/>
  <c r="K14" i="2" s="1"/>
  <c r="J13" i="2"/>
  <c r="K13" i="2" s="1"/>
  <c r="J12" i="2"/>
  <c r="J11" i="2"/>
  <c r="J10" i="2"/>
  <c r="J9" i="2"/>
  <c r="J8" i="2"/>
  <c r="J7" i="2"/>
  <c r="K7" i="2" s="1"/>
  <c r="J6" i="2"/>
  <c r="J5" i="2"/>
  <c r="K5" i="2" s="1"/>
  <c r="K9" i="2" l="1"/>
  <c r="K12" i="2"/>
  <c r="K10" i="2"/>
  <c r="K8" i="2"/>
  <c r="K11" i="2"/>
  <c r="K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0A01B4FA-63C7-41A1-B702-96AC18A582E0}">
      <text>
        <r>
          <rPr>
            <sz val="9"/>
            <color indexed="81"/>
            <rFont val="Tahoma"/>
            <family val="2"/>
          </rPr>
          <t>En esta sección se debe hacer referencia a las estimaciones de otros proyectos en base a los cuales se realizó las estimaciones iniciales del proyecto.
Ver la información historica de los proyectos en la carpeta métricas del repositorio del SGC.</t>
        </r>
      </text>
    </comment>
    <comment ref="F8" authorId="0" shapeId="0" xr:uid="{26E89BE4-FEC2-4B31-BA6E-6946AEB3AA0C}">
      <text>
        <r>
          <rPr>
            <sz val="9"/>
            <color indexed="81"/>
            <rFont val="Tahoma"/>
            <family val="2"/>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M3" authorId="0" shapeId="0" xr:uid="{35D1D30B-E083-45F2-9E43-74B7CDB38789}">
      <text>
        <r>
          <rPr>
            <sz val="9"/>
            <color indexed="81"/>
            <rFont val="Tahoma"/>
            <family val="2"/>
          </rPr>
          <t>Cuando no se llega a un acuerdo por parte de los expertos se debe explicar el motivo.</t>
        </r>
      </text>
    </comment>
    <comment ref="H4" authorId="0" shapeId="0" xr:uid="{90690209-B0B1-4770-8426-53FA52106633}">
      <text>
        <r>
          <rPr>
            <b/>
            <sz val="9"/>
            <color indexed="81"/>
            <rFont val="Tahoma"/>
            <family val="2"/>
          </rPr>
          <t>Si no se logra llegar a un acuerdo la estimación más grande es la que se tomara en cuenta.</t>
        </r>
      </text>
    </comment>
    <comment ref="K4" authorId="0" shapeId="0" xr:uid="{55A0F7ED-EEB4-474B-B9E5-3CD22258495C}">
      <text>
        <r>
          <rPr>
            <b/>
            <sz val="9"/>
            <color indexed="81"/>
            <rFont val="Tahoma"/>
            <family val="2"/>
          </rPr>
          <t>Pedro Alatorre:</t>
        </r>
        <r>
          <rPr>
            <sz val="9"/>
            <color indexed="81"/>
            <rFont val="Tahoma"/>
            <family val="2"/>
          </rPr>
          <t xml:space="preserve">
La fórmula compara la diferencia entre el valor máximo y el valor medio, así como la diferencia entre el valor medio y el valor mínimo, y luego calcula el porcentaje de variación en relación al valor medio. Este cálculo puede proporcionar una indicación de la dispersión o variabilidad en la estimación realizada por el equipo.
Si el porcentaje de variación es alto, podría indicar que hay una gran diferencia entre las estimaciones individuales del equipo, lo que puede requerir una mayor discusión y clarificación. Por otro lado, si el porcentaje de variación es bajo, significa que las estimaciones son más consistentes y hay un acuerdo generalizado en la estimación de la historia de usuario.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M3" authorId="0" shapeId="0" xr:uid="{1C1EC526-CCCB-4182-AB73-77A72CA1A790}">
      <text>
        <r>
          <rPr>
            <sz val="9"/>
            <color indexed="81"/>
            <rFont val="Tahoma"/>
            <family val="2"/>
          </rPr>
          <t>Cuando no se llega a un acuerdo por parte de los expertos se debe explicar el motivo.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M6" authorId="0" shapeId="0" xr:uid="{624AEFEC-6C3A-4FC9-96DD-702EA7AAD5BA}">
      <text>
        <r>
          <rPr>
            <sz val="9"/>
            <color indexed="81"/>
            <rFont val="Tahoma"/>
            <family val="2"/>
          </rPr>
          <t>Cuando no se llega a un acuerdo por parte de los expertos se debe explicar el motivo.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Pedro Alatorre</author>
    <author>Documentación Innevo</author>
  </authors>
  <commentList>
    <comment ref="A3" authorId="0" shapeId="0" xr:uid="{4F7970BF-B36A-477B-96B1-B1743017398D}">
      <text>
        <r>
          <rPr>
            <sz val="9"/>
            <color indexed="81"/>
            <rFont val="Tahoma"/>
            <family val="2"/>
          </rPr>
          <t>Historia de usuario que no sea tan pequeña y ni tan grande y que todo el equipo tenga claro la dimensión de ese pivote.</t>
        </r>
      </text>
    </comment>
    <comment ref="A5" authorId="1" shapeId="0" xr:uid="{5E472563-C18E-48D5-811D-58B42F50168A}">
      <text>
        <r>
          <rPr>
            <sz val="9"/>
            <color indexed="81"/>
            <rFont val="Tahoma"/>
            <family val="2"/>
          </rPr>
          <t>Agregar más sprint de ser necesario</t>
        </r>
      </text>
    </comment>
    <comment ref="B5" authorId="0" shapeId="0" xr:uid="{E4648AB8-B585-44B5-B66A-281422F6BFFC}">
      <text>
        <r>
          <rPr>
            <sz val="9"/>
            <color indexed="81"/>
            <rFont val="Tahoma"/>
            <family val="2"/>
          </rPr>
          <t>Puntos historia de usuario.
Se registra de manera manual el resultado de cada sprint</t>
        </r>
      </text>
    </comment>
    <comment ref="A10" authorId="1" shapeId="0" xr:uid="{59CFB57F-1524-4462-BA32-7123665055D8}">
      <text>
        <r>
          <rPr>
            <sz val="9"/>
            <color indexed="81"/>
            <rFont val="Tahoma"/>
            <family val="2"/>
          </rPr>
          <t>Este formato esta planeado para 3 expertos, en caso de ser más expertos agragar la(s) columna(s) necesarias y verificar resultados en la sumatoria.</t>
        </r>
      </text>
    </comment>
    <comment ref="B11" authorId="1" shapeId="0" xr:uid="{ACF2CE07-0121-4F87-B8DE-72C659E6E1D9}">
      <text>
        <r>
          <rPr>
            <sz val="9"/>
            <color indexed="81"/>
            <rFont val="Tahoma"/>
            <family val="2"/>
          </rPr>
          <t>Cuando el resultado es uniforme (todos los expertos coinciden en el temaño) será el mismo resultado en totales como en tamaño. 
Cuando llegue a existir una pequeña variación se mostrará la cantidad más alta.</t>
        </r>
        <r>
          <rPr>
            <b/>
            <sz val="9"/>
            <color indexed="81"/>
            <rFont val="Tahoma"/>
            <family val="2"/>
          </rPr>
          <t xml:space="preserve">
</t>
        </r>
        <r>
          <rPr>
            <b/>
            <i/>
            <sz val="8"/>
            <color indexed="81"/>
            <rFont val="Tahoma"/>
            <family val="2"/>
          </rPr>
          <t>Nota: en teoría debería ser resultados uniformes siempre</t>
        </r>
      </text>
    </comment>
    <comment ref="B15" authorId="0" shapeId="0" xr:uid="{BFCD8DBE-CE09-4181-90D6-ED27EC73D11C}">
      <text>
        <r>
          <rPr>
            <sz val="9"/>
            <color indexed="81"/>
            <rFont val="Tahoma"/>
            <family val="2"/>
          </rPr>
          <t>Son las horas promedio que se dedican para cumplir con un punto de función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F3" authorId="0" shapeId="0" xr:uid="{238FC164-AAFD-4504-90F1-F2F06073D98D}">
      <text>
        <r>
          <rPr>
            <sz val="9"/>
            <color indexed="81"/>
            <rFont val="Tahoma"/>
            <family val="2"/>
          </rPr>
          <t>Estos porcentajes se ajustarán de acuerdo con la información de cada proyecto y a los históricos.</t>
        </r>
      </text>
    </comment>
    <comment ref="B11" authorId="1" shapeId="0" xr:uid="{FF71C6EA-284B-463C-997A-5195D259EBA6}">
      <text>
        <r>
          <rPr>
            <b/>
            <sz val="9"/>
            <color indexed="81"/>
            <rFont val="Tahoma"/>
            <family val="2"/>
          </rPr>
          <t xml:space="preserve">Días por persona/mes
</t>
        </r>
        <r>
          <rPr>
            <sz val="9"/>
            <color indexed="81"/>
            <rFont val="Tahoma"/>
            <family val="2"/>
          </rPr>
          <t>&lt;Ingrese el factor de conversión que se usará para convertir meses-persona de esfuerzo en días-persona de esfuerzo, estos son los días laborales de la semana.&gt;
Nota: el valor predeterminado es 21.5 días establecido por nómina.</t>
        </r>
      </text>
    </comment>
    <comment ref="D11" authorId="1" shapeId="0" xr:uid="{D400B005-3DA2-46FA-9BBB-A3C406B0EA75}">
      <text>
        <r>
          <rPr>
            <sz val="9"/>
            <color indexed="81"/>
            <rFont val="Tahoma"/>
            <family val="2"/>
          </rPr>
          <t>Horas efectivas de trabajo.</t>
        </r>
      </text>
    </comment>
    <comment ref="F11" authorId="1" shapeId="0" xr:uid="{B818910A-30E7-4B8D-864B-7A234FA68A51}">
      <text>
        <r>
          <rPr>
            <sz val="9"/>
            <color indexed="81"/>
            <rFont val="Tahoma"/>
            <family val="2"/>
          </rPr>
          <t>Días redo</t>
        </r>
      </text>
    </comment>
  </commentList>
</comments>
</file>

<file path=xl/sharedStrings.xml><?xml version="1.0" encoding="utf-8"?>
<sst xmlns="http://schemas.openxmlformats.org/spreadsheetml/2006/main" count="289" uniqueCount="134">
  <si>
    <r>
      <rPr>
        <b/>
        <sz val="12"/>
        <color theme="1"/>
        <rFont val="Calibri"/>
        <family val="2"/>
        <scheme val="minor"/>
      </rPr>
      <t>Cliente:</t>
    </r>
    <r>
      <rPr>
        <sz val="12"/>
        <color theme="1"/>
        <rFont val="Calibri"/>
        <family val="2"/>
        <scheme val="minor"/>
      </rPr>
      <t xml:space="preserve"> </t>
    </r>
  </si>
  <si>
    <t>Nombre del cliente</t>
  </si>
  <si>
    <r>
      <rPr>
        <b/>
        <sz val="12"/>
        <color theme="1"/>
        <rFont val="Calibri"/>
        <family val="2"/>
        <scheme val="minor"/>
      </rPr>
      <t>Proyecto:</t>
    </r>
    <r>
      <rPr>
        <sz val="12"/>
        <color theme="1"/>
        <rFont val="Calibri"/>
        <family val="2"/>
        <scheme val="minor"/>
      </rPr>
      <t xml:space="preserve"> </t>
    </r>
  </si>
  <si>
    <t>Nombre del proyecto</t>
  </si>
  <si>
    <t>Información histórica de referencia</t>
  </si>
  <si>
    <t>Indique el nombre del proyecto o proyectos de referencia revisados</t>
  </si>
  <si>
    <t>Aspectos considerados</t>
  </si>
  <si>
    <t>Proyecto de Referencia 1</t>
  </si>
  <si>
    <t>Proyecto de Referencia 2</t>
  </si>
  <si>
    <t>Proyecto de Referencia 3</t>
  </si>
  <si>
    <t>Proyecto de Referencia 4</t>
  </si>
  <si>
    <t>Secuencia Fibonacci</t>
  </si>
  <si>
    <t>0 + 1</t>
  </si>
  <si>
    <t>Fácil</t>
  </si>
  <si>
    <t>1 + 1</t>
  </si>
  <si>
    <t xml:space="preserve">1 + 2 </t>
  </si>
  <si>
    <t>2 + 3</t>
  </si>
  <si>
    <t xml:space="preserve">3 + 5 </t>
  </si>
  <si>
    <t xml:space="preserve">5 + 8 </t>
  </si>
  <si>
    <t>8 + 13</t>
  </si>
  <si>
    <t>13 + 21</t>
  </si>
  <si>
    <t>21 + 34</t>
  </si>
  <si>
    <t>34 + 55</t>
  </si>
  <si>
    <t>55 + 89</t>
  </si>
  <si>
    <t>Díficil</t>
  </si>
  <si>
    <t>Tabla de estimación (round 1)</t>
  </si>
  <si>
    <t>Desviación estandar aceptada: &lt;= 10%</t>
  </si>
  <si>
    <t>Identificador</t>
  </si>
  <si>
    <t>Enunciado de historia</t>
  </si>
  <si>
    <t>Prioridad</t>
  </si>
  <si>
    <t xml:space="preserve">Tamaño esperado </t>
  </si>
  <si>
    <t>Observaciones</t>
  </si>
  <si>
    <t>Estimador 1</t>
  </si>
  <si>
    <t>Estimador 2</t>
  </si>
  <si>
    <t>Estimador 3</t>
  </si>
  <si>
    <t>Sprint</t>
  </si>
  <si>
    <t>Maximo</t>
  </si>
  <si>
    <t>Valor medio</t>
  </si>
  <si>
    <t>Minimo</t>
  </si>
  <si>
    <t>desviación (%)</t>
  </si>
  <si>
    <t>¿Se acepta?</t>
  </si>
  <si>
    <t>xxxx-xxxx-xxx1</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</si>
  <si>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ver el historial de compras del cliente</t>
    </r>
    <r>
      <rPr>
        <sz val="11"/>
        <color theme="1"/>
        <rFont val="Calibri"/>
        <family val="2"/>
        <scheme val="minor"/>
      </rPr>
      <t>], con la finalidad de [</t>
    </r>
    <r>
      <rPr>
        <b/>
        <sz val="11"/>
        <color theme="1"/>
        <rFont val="Calibri"/>
        <family val="2"/>
        <scheme val="minor"/>
      </rPr>
      <t>ofrecerle productos relacionados</t>
    </r>
    <r>
      <rPr>
        <sz val="11"/>
        <color theme="1"/>
        <rFont val="Calibri"/>
        <family val="2"/>
        <scheme val="minor"/>
      </rPr>
      <t>]</t>
    </r>
  </si>
  <si>
    <t>Media</t>
  </si>
  <si>
    <t>No</t>
  </si>
  <si>
    <t>Se coincide que tiene un grado de dificultad bajo pero aun no se ponen de acuerdo el nivel de dificultad.</t>
  </si>
  <si>
    <t>xxxx-xxxx-xxx2</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</si>
  <si>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ver el inventario en tiempo real</t>
    </r>
    <r>
      <rPr>
        <sz val="11"/>
        <color theme="1"/>
        <rFont val="Calibri"/>
        <family val="2"/>
        <scheme val="minor"/>
      </rPr>
      <t>], con la finalidad de [</t>
    </r>
    <r>
      <rPr>
        <b/>
        <sz val="11"/>
        <color theme="1"/>
        <rFont val="Calibri"/>
        <family val="2"/>
        <scheme val="minor"/>
      </rPr>
      <t>ofrecer productos que estén disponibles</t>
    </r>
    <r>
      <rPr>
        <sz val="11"/>
        <color theme="1"/>
        <rFont val="Calibri"/>
        <family val="2"/>
        <scheme val="minor"/>
      </rPr>
      <t>]</t>
    </r>
  </si>
  <si>
    <t>Modificar el inventario en tiempo real involucra difícultades de red para los usuarios al momento de actualizar.</t>
  </si>
  <si>
    <t>xxxx-xxxx-xxx3</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</si>
  <si>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ver el historial de precios del producto</t>
    </r>
    <r>
      <rPr>
        <sz val="11"/>
        <color theme="1"/>
        <rFont val="Calibri"/>
        <family val="2"/>
        <scheme val="minor"/>
      </rPr>
      <t>], con la finalidad de [</t>
    </r>
    <r>
      <rPr>
        <b/>
        <sz val="11"/>
        <color theme="1"/>
        <rFont val="Calibri"/>
        <family val="2"/>
        <scheme val="minor"/>
      </rPr>
      <t>ofrecer precios competitivos</t>
    </r>
    <r>
      <rPr>
        <sz val="11"/>
        <color theme="1"/>
        <rFont val="Calibri"/>
        <family val="2"/>
        <scheme val="minor"/>
      </rPr>
      <t>]</t>
    </r>
  </si>
  <si>
    <t>Baja</t>
  </si>
  <si>
    <t>Yes</t>
  </si>
  <si>
    <t>N/A</t>
  </si>
  <si>
    <t>xxxx-xxxx-xxx4</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</si>
  <si>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metricas de ventas</t>
    </r>
    <r>
      <rPr>
        <sz val="11"/>
        <color theme="1"/>
        <rFont val="Calibri"/>
        <family val="2"/>
        <scheme val="minor"/>
      </rPr>
      <t>], con la finalidad de [</t>
    </r>
    <r>
      <rPr>
        <b/>
        <sz val="11"/>
        <color theme="1"/>
        <rFont val="Calibri"/>
        <family val="2"/>
        <scheme val="minor"/>
      </rPr>
      <t>identificar productos más vendidos</t>
    </r>
    <r>
      <rPr>
        <sz val="11"/>
        <color theme="1"/>
        <rFont val="Calibri"/>
        <family val="2"/>
        <scheme val="minor"/>
      </rPr>
      <t>]</t>
    </r>
  </si>
  <si>
    <t>Alta</t>
  </si>
  <si>
    <t>No se llegó a un acuerdo por parte de los estimadores, ya que uno dice que se tiene historial con esa programación y otro que es más complejo de lo que parece por la lectura de los datos de ventas registrados.</t>
  </si>
  <si>
    <t>xxxx-xxxx-xxx5</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</si>
  <si>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ver historial de devoluciones por producto</t>
    </r>
    <r>
      <rPr>
        <sz val="11"/>
        <color theme="1"/>
        <rFont val="Calibri"/>
        <family val="2"/>
        <scheme val="minor"/>
      </rPr>
      <t>], con la finalidad de [</t>
    </r>
    <r>
      <rPr>
        <b/>
        <sz val="11"/>
        <color theme="1"/>
        <rFont val="Calibri"/>
        <family val="2"/>
        <scheme val="minor"/>
      </rPr>
      <t>identificar produtos más defectuosos</t>
    </r>
    <r>
      <rPr>
        <sz val="11"/>
        <color theme="1"/>
        <rFont val="Calibri"/>
        <family val="2"/>
        <scheme val="minor"/>
      </rPr>
      <t>]</t>
    </r>
  </si>
  <si>
    <t>xxxx-xxxx-xxx6</t>
  </si>
  <si>
    <r>
      <t>Como un [</t>
    </r>
    <r>
      <rPr>
        <b/>
        <sz val="11"/>
        <color theme="1"/>
        <rFont val="Calibri"/>
        <family val="2"/>
        <scheme val="minor"/>
      </rPr>
      <t>vendedor</t>
    </r>
    <r>
      <rPr>
        <sz val="11"/>
        <color theme="1"/>
        <rFont val="Calibri"/>
        <family val="2"/>
        <scheme val="minor"/>
      </rPr>
      <t>], necesito [</t>
    </r>
    <r>
      <rPr>
        <b/>
        <sz val="11"/>
        <color theme="1"/>
        <rFont val="Calibri"/>
        <family val="2"/>
        <scheme val="minor"/>
      </rPr>
      <t>enviar correos o whatsapps personalizados a los clientes</t>
    </r>
    <r>
      <rPr>
        <sz val="11"/>
        <color theme="1"/>
        <rFont val="Calibri"/>
        <family val="2"/>
        <scheme val="minor"/>
      </rPr>
      <t>], con la finalidad de [</t>
    </r>
    <r>
      <rPr>
        <b/>
        <sz val="11"/>
        <color theme="1"/>
        <rFont val="Calibri"/>
        <family val="2"/>
        <scheme val="minor"/>
      </rPr>
      <t>reforzar en contacto con clientes potenciales</t>
    </r>
    <r>
      <rPr>
        <sz val="11"/>
        <color theme="1"/>
        <rFont val="Calibri"/>
        <family val="2"/>
        <scheme val="minor"/>
      </rPr>
      <t>]</t>
    </r>
  </si>
  <si>
    <t>No se llegó a un acuerdo po rparte de los estimadores porque el estimador 3 menciona la díficultad que implica conectarse con whatsapp y el respaldo de las converzaciones.</t>
  </si>
  <si>
    <t>xxxx-xxxx-xxx7</t>
  </si>
  <si>
    <r>
      <t>Como un [</t>
    </r>
    <r>
      <rPr>
        <b/>
        <sz val="11"/>
        <color theme="1"/>
        <rFont val="Calibri"/>
        <family val="2"/>
        <scheme val="minor"/>
      </rPr>
      <t>administrador</t>
    </r>
    <r>
      <rPr>
        <sz val="11"/>
        <color theme="1"/>
        <rFont val="Calibri"/>
        <family val="2"/>
        <scheme val="minor"/>
      </rPr>
      <t>], necesito [</t>
    </r>
    <r>
      <rPr>
        <b/>
        <sz val="11"/>
        <color theme="1"/>
        <rFont val="Calibri"/>
        <family val="2"/>
        <scheme val="minor"/>
      </rPr>
      <t>otorgar permisos para acceder a la información de nuestros clientes</t>
    </r>
    <r>
      <rPr>
        <sz val="11"/>
        <color theme="1"/>
        <rFont val="Calibri"/>
        <family val="2"/>
        <scheme val="minor"/>
      </rPr>
      <t>], con la finalidad de [</t>
    </r>
    <r>
      <rPr>
        <b/>
        <sz val="11"/>
        <color theme="1"/>
        <rFont val="Calibri"/>
        <family val="2"/>
        <scheme val="minor"/>
      </rPr>
      <t>preservar la seguridad de la información de nuestros clientes</t>
    </r>
    <r>
      <rPr>
        <sz val="11"/>
        <color theme="1"/>
        <rFont val="Calibri"/>
        <family val="2"/>
        <scheme val="minor"/>
      </rPr>
      <t>]</t>
    </r>
  </si>
  <si>
    <t>xxxx-xxxx-xxx8</t>
  </si>
  <si>
    <r>
      <t>Como un [</t>
    </r>
    <r>
      <rPr>
        <b/>
        <sz val="11"/>
        <color theme="1"/>
        <rFont val="Calibri"/>
        <family val="2"/>
        <scheme val="minor"/>
      </rPr>
      <t>Cliente</t>
    </r>
    <r>
      <rPr>
        <sz val="11"/>
        <color theme="1"/>
        <rFont val="Calibri"/>
        <family val="2"/>
        <scheme val="minor"/>
      </rPr>
      <t>], necesito [</t>
    </r>
    <r>
      <rPr>
        <b/>
        <sz val="11"/>
        <color theme="1"/>
        <rFont val="Calibri"/>
        <family val="2"/>
        <scheme val="minor"/>
      </rPr>
      <t>agregar al carrito los productos que quiero</t>
    </r>
    <r>
      <rPr>
        <sz val="11"/>
        <color theme="1"/>
        <rFont val="Calibri"/>
        <family val="2"/>
        <scheme val="minor"/>
      </rPr>
      <t>], con la finalidad de [c</t>
    </r>
    <r>
      <rPr>
        <b/>
        <sz val="11"/>
        <color theme="1"/>
        <rFont val="Calibri"/>
        <family val="2"/>
        <scheme val="minor"/>
      </rPr>
      <t>omprar varios productos al mismo tiempo</t>
    </r>
    <r>
      <rPr>
        <sz val="11"/>
        <color theme="1"/>
        <rFont val="Calibri"/>
        <family val="2"/>
        <scheme val="minor"/>
      </rPr>
      <t>]</t>
    </r>
  </si>
  <si>
    <t xml:space="preserve">Se conocen los elementos necesarios, pero al no conocer la cantidad exacta de elementos de credito que se puede otorgar al cliente no se a llegado a un acuerdo por parte del estimador 3 </t>
  </si>
  <si>
    <t>xxxx-xxxx-xxx9</t>
  </si>
  <si>
    <r>
      <t>Como un [</t>
    </r>
    <r>
      <rPr>
        <b/>
        <sz val="11"/>
        <color theme="1"/>
        <rFont val="Calibri"/>
        <family val="2"/>
        <scheme val="minor"/>
      </rPr>
      <t>cliente</t>
    </r>
    <r>
      <rPr>
        <sz val="11"/>
        <color theme="1"/>
        <rFont val="Calibri"/>
        <family val="2"/>
        <scheme val="minor"/>
      </rPr>
      <t>], necesito [</t>
    </r>
    <r>
      <rPr>
        <b/>
        <sz val="11"/>
        <color theme="1"/>
        <rFont val="Calibri"/>
        <family val="2"/>
        <scheme val="minor"/>
      </rPr>
      <t>registrar mis datos de facturación</t>
    </r>
    <r>
      <rPr>
        <sz val="11"/>
        <color theme="1"/>
        <rFont val="Calibri"/>
        <family val="2"/>
        <scheme val="minor"/>
      </rPr>
      <t>], con la finalidad de [</t>
    </r>
    <r>
      <rPr>
        <b/>
        <sz val="11"/>
        <color theme="1"/>
        <rFont val="Calibri"/>
        <family val="2"/>
        <scheme val="minor"/>
      </rPr>
      <t>resivir mis facturas en el correo electrónico</t>
    </r>
    <r>
      <rPr>
        <sz val="11"/>
        <color theme="1"/>
        <rFont val="Calibri"/>
        <family val="2"/>
        <scheme val="minor"/>
      </rPr>
      <t>]</t>
    </r>
  </si>
  <si>
    <t>xxxx-xxxx-xxx10</t>
  </si>
  <si>
    <r>
      <t>Como un [</t>
    </r>
    <r>
      <rPr>
        <b/>
        <sz val="11"/>
        <color theme="1"/>
        <rFont val="Calibri"/>
        <family val="2"/>
        <scheme val="minor"/>
      </rPr>
      <t>responsable de envios</t>
    </r>
    <r>
      <rPr>
        <sz val="11"/>
        <color theme="1"/>
        <rFont val="Calibri"/>
        <family val="2"/>
        <scheme val="minor"/>
      </rPr>
      <t>], necesito [</t>
    </r>
    <r>
      <rPr>
        <b/>
        <sz val="11"/>
        <color theme="1"/>
        <rFont val="Calibri"/>
        <family val="2"/>
        <scheme val="minor"/>
      </rPr>
      <t>poder informar el estado del producto una vez enviado</t>
    </r>
    <r>
      <rPr>
        <sz val="11"/>
        <color theme="1"/>
        <rFont val="Calibri"/>
        <family val="2"/>
        <scheme val="minor"/>
      </rPr>
      <t>], con la finalidad de [</t>
    </r>
    <r>
      <rPr>
        <b/>
        <sz val="11"/>
        <color theme="1"/>
        <rFont val="Calibri"/>
        <family val="2"/>
        <scheme val="minor"/>
      </rPr>
      <t>mantener informado al cliente</t>
    </r>
    <r>
      <rPr>
        <sz val="11"/>
        <color theme="1"/>
        <rFont val="Calibri"/>
        <family val="2"/>
        <scheme val="minor"/>
      </rPr>
      <t>]</t>
    </r>
  </si>
  <si>
    <t>Todos coinciden que es simple pero no en qué tán simple es.</t>
  </si>
  <si>
    <t>Tabla de estimación (round 2)</t>
  </si>
  <si>
    <t>Dos estimadores estan de acuerdo pero el 3ro menciona que la actualización sigue siendo un factor que no se esta concideranro detenidamente.</t>
  </si>
  <si>
    <t>Tabla de estimación (round 3)</t>
  </si>
  <si>
    <t>No se llego a un acuerdo, pero se considerarán 5 pts por ser el número más alto.</t>
  </si>
  <si>
    <t xml:space="preserve">Sumatoría de Tamaño esperado </t>
  </si>
  <si>
    <t>Resumen</t>
  </si>
  <si>
    <t>Pivote</t>
  </si>
  <si>
    <t>Actualizaciones online en base de datos de manera instantanea</t>
  </si>
  <si>
    <t>Ejemplo: 8 pts.de historia</t>
  </si>
  <si>
    <t>Equipo</t>
  </si>
  <si>
    <t>28 pts por sprint.</t>
  </si>
  <si>
    <t>El sprint 2 y 3 nos dan margen de error indirectametne.</t>
  </si>
  <si>
    <t>PHU</t>
  </si>
  <si>
    <t>Total puntos</t>
  </si>
  <si>
    <t>Puntos totales</t>
  </si>
  <si>
    <t>Resultado Tamaño</t>
  </si>
  <si>
    <t>Tablas de datos</t>
  </si>
  <si>
    <t>Lenguaje</t>
  </si>
  <si>
    <t>Horas PF promedio</t>
  </si>
  <si>
    <t>Java</t>
  </si>
  <si>
    <t>RESULTADO</t>
  </si>
  <si>
    <t>Estimación→</t>
  </si>
  <si>
    <t>Esfuerzo</t>
  </si>
  <si>
    <t>hrs</t>
  </si>
  <si>
    <t>Desglose de horas por actividad</t>
  </si>
  <si>
    <t>Actividades</t>
  </si>
  <si>
    <t>Horas</t>
  </si>
  <si>
    <t>%</t>
  </si>
  <si>
    <t>Días hombre</t>
  </si>
  <si>
    <t>Análisis</t>
  </si>
  <si>
    <t>Diseño</t>
  </si>
  <si>
    <t>Construcción</t>
  </si>
  <si>
    <t>Pruebas</t>
  </si>
  <si>
    <t xml:space="preserve">Total </t>
  </si>
  <si>
    <t>DPM</t>
  </si>
  <si>
    <t>Horas efectivas de trabajo</t>
  </si>
  <si>
    <t>Días totales (red)</t>
  </si>
  <si>
    <t>Plazo en meses</t>
  </si>
  <si>
    <t>Costos</t>
  </si>
  <si>
    <t>Rol</t>
  </si>
  <si>
    <t>Costo por mes</t>
  </si>
  <si>
    <t>Líder de proyecto</t>
  </si>
  <si>
    <t>Líder técnico</t>
  </si>
  <si>
    <t>LT</t>
  </si>
  <si>
    <t>Analista</t>
  </si>
  <si>
    <t>AN</t>
  </si>
  <si>
    <t>Arquitecto</t>
  </si>
  <si>
    <t>AR</t>
  </si>
  <si>
    <t>Desarrollador</t>
  </si>
  <si>
    <t>Tester</t>
  </si>
  <si>
    <t>DE</t>
  </si>
  <si>
    <t>Otros conceptos</t>
  </si>
  <si>
    <t>Conceptos</t>
  </si>
  <si>
    <t>Costo</t>
  </si>
  <si>
    <t>Compras</t>
  </si>
  <si>
    <t>Licencias</t>
  </si>
  <si>
    <t>Formación</t>
  </si>
  <si>
    <t>Consumibles</t>
  </si>
  <si>
    <t>Presupuesto total</t>
  </si>
  <si>
    <t>Razonamiento o base para la estimación y motivo de ajuste en la estimación. Describir el fundamento de las estimaciones de esfuerzo, duración y costo, para que proporcionen el contexto para el uso de datos históricos.</t>
  </si>
  <si>
    <t xml:space="preserve">Calificación por sprint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</si>
</sst>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164" formatCode="#,##0.00\ &quot;€&quot;;\-#,##0.00\ &quot;€&quot;"/>
    <numFmt numFmtId="165" formatCode="0.00_);[Red]\(0.00\)"/>
    <numFmt numFmtId="166" formatCode="0_ "/>
    <numFmt numFmtId="167" formatCode="#,##0.00\ &quot;€&quot;"/>
    <numFmt numFmtId="168" formatCode="0.00%;[Red]\-0.00%"/>
    <numFmt numFmtId="169" formatCode="_-[$$-80A]* #,##0.00_-;\-[$$-80A]* #,##0.00_-;_-[$$-80A]* &quot;-&quot;??_-;_-@_-"/>
    <numFmt numFmtId="170" formatCode="_-&quot;$&quot;* #,##0_-;\-&quot;$&quot;* #,##0_-;_-&quot;$&quot;* &quot;-&quot;??_-;_-@_-"/>
  </numFmts>
  <fonts count="4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0"/>
      <name val="Arial"/>
      <family val="2"/>
    </font>
    <font>
      <sz val="10"/>
      <name val="Arial"/>
      <family val="2"/>
    </font>
    <font>
      <b/>
      <sz val="12"/>
      <color theme="0"/>
      <name val="Calibri"/>
      <family val="2"/>
      <scheme val="minor"/>
    </font>
    <font>
      <sz val="9"/>
      <color indexed="81"/>
      <name val="Tahoma"/>
      <family val="2"/>
    </font>
    <font>
      <sz val="12"/>
      <name val="宋体"/>
      <charset val="134"/>
    </font>
    <font>
      <b/>
      <sz val="10"/>
      <name val="Arial"/>
      <family val="2"/>
    </font>
    <font>
      <sz val="10"/>
      <name val="Calibri"/>
      <family val="2"/>
      <scheme val="minor"/>
    </font>
    <font>
      <sz val="8"/>
      <name val="Calibri"/>
      <family val="2"/>
      <scheme val="minor"/>
    </font>
    <font>
      <b/>
      <sz val="16"/>
      <color theme="0"/>
      <name val="Calibri"/>
      <family val="2"/>
      <scheme val="minor"/>
    </font>
    <font>
      <b/>
      <sz val="18"/>
      <color theme="0"/>
      <name val="Arial"/>
      <family val="2"/>
    </font>
    <font>
      <b/>
      <sz val="9"/>
      <color indexed="81"/>
      <name val="Tahoma"/>
      <family val="2"/>
    </font>
    <font>
      <b/>
      <sz val="11"/>
      <color theme="0"/>
      <name val="Arial"/>
      <family val="2"/>
    </font>
    <font>
      <b/>
      <sz val="11"/>
      <name val="Calibri"/>
      <family val="2"/>
      <scheme val="minor"/>
    </font>
    <font>
      <sz val="12"/>
      <color theme="1"/>
      <name val="Calibri"/>
      <family val="2"/>
      <scheme val="minor"/>
    </font>
    <font>
      <b/>
      <sz val="12"/>
      <color theme="1"/>
      <name val="Calibri"/>
      <family val="2"/>
      <scheme val="minor"/>
    </font>
    <font>
      <i/>
      <sz val="11"/>
      <color theme="1" tint="0.249977111117893"/>
      <name val="Calibri"/>
      <family val="2"/>
      <scheme val="minor"/>
    </font>
    <font>
      <b/>
      <sz val="12"/>
      <name val="Calibri"/>
      <family val="2"/>
      <scheme val="minor"/>
    </font>
    <font>
      <b/>
      <sz val="14"/>
      <color theme="0"/>
      <name val="Calibri"/>
      <family val="2"/>
      <scheme val="minor"/>
    </font>
    <font>
      <b/>
      <sz val="9"/>
      <color indexed="63"/>
      <name val="Verdana"/>
      <family val="2"/>
    </font>
    <font>
      <sz val="10"/>
      <color theme="1"/>
      <name val="Calibri"/>
      <family val="2"/>
      <scheme val="minor"/>
    </font>
    <font>
      <sz val="9"/>
      <name val="Verdana"/>
      <family val="2"/>
    </font>
    <font>
      <sz val="11"/>
      <name val="Calibri"/>
      <family val="2"/>
      <scheme val="minor"/>
    </font>
    <font>
      <b/>
      <sz val="10"/>
      <name val="Calibri"/>
      <family val="2"/>
      <scheme val="minor"/>
    </font>
    <font>
      <sz val="9"/>
      <color indexed="63"/>
      <name val="Verdana"/>
      <family val="2"/>
    </font>
    <font>
      <b/>
      <sz val="11"/>
      <color indexed="63"/>
      <name val="Calibri"/>
      <family val="2"/>
      <scheme val="minor"/>
    </font>
    <font>
      <i/>
      <sz val="10"/>
      <color theme="1" tint="0.34998626667073579"/>
      <name val="Calibri"/>
      <family val="2"/>
      <scheme val="minor"/>
    </font>
    <font>
      <b/>
      <i/>
      <sz val="8"/>
      <color indexed="81"/>
      <name val="Tahoma"/>
      <family val="2"/>
    </font>
    <font>
      <b/>
      <sz val="14"/>
      <name val="Calibri"/>
      <family val="2"/>
      <scheme val="minor"/>
    </font>
    <font>
      <i/>
      <sz val="10"/>
      <name val="Calibri"/>
      <family val="2"/>
      <scheme val="minor"/>
    </font>
    <font>
      <i/>
      <sz val="9"/>
      <name val="Calibri"/>
      <family val="2"/>
      <scheme val="minor"/>
    </font>
    <font>
      <i/>
      <sz val="9"/>
      <color theme="1"/>
      <name val="Calibri"/>
      <family val="2"/>
      <scheme val="minor"/>
    </font>
    <font>
      <i/>
      <sz val="10"/>
      <color theme="1"/>
      <name val="Calibri"/>
      <family val="2"/>
      <scheme val="minor"/>
    </font>
    <font>
      <b/>
      <sz val="10"/>
      <color theme="0"/>
      <name val="Calibri"/>
      <family val="2"/>
      <scheme val="minor"/>
    </font>
    <font>
      <i/>
      <sz val="9"/>
      <color theme="0" tint="-0.499984740745262"/>
      <name val="Calibri"/>
      <family val="2"/>
      <scheme val="minor"/>
    </font>
    <font>
      <sz val="10"/>
      <color theme="0"/>
      <name val="Calibri"/>
      <family val="2"/>
      <scheme val="minor"/>
    </font>
    <font>
      <i/>
      <sz val="10"/>
      <color rgb="FF000000"/>
      <name val="Calibri"/>
      <family val="2"/>
      <scheme val="minor"/>
    </font>
    <font>
      <i/>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theme="1" tint="0.249977111117893"/>
        <bgColor indexed="64"/>
      </patternFill>
    </fill>
    <fill>
      <patternFill patternType="solid">
        <fgColor indexed="9"/>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s>
  <borders count="22">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44" fontId="1" fillId="0" borderId="0" applyFont="0" applyFill="0" applyBorder="0" applyAlignment="0" applyProtection="0"/>
    <xf numFmtId="0" fontId="9" fillId="0" borderId="0">
      <alignment vertical="center"/>
    </xf>
    <xf numFmtId="9" fontId="1" fillId="0" borderId="0" applyFont="0" applyFill="0" applyBorder="0" applyAlignment="0" applyProtection="0"/>
  </cellStyleXfs>
  <cellXfs count="155">
    <xf numFmtId="0" fontId="0" fillId="0" borderId="0" xfId="0"/>
    <xf numFmtId="0" fontId="10" fillId="4" borderId="2" xfId="2" applyFont="1" applyFill="1" applyBorder="1" applyAlignment="1">
      <alignment horizontal="center" vertical="center"/>
    </xf>
    <xf numFmtId="0" fontId="10" fillId="4" borderId="2" xfId="2" applyFont="1" applyFill="1" applyBorder="1" applyAlignment="1">
      <alignment vertical="center" wrapText="1"/>
    </xf>
    <xf numFmtId="0" fontId="10" fillId="4" borderId="2" xfId="2" applyFont="1" applyFill="1" applyBorder="1">
      <alignment vertical="center"/>
    </xf>
    <xf numFmtId="165" fontId="10" fillId="4" borderId="2" xfId="2" applyNumberFormat="1" applyFont="1" applyFill="1" applyBorder="1">
      <alignment vertical="center"/>
    </xf>
    <xf numFmtId="0" fontId="11" fillId="0" borderId="6" xfId="0" applyFont="1" applyBorder="1" applyAlignment="1">
      <alignment horizontal="left" vertical="center" wrapText="1"/>
    </xf>
    <xf numFmtId="0" fontId="11" fillId="0" borderId="3" xfId="0" applyFont="1" applyBorder="1" applyAlignment="1">
      <alignment horizontal="center" vertical="center" wrapText="1"/>
    </xf>
    <xf numFmtId="166" fontId="11" fillId="5" borderId="3" xfId="0" applyNumberFormat="1" applyFont="1" applyFill="1" applyBorder="1" applyAlignment="1">
      <alignment horizontal="center" vertical="center" wrapText="1"/>
    </xf>
    <xf numFmtId="9" fontId="11" fillId="0" borderId="3" xfId="0" applyNumberFormat="1" applyFont="1" applyBorder="1" applyAlignment="1">
      <alignment horizontal="center" vertical="center" wrapText="1"/>
    </xf>
    <xf numFmtId="166" fontId="11" fillId="0" borderId="3" xfId="0" applyNumberFormat="1" applyFont="1" applyBorder="1" applyAlignment="1">
      <alignment horizontal="center" vertical="center" wrapText="1"/>
    </xf>
    <xf numFmtId="10" fontId="11" fillId="0" borderId="3" xfId="0" applyNumberFormat="1" applyFont="1" applyBorder="1" applyAlignment="1">
      <alignment horizontal="center" vertical="center" wrapText="1"/>
    </xf>
    <xf numFmtId="0" fontId="0" fillId="6" borderId="3" xfId="0" applyFill="1" applyBorder="1" applyAlignment="1">
      <alignment horizontal="left" vertical="top"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2" fillId="8" borderId="3" xfId="0" applyFont="1" applyFill="1" applyBorder="1" applyAlignment="1">
      <alignment horizontal="center" vertical="center" wrapText="1"/>
    </xf>
    <xf numFmtId="165" fontId="2" fillId="8" borderId="3" xfId="2" applyNumberFormat="1" applyFont="1" applyFill="1" applyBorder="1" applyAlignment="1">
      <alignment horizontal="center" vertical="center" wrapText="1"/>
    </xf>
    <xf numFmtId="0" fontId="2" fillId="8" borderId="3" xfId="2" applyFont="1" applyFill="1" applyBorder="1" applyAlignment="1">
      <alignment horizontal="center" vertical="center" wrapText="1"/>
    </xf>
    <xf numFmtId="166" fontId="11" fillId="9" borderId="3" xfId="0" applyNumberFormat="1" applyFont="1" applyFill="1" applyBorder="1" applyAlignment="1">
      <alignment horizontal="center" vertical="center" wrapText="1"/>
    </xf>
    <xf numFmtId="0" fontId="11" fillId="7" borderId="5" xfId="0" applyFont="1" applyFill="1" applyBorder="1" applyAlignment="1">
      <alignment vertical="center" wrapText="1"/>
    </xf>
    <xf numFmtId="0" fontId="0" fillId="7" borderId="3" xfId="0" applyFill="1" applyBorder="1" applyAlignment="1">
      <alignment horizontal="left" vertical="top" wrapText="1"/>
    </xf>
    <xf numFmtId="0" fontId="11" fillId="7" borderId="6" xfId="0" applyFont="1" applyFill="1" applyBorder="1" applyAlignment="1">
      <alignment horizontal="left" vertical="center" wrapText="1"/>
    </xf>
    <xf numFmtId="0" fontId="11" fillId="7" borderId="3" xfId="0" applyFont="1" applyFill="1" applyBorder="1" applyAlignment="1">
      <alignment horizontal="center" vertical="center" wrapText="1"/>
    </xf>
    <xf numFmtId="166" fontId="11" fillId="7" borderId="3" xfId="0" applyNumberFormat="1" applyFont="1" applyFill="1" applyBorder="1" applyAlignment="1">
      <alignment horizontal="center" vertical="center" wrapText="1"/>
    </xf>
    <xf numFmtId="9" fontId="11" fillId="7" borderId="3" xfId="0" applyNumberFormat="1" applyFont="1" applyFill="1" applyBorder="1" applyAlignment="1">
      <alignment horizontal="center" vertical="center" wrapText="1"/>
    </xf>
    <xf numFmtId="10" fontId="11" fillId="7" borderId="3" xfId="0" applyNumberFormat="1" applyFont="1" applyFill="1" applyBorder="1" applyAlignment="1">
      <alignment horizontal="center" vertical="center" wrapText="1"/>
    </xf>
    <xf numFmtId="0" fontId="11" fillId="7" borderId="6" xfId="0" applyFont="1" applyFill="1" applyBorder="1" applyAlignment="1">
      <alignment vertical="center" wrapText="1"/>
    </xf>
    <xf numFmtId="0" fontId="6" fillId="0" borderId="0" xfId="0" applyFont="1"/>
    <xf numFmtId="0" fontId="18" fillId="11" borderId="3" xfId="0" applyFont="1" applyFill="1" applyBorder="1" applyAlignment="1">
      <alignment horizontal="center" vertical="center"/>
    </xf>
    <xf numFmtId="0" fontId="11" fillId="12" borderId="6" xfId="0" applyFont="1" applyFill="1" applyBorder="1" applyAlignment="1">
      <alignment horizontal="left" vertical="center" wrapText="1"/>
    </xf>
    <xf numFmtId="166" fontId="11" fillId="12" borderId="3" xfId="0" applyNumberFormat="1" applyFont="1" applyFill="1" applyBorder="1" applyAlignment="1">
      <alignment horizontal="center" vertical="center" wrapText="1"/>
    </xf>
    <xf numFmtId="9" fontId="11" fillId="12" borderId="3" xfId="0" applyNumberFormat="1" applyFont="1" applyFill="1" applyBorder="1" applyAlignment="1">
      <alignment horizontal="center" vertical="center" wrapText="1"/>
    </xf>
    <xf numFmtId="0" fontId="3" fillId="11" borderId="3" xfId="0" applyFont="1" applyFill="1" applyBorder="1" applyAlignment="1">
      <alignment horizontal="center" vertical="center"/>
    </xf>
    <xf numFmtId="0" fontId="0" fillId="11" borderId="4" xfId="0" applyFill="1" applyBorder="1" applyAlignment="1">
      <alignment horizontal="center" vertical="center"/>
    </xf>
    <xf numFmtId="0" fontId="0" fillId="11" borderId="8" xfId="0" applyFill="1" applyBorder="1" applyAlignment="1">
      <alignment horizontal="center" vertical="center"/>
    </xf>
    <xf numFmtId="0" fontId="3" fillId="0" borderId="0" xfId="0" applyFont="1" applyAlignment="1">
      <alignment horizontal="center" vertical="center"/>
    </xf>
    <xf numFmtId="0" fontId="23" fillId="11" borderId="3" xfId="0" applyFont="1" applyFill="1" applyBorder="1" applyAlignment="1">
      <alignment horizontal="center" vertical="center"/>
    </xf>
    <xf numFmtId="167" fontId="23" fillId="11" borderId="3" xfId="0" applyNumberFormat="1" applyFont="1" applyFill="1" applyBorder="1" applyAlignment="1">
      <alignment horizontal="center" vertical="center"/>
    </xf>
    <xf numFmtId="1" fontId="24" fillId="11" borderId="3" xfId="0" applyNumberFormat="1" applyFont="1" applyFill="1" applyBorder="1" applyAlignment="1">
      <alignment horizontal="center" vertical="center" shrinkToFit="1"/>
    </xf>
    <xf numFmtId="168" fontId="25" fillId="6" borderId="3" xfId="0" applyNumberFormat="1" applyFont="1" applyFill="1" applyBorder="1" applyAlignment="1">
      <alignment vertical="center" shrinkToFit="1"/>
    </xf>
    <xf numFmtId="2" fontId="25" fillId="11" borderId="3" xfId="0" applyNumberFormat="1" applyFont="1" applyFill="1" applyBorder="1" applyAlignment="1">
      <alignment vertical="center" shrinkToFit="1"/>
    </xf>
    <xf numFmtId="0" fontId="25" fillId="6" borderId="0" xfId="0" applyFont="1" applyFill="1"/>
    <xf numFmtId="167" fontId="25" fillId="6" borderId="0" xfId="0" applyNumberFormat="1" applyFont="1" applyFill="1"/>
    <xf numFmtId="10" fontId="25" fillId="6" borderId="0" xfId="0" applyNumberFormat="1" applyFont="1" applyFill="1"/>
    <xf numFmtId="2" fontId="25" fillId="6" borderId="0" xfId="0" applyNumberFormat="1" applyFont="1" applyFill="1"/>
    <xf numFmtId="10" fontId="25" fillId="11" borderId="3" xfId="0" applyNumberFormat="1" applyFont="1" applyFill="1" applyBorder="1" applyAlignment="1">
      <alignment vertical="center" shrinkToFit="1"/>
    </xf>
    <xf numFmtId="0" fontId="5" fillId="3" borderId="3" xfId="0" applyFont="1" applyFill="1" applyBorder="1"/>
    <xf numFmtId="0" fontId="0" fillId="0" borderId="3" xfId="0" applyBorder="1" applyAlignment="1">
      <alignment horizontal="center" vertical="center"/>
    </xf>
    <xf numFmtId="0" fontId="0" fillId="11" borderId="3" xfId="0" applyFill="1" applyBorder="1"/>
    <xf numFmtId="0" fontId="0" fillId="0" borderId="0" xfId="0" applyAlignment="1">
      <alignment horizontal="center" vertical="center"/>
    </xf>
    <xf numFmtId="2" fontId="0" fillId="0" borderId="0" xfId="0" applyNumberFormat="1" applyAlignment="1">
      <alignment horizontal="center"/>
    </xf>
    <xf numFmtId="167" fontId="11" fillId="6" borderId="0" xfId="0" applyNumberFormat="1" applyFont="1" applyFill="1"/>
    <xf numFmtId="167" fontId="11" fillId="0" borderId="0" xfId="0" applyNumberFormat="1" applyFont="1"/>
    <xf numFmtId="167" fontId="23" fillId="11" borderId="3" xfId="0" applyNumberFormat="1" applyFont="1" applyFill="1" applyBorder="1" applyAlignment="1">
      <alignment horizontal="center" vertical="center" wrapText="1"/>
    </xf>
    <xf numFmtId="6" fontId="11" fillId="6" borderId="3" xfId="0" applyNumberFormat="1" applyFont="1" applyFill="1" applyBorder="1" applyAlignment="1">
      <alignment horizontal="center"/>
    </xf>
    <xf numFmtId="0" fontId="11" fillId="6" borderId="0" xfId="0" applyFont="1" applyFill="1"/>
    <xf numFmtId="167" fontId="28" fillId="2" borderId="3" xfId="0" applyNumberFormat="1" applyFont="1" applyFill="1" applyBorder="1" applyAlignment="1">
      <alignment horizontal="center" vertical="center"/>
    </xf>
    <xf numFmtId="44" fontId="11" fillId="0" borderId="3" xfId="1" applyFont="1" applyFill="1" applyBorder="1" applyAlignment="1">
      <alignment shrinkToFit="1"/>
    </xf>
    <xf numFmtId="44" fontId="11" fillId="0" borderId="4" xfId="1" applyFont="1" applyFill="1" applyBorder="1" applyAlignment="1">
      <alignment shrinkToFit="1"/>
    </xf>
    <xf numFmtId="169" fontId="11" fillId="11" borderId="3" xfId="1" applyNumberFormat="1" applyFont="1" applyFill="1" applyBorder="1" applyAlignment="1">
      <alignment vertical="center" shrinkToFit="1"/>
    </xf>
    <xf numFmtId="0" fontId="11" fillId="0" borderId="0" xfId="0" applyFont="1"/>
    <xf numFmtId="170" fontId="27" fillId="11" borderId="6" xfId="1" applyNumberFormat="1" applyFont="1" applyFill="1" applyBorder="1" applyAlignment="1">
      <alignment horizontal="center" vertical="center" shrinkToFit="1"/>
    </xf>
    <xf numFmtId="0" fontId="27" fillId="0" borderId="0" xfId="0" applyFont="1" applyAlignment="1">
      <alignment horizontal="center" vertical="center"/>
    </xf>
    <xf numFmtId="10" fontId="11" fillId="6" borderId="0" xfId="0" applyNumberFormat="1" applyFont="1" applyFill="1"/>
    <xf numFmtId="0" fontId="19" fillId="11" borderId="3" xfId="0" applyFont="1" applyFill="1" applyBorder="1" applyAlignment="1">
      <alignment horizontal="center" vertical="center"/>
    </xf>
    <xf numFmtId="0" fontId="16" fillId="6" borderId="0" xfId="0" applyFont="1" applyFill="1"/>
    <xf numFmtId="0" fontId="13" fillId="0" borderId="0" xfId="0" applyFont="1" applyAlignment="1">
      <alignment vertical="center" wrapText="1"/>
    </xf>
    <xf numFmtId="0" fontId="21" fillId="10" borderId="3" xfId="0" applyFont="1" applyFill="1" applyBorder="1" applyAlignment="1">
      <alignment horizontal="center" vertical="center"/>
    </xf>
    <xf numFmtId="0" fontId="21" fillId="11" borderId="3" xfId="0" applyFont="1" applyFill="1" applyBorder="1" applyAlignment="1">
      <alignment horizontal="center" vertical="center"/>
    </xf>
    <xf numFmtId="0" fontId="21" fillId="11" borderId="10" xfId="0" applyFont="1" applyFill="1" applyBorder="1" applyAlignment="1">
      <alignment horizontal="center" vertical="center"/>
    </xf>
    <xf numFmtId="0" fontId="17" fillId="11" borderId="3" xfId="0" applyFont="1" applyFill="1" applyBorder="1" applyAlignment="1">
      <alignment horizontal="center" vertical="center"/>
    </xf>
    <xf numFmtId="0" fontId="17" fillId="11" borderId="3" xfId="0" applyFont="1" applyFill="1" applyBorder="1"/>
    <xf numFmtId="0" fontId="10" fillId="0" borderId="0" xfId="0" applyFont="1" applyAlignment="1">
      <alignment horizontal="center"/>
    </xf>
    <xf numFmtId="44" fontId="0" fillId="0" borderId="0" xfId="0" applyNumberFormat="1"/>
    <xf numFmtId="0" fontId="27" fillId="11" borderId="3" xfId="0" applyFont="1" applyFill="1" applyBorder="1" applyAlignment="1">
      <alignment horizontal="center" vertical="center" wrapText="1"/>
    </xf>
    <xf numFmtId="0" fontId="0" fillId="11" borderId="3" xfId="0" applyFill="1" applyBorder="1" applyAlignment="1">
      <alignment horizontal="center" vertical="center"/>
    </xf>
    <xf numFmtId="0" fontId="27" fillId="7" borderId="3" xfId="0" applyFont="1" applyFill="1" applyBorder="1" applyAlignment="1">
      <alignment horizontal="center" vertical="center" wrapText="1"/>
    </xf>
    <xf numFmtId="0" fontId="38" fillId="0" borderId="3" xfId="0" applyFont="1" applyBorder="1"/>
    <xf numFmtId="0" fontId="38" fillId="0" borderId="3" xfId="0" applyFont="1" applyBorder="1" applyAlignment="1">
      <alignment horizontal="center"/>
    </xf>
    <xf numFmtId="0" fontId="32" fillId="7" borderId="3" xfId="0" applyFont="1" applyFill="1" applyBorder="1" applyAlignment="1">
      <alignment horizontal="center" wrapText="1"/>
    </xf>
    <xf numFmtId="6" fontId="27" fillId="11" borderId="3" xfId="1" applyNumberFormat="1" applyFont="1" applyFill="1" applyBorder="1" applyAlignment="1">
      <alignment horizontal="center" vertical="center" shrinkToFit="1"/>
    </xf>
    <xf numFmtId="167" fontId="11" fillId="6" borderId="0" xfId="0" applyNumberFormat="1" applyFont="1" applyFill="1" applyBorder="1"/>
    <xf numFmtId="0" fontId="0" fillId="0" borderId="0" xfId="0" applyBorder="1"/>
    <xf numFmtId="6" fontId="27" fillId="0" borderId="0" xfId="1" applyNumberFormat="1" applyFont="1" applyFill="1" applyBorder="1" applyAlignment="1">
      <alignment horizontal="center" vertical="center" shrinkToFi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0" fontId="7" fillId="0" borderId="0" xfId="0" applyFont="1" applyAlignment="1">
      <alignment horizontal="center" vertical="center" wrapText="1"/>
    </xf>
    <xf numFmtId="0" fontId="22" fillId="3" borderId="3" xfId="0" applyFont="1" applyFill="1" applyBorder="1" applyAlignment="1">
      <alignment horizontal="center"/>
    </xf>
    <xf numFmtId="0" fontId="22" fillId="3" borderId="4" xfId="0" applyFont="1" applyFill="1" applyBorder="1" applyAlignment="1">
      <alignment horizontal="center"/>
    </xf>
    <xf numFmtId="0" fontId="0" fillId="11" borderId="7" xfId="0" applyFill="1" applyBorder="1" applyAlignment="1">
      <alignment horizontal="center" vertical="center"/>
    </xf>
    <xf numFmtId="0" fontId="20" fillId="0" borderId="15" xfId="0" applyFont="1" applyBorder="1" applyAlignment="1">
      <alignment horizontal="center" vertical="center" wrapText="1"/>
    </xf>
    <xf numFmtId="0" fontId="20"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20" fillId="0" borderId="3" xfId="0" applyFont="1" applyBorder="1" applyAlignment="1">
      <alignment horizontal="left" vertical="center" wrapText="1"/>
    </xf>
    <xf numFmtId="0" fontId="13" fillId="3" borderId="12"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21" fillId="11" borderId="15" xfId="0" applyFont="1" applyFill="1" applyBorder="1" applyAlignment="1">
      <alignment horizontal="center" vertical="center" wrapText="1"/>
    </xf>
    <xf numFmtId="0" fontId="21" fillId="11" borderId="3" xfId="0" applyFont="1" applyFill="1" applyBorder="1" applyAlignment="1">
      <alignment horizontal="center" vertical="center" wrapText="1"/>
    </xf>
    <xf numFmtId="0" fontId="21" fillId="11" borderId="16" xfId="0" applyFont="1" applyFill="1" applyBorder="1" applyAlignment="1">
      <alignment horizontal="center" vertical="center" wrapText="1"/>
    </xf>
    <xf numFmtId="0" fontId="14" fillId="3" borderId="1" xfId="2" applyFont="1" applyFill="1" applyBorder="1" applyAlignment="1">
      <alignment horizontal="center" vertical="center"/>
    </xf>
    <xf numFmtId="0" fontId="2" fillId="8" borderId="3" xfId="2" applyFont="1" applyFill="1" applyBorder="1" applyAlignment="1">
      <alignment horizontal="center" vertical="center" wrapText="1"/>
    </xf>
    <xf numFmtId="0" fontId="2" fillId="8" borderId="4" xfId="2" applyFont="1" applyFill="1" applyBorder="1" applyAlignment="1">
      <alignment horizontal="center" vertical="center" wrapText="1"/>
    </xf>
    <xf numFmtId="0" fontId="4" fillId="8" borderId="3" xfId="2" applyFont="1" applyFill="1" applyBorder="1" applyAlignment="1">
      <alignment horizontal="center" vertical="center"/>
    </xf>
    <xf numFmtId="166" fontId="7" fillId="8" borderId="3" xfId="2" applyNumberFormat="1" applyFont="1" applyFill="1" applyBorder="1" applyAlignment="1">
      <alignment horizontal="center" vertical="center" wrapText="1"/>
    </xf>
    <xf numFmtId="10" fontId="2" fillId="8" borderId="3" xfId="2" applyNumberFormat="1" applyFont="1" applyFill="1" applyBorder="1" applyAlignment="1">
      <alignment horizontal="center" vertical="center" wrapText="1"/>
    </xf>
    <xf numFmtId="0" fontId="4" fillId="8" borderId="3" xfId="2" applyFont="1" applyFill="1" applyBorder="1" applyAlignment="1">
      <alignment vertical="center"/>
    </xf>
    <xf numFmtId="0" fontId="32" fillId="7" borderId="3" xfId="0" applyFont="1" applyFill="1" applyBorder="1" applyAlignment="1">
      <alignment horizontal="center" wrapText="1"/>
    </xf>
    <xf numFmtId="0" fontId="19" fillId="11" borderId="3" xfId="0" applyFont="1" applyFill="1" applyBorder="1" applyAlignment="1">
      <alignment horizontal="center" vertical="center"/>
    </xf>
    <xf numFmtId="0" fontId="2" fillId="3" borderId="3" xfId="0" applyFont="1" applyFill="1" applyBorder="1" applyAlignment="1">
      <alignment horizontal="center"/>
    </xf>
    <xf numFmtId="0" fontId="39" fillId="3" borderId="3" xfId="0" applyFont="1" applyFill="1" applyBorder="1" applyAlignment="1">
      <alignment horizontal="center"/>
    </xf>
    <xf numFmtId="0" fontId="40"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7" fillId="3" borderId="9" xfId="0" applyFont="1" applyFill="1" applyBorder="1" applyAlignment="1">
      <alignment horizontal="center"/>
    </xf>
    <xf numFmtId="0" fontId="37" fillId="3" borderId="0" xfId="0" applyFont="1" applyFill="1" applyAlignment="1">
      <alignment horizontal="center"/>
    </xf>
    <xf numFmtId="0" fontId="41" fillId="0" borderId="3" xfId="0" applyFont="1" applyBorder="1" applyAlignment="1">
      <alignment horizontal="center" vertical="center" wrapText="1"/>
    </xf>
    <xf numFmtId="0" fontId="34" fillId="0" borderId="3" xfId="0" applyFont="1" applyBorder="1" applyAlignment="1">
      <alignment horizontal="center" vertical="center" wrapText="1"/>
    </xf>
    <xf numFmtId="0" fontId="33" fillId="0" borderId="3" xfId="0" applyFont="1" applyBorder="1" applyAlignment="1">
      <alignment horizontal="center" vertical="center" wrapText="1"/>
    </xf>
    <xf numFmtId="0" fontId="36" fillId="0" borderId="3" xfId="0" applyFont="1" applyBorder="1" applyAlignment="1">
      <alignment horizontal="center" vertical="center" wrapText="1"/>
    </xf>
    <xf numFmtId="0" fontId="29" fillId="11" borderId="3" xfId="0" applyFont="1" applyFill="1" applyBorder="1" applyAlignment="1">
      <alignment horizontal="center"/>
    </xf>
    <xf numFmtId="49" fontId="30" fillId="0" borderId="6" xfId="0" applyNumberFormat="1" applyFont="1" applyBorder="1" applyAlignment="1">
      <alignment horizontal="center" vertical="top" wrapText="1" shrinkToFit="1"/>
    </xf>
    <xf numFmtId="49" fontId="30" fillId="0" borderId="3" xfId="0" applyNumberFormat="1" applyFont="1" applyBorder="1" applyAlignment="1">
      <alignment horizontal="center" vertical="top" wrapText="1" shrinkToFit="1"/>
    </xf>
    <xf numFmtId="164" fontId="11" fillId="6" borderId="3" xfId="3" applyNumberFormat="1" applyFont="1" applyFill="1" applyBorder="1" applyAlignment="1">
      <alignment horizontal="center" shrinkToFit="1"/>
    </xf>
    <xf numFmtId="164" fontId="11" fillId="6" borderId="11" xfId="3" applyNumberFormat="1" applyFont="1" applyFill="1" applyBorder="1" applyAlignment="1">
      <alignment horizontal="center" shrinkToFit="1"/>
    </xf>
    <xf numFmtId="164" fontId="11" fillId="6" borderId="20" xfId="3" applyNumberFormat="1" applyFont="1" applyFill="1" applyBorder="1" applyAlignment="1">
      <alignment horizontal="center" shrinkToFit="1"/>
    </xf>
    <xf numFmtId="164" fontId="11" fillId="6" borderId="6" xfId="3" applyNumberFormat="1" applyFont="1" applyFill="1" applyBorder="1" applyAlignment="1">
      <alignment horizontal="center" shrinkToFit="1"/>
    </xf>
    <xf numFmtId="164" fontId="11" fillId="6" borderId="21" xfId="3" applyNumberFormat="1" applyFont="1" applyFill="1" applyBorder="1" applyAlignment="1">
      <alignment horizontal="center" shrinkToFit="1"/>
    </xf>
    <xf numFmtId="164" fontId="11" fillId="6" borderId="2" xfId="3" applyNumberFormat="1" applyFont="1" applyFill="1" applyBorder="1" applyAlignment="1">
      <alignment horizontal="center" shrinkToFit="1"/>
    </xf>
    <xf numFmtId="164" fontId="11" fillId="6" borderId="5" xfId="3" applyNumberFormat="1" applyFont="1" applyFill="1" applyBorder="1" applyAlignment="1">
      <alignment horizontal="center" shrinkToFit="1"/>
    </xf>
    <xf numFmtId="0" fontId="27" fillId="11" borderId="3" xfId="0" applyFont="1" applyFill="1" applyBorder="1" applyAlignment="1">
      <alignment horizontal="right"/>
    </xf>
    <xf numFmtId="0" fontId="27" fillId="11" borderId="3" xfId="0" applyFont="1" applyFill="1" applyBorder="1" applyAlignment="1">
      <alignment horizontal="center"/>
    </xf>
    <xf numFmtId="0" fontId="7" fillId="3" borderId="11" xfId="0" applyFont="1" applyFill="1" applyBorder="1" applyAlignment="1">
      <alignment horizontal="center"/>
    </xf>
    <xf numFmtId="0" fontId="7" fillId="3" borderId="20" xfId="0" applyFont="1" applyFill="1" applyBorder="1" applyAlignment="1">
      <alignment horizontal="center"/>
    </xf>
    <xf numFmtId="0" fontId="7" fillId="3" borderId="6" xfId="0" applyFont="1" applyFill="1" applyBorder="1" applyAlignment="1">
      <alignment horizontal="center"/>
    </xf>
    <xf numFmtId="167" fontId="23" fillId="11" borderId="11" xfId="0" applyNumberFormat="1" applyFont="1" applyFill="1" applyBorder="1" applyAlignment="1">
      <alignment horizontal="center" vertical="center"/>
    </xf>
    <xf numFmtId="167" fontId="23" fillId="11" borderId="6" xfId="0" applyNumberFormat="1" applyFont="1" applyFill="1" applyBorder="1" applyAlignment="1">
      <alignment horizontal="center" vertical="center"/>
    </xf>
    <xf numFmtId="4" fontId="26" fillId="0" borderId="3" xfId="0" applyNumberFormat="1" applyFont="1" applyBorder="1" applyAlignment="1">
      <alignment horizontal="center"/>
    </xf>
    <xf numFmtId="0" fontId="23" fillId="11" borderId="3" xfId="0" applyFont="1" applyFill="1" applyBorder="1" applyAlignment="1">
      <alignment horizontal="center"/>
    </xf>
    <xf numFmtId="0" fontId="7" fillId="3" borderId="1" xfId="0" applyFont="1" applyFill="1" applyBorder="1" applyAlignment="1">
      <alignment horizontal="center"/>
    </xf>
    <xf numFmtId="0" fontId="28" fillId="2" borderId="3" xfId="0" applyFont="1" applyFill="1" applyBorder="1" applyAlignment="1">
      <alignment horizontal="center" vertical="center"/>
    </xf>
    <xf numFmtId="0" fontId="23" fillId="0" borderId="0" xfId="0" applyFont="1" applyFill="1" applyBorder="1" applyAlignment="1">
      <alignment horizont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0" fillId="0" borderId="3" xfId="0" applyBorder="1" applyAlignment="1">
      <alignment horizontal="center" vertical="center"/>
    </xf>
    <xf numFmtId="2" fontId="0" fillId="11" borderId="11" xfId="0" applyNumberFormat="1" applyFill="1" applyBorder="1" applyAlignment="1">
      <alignment horizontal="center"/>
    </xf>
    <xf numFmtId="2" fontId="0" fillId="11" borderId="6" xfId="0" applyNumberFormat="1" applyFill="1" applyBorder="1" applyAlignment="1">
      <alignment horizontal="center"/>
    </xf>
    <xf numFmtId="0" fontId="24" fillId="6" borderId="3" xfId="0" applyFont="1" applyFill="1" applyBorder="1" applyAlignment="1">
      <alignment horizontal="center" vertical="center"/>
    </xf>
    <xf numFmtId="0" fontId="7" fillId="3" borderId="0" xfId="0" applyFont="1" applyFill="1" applyAlignment="1">
      <alignment horizontal="center" vertical="center"/>
    </xf>
    <xf numFmtId="0" fontId="23" fillId="11" borderId="3" xfId="0" applyFont="1" applyFill="1" applyBorder="1" applyAlignment="1">
      <alignment horizontal="center" vertical="center"/>
    </xf>
    <xf numFmtId="0" fontId="0" fillId="0" borderId="3" xfId="0" applyBorder="1"/>
    <xf numFmtId="0" fontId="32" fillId="7"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166" fontId="11" fillId="6" borderId="3" xfId="0" applyNumberFormat="1" applyFont="1" applyFill="1" applyBorder="1" applyAlignment="1">
      <alignment horizontal="center" vertical="center" wrapText="1"/>
    </xf>
  </cellXfs>
  <cellStyles count="4">
    <cellStyle name="Moneda" xfId="1" builtinId="4"/>
    <cellStyle name="Normal" xfId="0" builtinId="0"/>
    <cellStyle name="Porcentaje" xfId="3" builtinId="5"/>
    <cellStyle name="常规 2" xfId="2" xr:uid="{A0F1B8A0-DCCC-4970-8B6F-3291480978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673D-25C7-4352-8BA2-0BEA4C6A1BFB}">
  <dimension ref="B2:O27"/>
  <sheetViews>
    <sheetView showGridLines="0" zoomScale="85" zoomScaleNormal="85" workbookViewId="0">
      <selection activeCell="F29" sqref="F29"/>
    </sheetView>
  </sheetViews>
  <sheetFormatPr baseColWidth="10" defaultColWidth="11.44140625" defaultRowHeight="14.4"/>
  <sheetData>
    <row r="2" spans="2:11" ht="15.6">
      <c r="B2" s="27" t="s">
        <v>0</v>
      </c>
      <c r="C2" s="95" t="s">
        <v>1</v>
      </c>
      <c r="D2" s="95"/>
    </row>
    <row r="3" spans="2:11" ht="15.6">
      <c r="B3" s="27" t="s">
        <v>2</v>
      </c>
      <c r="C3" s="95" t="s">
        <v>3</v>
      </c>
      <c r="D3" s="95"/>
    </row>
    <row r="5" spans="2:11" ht="15" thickBot="1"/>
    <row r="6" spans="2:11" ht="21">
      <c r="B6" s="96" t="s">
        <v>4</v>
      </c>
      <c r="C6" s="97"/>
      <c r="D6" s="97"/>
      <c r="E6" s="97"/>
      <c r="F6" s="97"/>
      <c r="G6" s="97"/>
      <c r="H6" s="97"/>
      <c r="I6" s="97"/>
      <c r="J6" s="97"/>
      <c r="K6" s="98"/>
    </row>
    <row r="7" spans="2:11" ht="15.6">
      <c r="B7" s="99" t="s">
        <v>5</v>
      </c>
      <c r="C7" s="100"/>
      <c r="D7" s="100"/>
      <c r="E7" s="100"/>
      <c r="F7" s="100"/>
      <c r="G7" s="100"/>
      <c r="H7" s="100"/>
      <c r="I7" s="100"/>
      <c r="J7" s="100"/>
      <c r="K7" s="101"/>
    </row>
    <row r="8" spans="2:11" ht="15.6">
      <c r="B8" s="99" t="s">
        <v>3</v>
      </c>
      <c r="C8" s="100"/>
      <c r="D8" s="100"/>
      <c r="E8" s="100"/>
      <c r="F8" s="100" t="s">
        <v>6</v>
      </c>
      <c r="G8" s="100"/>
      <c r="H8" s="100"/>
      <c r="I8" s="100"/>
      <c r="J8" s="100"/>
      <c r="K8" s="101"/>
    </row>
    <row r="9" spans="2:11">
      <c r="B9" s="91" t="s">
        <v>7</v>
      </c>
      <c r="C9" s="92"/>
      <c r="D9" s="92"/>
      <c r="E9" s="92"/>
      <c r="F9" s="93"/>
      <c r="G9" s="93"/>
      <c r="H9" s="93"/>
      <c r="I9" s="93"/>
      <c r="J9" s="93"/>
      <c r="K9" s="94"/>
    </row>
    <row r="10" spans="2:11">
      <c r="B10" s="91" t="s">
        <v>8</v>
      </c>
      <c r="C10" s="92"/>
      <c r="D10" s="92"/>
      <c r="E10" s="92"/>
      <c r="F10" s="93"/>
      <c r="G10" s="93"/>
      <c r="H10" s="93"/>
      <c r="I10" s="93"/>
      <c r="J10" s="93"/>
      <c r="K10" s="94"/>
    </row>
    <row r="11" spans="2:11">
      <c r="B11" s="91" t="s">
        <v>9</v>
      </c>
      <c r="C11" s="92"/>
      <c r="D11" s="92"/>
      <c r="E11" s="92"/>
      <c r="F11" s="93"/>
      <c r="G11" s="93"/>
      <c r="H11" s="93"/>
      <c r="I11" s="93"/>
      <c r="J11" s="93"/>
      <c r="K11" s="94"/>
    </row>
    <row r="12" spans="2:11" ht="15" thickBot="1">
      <c r="B12" s="83" t="s">
        <v>10</v>
      </c>
      <c r="C12" s="84"/>
      <c r="D12" s="84"/>
      <c r="E12" s="84"/>
      <c r="F12" s="85"/>
      <c r="G12" s="85"/>
      <c r="H12" s="85"/>
      <c r="I12" s="85"/>
      <c r="J12" s="85"/>
      <c r="K12" s="86"/>
    </row>
    <row r="16" spans="2:11" ht="18">
      <c r="B16" s="88" t="s">
        <v>11</v>
      </c>
      <c r="C16" s="89"/>
      <c r="D16" s="89"/>
    </row>
    <row r="17" spans="2:15">
      <c r="B17" s="31" t="s">
        <v>12</v>
      </c>
      <c r="C17" s="31">
        <v>1</v>
      </c>
      <c r="D17" s="32" t="s">
        <v>13</v>
      </c>
      <c r="M17" s="87"/>
      <c r="N17" s="34"/>
      <c r="O17" s="34"/>
    </row>
    <row r="18" spans="2:15">
      <c r="B18" s="31" t="s">
        <v>14</v>
      </c>
      <c r="C18" s="31">
        <v>2</v>
      </c>
      <c r="D18" s="90"/>
      <c r="M18" s="87"/>
      <c r="N18" s="34"/>
      <c r="O18" s="34"/>
    </row>
    <row r="19" spans="2:15">
      <c r="B19" s="31" t="s">
        <v>15</v>
      </c>
      <c r="C19" s="31">
        <v>3</v>
      </c>
      <c r="D19" s="90"/>
      <c r="M19" s="87"/>
      <c r="N19" s="34"/>
      <c r="O19" s="34"/>
    </row>
    <row r="20" spans="2:15">
      <c r="B20" s="31" t="s">
        <v>16</v>
      </c>
      <c r="C20" s="31">
        <v>5</v>
      </c>
      <c r="D20" s="90"/>
      <c r="M20" s="87"/>
      <c r="N20" s="34"/>
      <c r="O20" s="34"/>
    </row>
    <row r="21" spans="2:15">
      <c r="B21" s="31" t="s">
        <v>17</v>
      </c>
      <c r="C21" s="31">
        <v>8</v>
      </c>
      <c r="D21" s="90"/>
      <c r="M21" s="87"/>
      <c r="N21" s="34"/>
      <c r="O21" s="34"/>
    </row>
    <row r="22" spans="2:15">
      <c r="B22" s="31" t="s">
        <v>18</v>
      </c>
      <c r="C22" s="31">
        <v>13</v>
      </c>
      <c r="D22" s="90"/>
      <c r="M22" s="87"/>
      <c r="N22" s="34"/>
      <c r="O22" s="34"/>
    </row>
    <row r="23" spans="2:15">
      <c r="B23" s="31" t="s">
        <v>19</v>
      </c>
      <c r="C23" s="31">
        <v>21</v>
      </c>
      <c r="D23" s="90"/>
      <c r="M23" s="87"/>
      <c r="N23" s="34"/>
      <c r="O23" s="34"/>
    </row>
    <row r="24" spans="2:15">
      <c r="B24" s="31" t="s">
        <v>20</v>
      </c>
      <c r="C24" s="31">
        <v>34</v>
      </c>
      <c r="D24" s="90"/>
      <c r="M24" s="87"/>
      <c r="N24" s="34"/>
      <c r="O24" s="34"/>
    </row>
    <row r="25" spans="2:15">
      <c r="B25" s="31" t="s">
        <v>21</v>
      </c>
      <c r="C25" s="31">
        <v>55</v>
      </c>
      <c r="D25" s="90"/>
      <c r="M25" s="87"/>
      <c r="N25" s="34"/>
      <c r="O25" s="34"/>
    </row>
    <row r="26" spans="2:15">
      <c r="B26" s="31" t="s">
        <v>22</v>
      </c>
      <c r="C26" s="31">
        <v>89</v>
      </c>
      <c r="D26" s="90"/>
      <c r="M26" s="87"/>
      <c r="N26" s="34"/>
      <c r="O26" s="34"/>
    </row>
    <row r="27" spans="2:15">
      <c r="B27" s="31" t="s">
        <v>23</v>
      </c>
      <c r="C27" s="31">
        <v>144</v>
      </c>
      <c r="D27" s="33" t="s">
        <v>24</v>
      </c>
      <c r="M27" s="87"/>
      <c r="N27" s="34"/>
      <c r="O27" s="34"/>
    </row>
  </sheetData>
  <mergeCells count="17">
    <mergeCell ref="C2:D2"/>
    <mergeCell ref="C3:D3"/>
    <mergeCell ref="B6:K6"/>
    <mergeCell ref="B7:K7"/>
    <mergeCell ref="B8:E8"/>
    <mergeCell ref="F8:K8"/>
    <mergeCell ref="B9:E9"/>
    <mergeCell ref="F9:K9"/>
    <mergeCell ref="B10:E10"/>
    <mergeCell ref="F10:K10"/>
    <mergeCell ref="B11:E11"/>
    <mergeCell ref="F11:K11"/>
    <mergeCell ref="B12:E12"/>
    <mergeCell ref="F12:K12"/>
    <mergeCell ref="M17:M27"/>
    <mergeCell ref="B16:D16"/>
    <mergeCell ref="D18:D26"/>
  </mergeCells>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88D4-189B-45B3-9497-EA4A43D401A6}">
  <dimension ref="A1:M14"/>
  <sheetViews>
    <sheetView showGridLines="0" zoomScale="70" zoomScaleNormal="70" workbookViewId="0">
      <selection activeCell="D5" sqref="D5:F14"/>
    </sheetView>
  </sheetViews>
  <sheetFormatPr baseColWidth="10" defaultColWidth="11.44140625" defaultRowHeight="14.4"/>
  <cols>
    <col min="1" max="1" width="16.33203125" customWidth="1"/>
    <col min="2" max="2" width="45.33203125" customWidth="1"/>
    <col min="13" max="13" width="39" customWidth="1"/>
  </cols>
  <sheetData>
    <row r="1" spans="1:13" ht="22.8">
      <c r="A1" s="102" t="s">
        <v>25</v>
      </c>
      <c r="B1" s="102"/>
      <c r="C1" s="102"/>
      <c r="D1" s="102"/>
      <c r="E1" s="102"/>
      <c r="F1" s="102"/>
      <c r="G1" s="102"/>
      <c r="H1" s="102"/>
      <c r="I1" s="102"/>
      <c r="J1" s="102"/>
      <c r="K1" s="102"/>
      <c r="L1" s="102"/>
      <c r="M1" s="102"/>
    </row>
    <row r="2" spans="1:13">
      <c r="A2" s="1"/>
      <c r="B2" s="2" t="s">
        <v>26</v>
      </c>
      <c r="C2" s="3"/>
      <c r="D2" s="4"/>
      <c r="E2" s="4"/>
      <c r="F2" s="4"/>
      <c r="G2" s="4"/>
      <c r="H2" s="4"/>
      <c r="I2" s="4"/>
      <c r="J2" s="4"/>
      <c r="K2" s="3"/>
      <c r="L2" s="3"/>
      <c r="M2" s="3"/>
    </row>
    <row r="3" spans="1:13" ht="15.6">
      <c r="A3" s="103" t="s">
        <v>27</v>
      </c>
      <c r="B3" s="103" t="s">
        <v>28</v>
      </c>
      <c r="C3" s="103" t="s">
        <v>29</v>
      </c>
      <c r="D3" s="106" t="s">
        <v>30</v>
      </c>
      <c r="E3" s="106"/>
      <c r="F3" s="106"/>
      <c r="G3" s="106"/>
      <c r="H3" s="106"/>
      <c r="I3" s="106"/>
      <c r="J3" s="106"/>
      <c r="K3" s="106"/>
      <c r="L3" s="106"/>
      <c r="M3" s="107" t="s">
        <v>31</v>
      </c>
    </row>
    <row r="4" spans="1:13" ht="28.8">
      <c r="A4" s="103"/>
      <c r="B4" s="104"/>
      <c r="C4" s="105"/>
      <c r="D4" s="14" t="s">
        <v>32</v>
      </c>
      <c r="E4" s="14" t="s">
        <v>33</v>
      </c>
      <c r="F4" s="14" t="s">
        <v>34</v>
      </c>
      <c r="G4" s="15" t="s">
        <v>35</v>
      </c>
      <c r="H4" s="15" t="s">
        <v>36</v>
      </c>
      <c r="I4" s="15" t="s">
        <v>37</v>
      </c>
      <c r="J4" s="15" t="s">
        <v>38</v>
      </c>
      <c r="K4" s="16" t="s">
        <v>39</v>
      </c>
      <c r="L4" s="16" t="s">
        <v>40</v>
      </c>
      <c r="M4" s="108"/>
    </row>
    <row r="5" spans="1:13" ht="57" customHeight="1">
      <c r="A5" s="12" t="s">
        <v>41</v>
      </c>
      <c r="B5" s="11" t="s">
        <v>42</v>
      </c>
      <c r="C5" s="5" t="s">
        <v>43</v>
      </c>
      <c r="D5" s="6">
        <v>3</v>
      </c>
      <c r="E5" s="6">
        <v>8</v>
      </c>
      <c r="F5" s="6">
        <v>5</v>
      </c>
      <c r="G5" s="17">
        <v>1</v>
      </c>
      <c r="H5" s="7">
        <f>MAX(D5:G5)</f>
        <v>8</v>
      </c>
      <c r="I5" s="7">
        <f t="shared" ref="I5:I14" si="0">IF(SUM(D5:F5)&lt;&gt;0,AVERAGE(D5:F5),0)</f>
        <v>5.333333333333333</v>
      </c>
      <c r="J5" s="7">
        <f t="shared" ref="J5:J14" si="1">MIN(D5:F5)</f>
        <v>3</v>
      </c>
      <c r="K5" s="8">
        <f t="shared" ref="K5:K14" si="2">IF(I5&lt;&gt;0,MAX((H5-I5)/I5*100%,(I5-J5)/I5*100%),0)</f>
        <v>0.50000000000000011</v>
      </c>
      <c r="L5" s="9" t="s">
        <v>44</v>
      </c>
      <c r="M5" s="10" t="s">
        <v>45</v>
      </c>
    </row>
    <row r="6" spans="1:13" ht="54.75" customHeight="1">
      <c r="A6" s="12" t="s">
        <v>46</v>
      </c>
      <c r="B6" s="11" t="s">
        <v>47</v>
      </c>
      <c r="C6" s="5" t="s">
        <v>43</v>
      </c>
      <c r="D6" s="6">
        <v>5</v>
      </c>
      <c r="E6" s="6">
        <v>13</v>
      </c>
      <c r="F6" s="6">
        <v>8</v>
      </c>
      <c r="G6" s="17">
        <v>2</v>
      </c>
      <c r="H6" s="7">
        <f t="shared" ref="H5:H14" si="3">MAX(D6:G6)</f>
        <v>13</v>
      </c>
      <c r="I6" s="7">
        <f t="shared" si="0"/>
        <v>8.6666666666666661</v>
      </c>
      <c r="J6" s="7">
        <f t="shared" si="1"/>
        <v>5</v>
      </c>
      <c r="K6" s="8">
        <f t="shared" si="2"/>
        <v>0.50000000000000011</v>
      </c>
      <c r="L6" s="9" t="s">
        <v>44</v>
      </c>
      <c r="M6" s="10" t="s">
        <v>48</v>
      </c>
    </row>
    <row r="7" spans="1:13" ht="43.2">
      <c r="A7" s="18" t="s">
        <v>49</v>
      </c>
      <c r="B7" s="19" t="s">
        <v>50</v>
      </c>
      <c r="C7" s="20" t="s">
        <v>51</v>
      </c>
      <c r="D7" s="21">
        <v>3</v>
      </c>
      <c r="E7" s="21">
        <v>3</v>
      </c>
      <c r="F7" s="21">
        <v>3</v>
      </c>
      <c r="G7" s="22">
        <v>3</v>
      </c>
      <c r="H7" s="22">
        <f>MAX(D7:F7)</f>
        <v>3</v>
      </c>
      <c r="I7" s="22">
        <f>IF(SUM(D7:F7)&lt;&gt;0,AVERAGE(D7:F7),0)</f>
        <v>3</v>
      </c>
      <c r="J7" s="22">
        <f t="shared" si="1"/>
        <v>3</v>
      </c>
      <c r="K7" s="23">
        <f>IF(I7&lt;&gt;0,MAX((H7-I7)/I7*100%,(I7-J7)/I7*100%),0)</f>
        <v>0</v>
      </c>
      <c r="L7" s="22" t="s">
        <v>52</v>
      </c>
      <c r="M7" s="24" t="s">
        <v>53</v>
      </c>
    </row>
    <row r="8" spans="1:13" ht="78" customHeight="1">
      <c r="A8" s="12" t="s">
        <v>54</v>
      </c>
      <c r="B8" s="11" t="s">
        <v>55</v>
      </c>
      <c r="C8" s="5" t="s">
        <v>56</v>
      </c>
      <c r="D8" s="6">
        <v>8</v>
      </c>
      <c r="E8" s="6">
        <v>3</v>
      </c>
      <c r="F8" s="6">
        <v>5</v>
      </c>
      <c r="G8" s="17">
        <v>1</v>
      </c>
      <c r="H8" s="7">
        <f t="shared" si="3"/>
        <v>8</v>
      </c>
      <c r="I8" s="7">
        <f t="shared" si="0"/>
        <v>5.333333333333333</v>
      </c>
      <c r="J8" s="7">
        <f t="shared" si="1"/>
        <v>3</v>
      </c>
      <c r="K8" s="8">
        <f t="shared" si="2"/>
        <v>0.50000000000000011</v>
      </c>
      <c r="L8" s="9" t="s">
        <v>44</v>
      </c>
      <c r="M8" s="10" t="s">
        <v>57</v>
      </c>
    </row>
    <row r="9" spans="1:13" ht="59.25" customHeight="1">
      <c r="A9" s="18" t="s">
        <v>58</v>
      </c>
      <c r="B9" s="19" t="s">
        <v>59</v>
      </c>
      <c r="C9" s="20" t="s">
        <v>43</v>
      </c>
      <c r="D9" s="21">
        <v>8</v>
      </c>
      <c r="E9" s="21">
        <v>8</v>
      </c>
      <c r="F9" s="21">
        <v>8</v>
      </c>
      <c r="G9" s="22">
        <v>3</v>
      </c>
      <c r="H9" s="22">
        <f>MAX(D9:F9)</f>
        <v>8</v>
      </c>
      <c r="I9" s="22">
        <f t="shared" si="0"/>
        <v>8</v>
      </c>
      <c r="J9" s="22">
        <f t="shared" si="1"/>
        <v>8</v>
      </c>
      <c r="K9" s="23">
        <f t="shared" si="2"/>
        <v>0</v>
      </c>
      <c r="L9" s="22" t="s">
        <v>52</v>
      </c>
      <c r="M9" s="24" t="s">
        <v>53</v>
      </c>
    </row>
    <row r="10" spans="1:13" ht="72" customHeight="1">
      <c r="A10" s="12" t="s">
        <v>60</v>
      </c>
      <c r="B10" s="11" t="s">
        <v>61</v>
      </c>
      <c r="C10" s="5" t="s">
        <v>51</v>
      </c>
      <c r="D10" s="6">
        <v>8</v>
      </c>
      <c r="E10" s="6">
        <v>21</v>
      </c>
      <c r="F10" s="6">
        <v>13</v>
      </c>
      <c r="G10" s="17">
        <v>3</v>
      </c>
      <c r="H10" s="7">
        <f t="shared" si="3"/>
        <v>21</v>
      </c>
      <c r="I10" s="7">
        <f t="shared" si="0"/>
        <v>14</v>
      </c>
      <c r="J10" s="7">
        <f t="shared" si="1"/>
        <v>8</v>
      </c>
      <c r="K10" s="8">
        <f t="shared" si="2"/>
        <v>0.5</v>
      </c>
      <c r="L10" s="9" t="s">
        <v>44</v>
      </c>
      <c r="M10" s="10" t="s">
        <v>62</v>
      </c>
    </row>
    <row r="11" spans="1:13" ht="64.95" customHeight="1">
      <c r="A11" s="18" t="s">
        <v>63</v>
      </c>
      <c r="B11" s="19" t="s">
        <v>64</v>
      </c>
      <c r="C11" s="20" t="s">
        <v>56</v>
      </c>
      <c r="D11" s="21">
        <v>13</v>
      </c>
      <c r="E11" s="21">
        <v>13</v>
      </c>
      <c r="F11" s="21">
        <v>13</v>
      </c>
      <c r="G11" s="22">
        <v>2</v>
      </c>
      <c r="H11" s="22">
        <f t="shared" si="3"/>
        <v>13</v>
      </c>
      <c r="I11" s="22">
        <f t="shared" si="0"/>
        <v>13</v>
      </c>
      <c r="J11" s="22">
        <f t="shared" si="1"/>
        <v>13</v>
      </c>
      <c r="K11" s="23">
        <f t="shared" si="2"/>
        <v>0</v>
      </c>
      <c r="L11" s="22" t="s">
        <v>52</v>
      </c>
      <c r="M11" s="24" t="s">
        <v>53</v>
      </c>
    </row>
    <row r="12" spans="1:13" ht="55.2">
      <c r="A12" s="12" t="s">
        <v>65</v>
      </c>
      <c r="B12" s="11" t="s">
        <v>66</v>
      </c>
      <c r="C12" s="5" t="s">
        <v>56</v>
      </c>
      <c r="D12" s="6">
        <v>21</v>
      </c>
      <c r="E12" s="6">
        <v>13</v>
      </c>
      <c r="F12" s="6">
        <v>8</v>
      </c>
      <c r="G12" s="17">
        <v>2</v>
      </c>
      <c r="H12" s="7">
        <f t="shared" si="3"/>
        <v>21</v>
      </c>
      <c r="I12" s="7">
        <f t="shared" si="0"/>
        <v>14</v>
      </c>
      <c r="J12" s="7">
        <f t="shared" si="1"/>
        <v>8</v>
      </c>
      <c r="K12" s="8">
        <f t="shared" si="2"/>
        <v>0.5</v>
      </c>
      <c r="L12" s="9" t="s">
        <v>44</v>
      </c>
      <c r="M12" s="10" t="s">
        <v>67</v>
      </c>
    </row>
    <row r="13" spans="1:13" ht="43.2">
      <c r="A13" s="18" t="s">
        <v>68</v>
      </c>
      <c r="B13" s="19" t="s">
        <v>69</v>
      </c>
      <c r="C13" s="20" t="s">
        <v>56</v>
      </c>
      <c r="D13" s="21">
        <v>8</v>
      </c>
      <c r="E13" s="21">
        <v>8</v>
      </c>
      <c r="F13" s="21">
        <v>8</v>
      </c>
      <c r="G13" s="22">
        <v>1</v>
      </c>
      <c r="H13" s="22">
        <f t="shared" si="3"/>
        <v>8</v>
      </c>
      <c r="I13" s="22">
        <f t="shared" si="0"/>
        <v>8</v>
      </c>
      <c r="J13" s="22">
        <f t="shared" si="1"/>
        <v>8</v>
      </c>
      <c r="K13" s="23">
        <f t="shared" si="2"/>
        <v>0</v>
      </c>
      <c r="L13" s="22" t="s">
        <v>52</v>
      </c>
      <c r="M13" s="24" t="s">
        <v>53</v>
      </c>
    </row>
    <row r="14" spans="1:13" ht="51.75" customHeight="1">
      <c r="A14" s="13" t="s">
        <v>70</v>
      </c>
      <c r="B14" s="11" t="s">
        <v>71</v>
      </c>
      <c r="C14" s="5" t="s">
        <v>43</v>
      </c>
      <c r="D14" s="6">
        <v>5</v>
      </c>
      <c r="E14" s="6">
        <v>5</v>
      </c>
      <c r="F14" s="6">
        <v>2</v>
      </c>
      <c r="G14" s="17">
        <v>1</v>
      </c>
      <c r="H14" s="7">
        <f t="shared" si="3"/>
        <v>5</v>
      </c>
      <c r="I14" s="7">
        <f t="shared" si="0"/>
        <v>4</v>
      </c>
      <c r="J14" s="7">
        <f t="shared" si="1"/>
        <v>2</v>
      </c>
      <c r="K14" s="8">
        <f t="shared" si="2"/>
        <v>0.5</v>
      </c>
      <c r="L14" s="9" t="s">
        <v>44</v>
      </c>
      <c r="M14" s="10" t="s">
        <v>72</v>
      </c>
    </row>
  </sheetData>
  <mergeCells count="6">
    <mergeCell ref="A1:M1"/>
    <mergeCell ref="A3:A4"/>
    <mergeCell ref="B3:B4"/>
    <mergeCell ref="C3:C4"/>
    <mergeCell ref="D3:L3"/>
    <mergeCell ref="M3:M4"/>
  </mergeCells>
  <phoneticPr fontId="12" type="noConversion"/>
  <dataValidations count="1">
    <dataValidation type="list" allowBlank="1" showInputMessage="1" showErrorMessage="1" sqref="L5:L14" xr:uid="{D9AB81EC-B434-439F-8CBC-601E4B201F75}">
      <formula1>"Yes,No"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94D5F1A-2378-4E19-9834-E15C257B0B39}">
          <x14:formula1>
            <xm:f>Lista!$B$2:$B$4</xm:f>
          </x14:formula1>
          <xm:sqref>C5:C14</xm:sqref>
        </x14:dataValidation>
        <x14:dataValidation type="list" allowBlank="1" showInputMessage="1" showErrorMessage="1" xr:uid="{57E3B5C7-F16C-4784-82BB-DFEE014B23D3}">
          <x14:formula1>
            <xm:f>'1.-Históricos'!$C$17:$C$27</xm:f>
          </x14:formula1>
          <xm:sqref>D5:F14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908C-E447-41CB-8D9C-336E59252544}">
  <dimension ref="A1:M14"/>
  <sheetViews>
    <sheetView showGridLines="0" zoomScale="70" zoomScaleNormal="70" workbookViewId="0">
      <selection activeCell="Q11" sqref="Q11"/>
    </sheetView>
  </sheetViews>
  <sheetFormatPr baseColWidth="10" defaultColWidth="11.44140625" defaultRowHeight="14.4"/>
  <cols>
    <col min="1" max="1" width="19.109375" customWidth="1"/>
    <col min="2" max="2" width="40.5546875" customWidth="1"/>
    <col min="11" max="11" width="13.33203125" customWidth="1"/>
    <col min="13" max="13" width="42.6640625" customWidth="1"/>
  </cols>
  <sheetData>
    <row r="1" spans="1:13" ht="22.8">
      <c r="A1" s="102" t="s">
        <v>73</v>
      </c>
      <c r="B1" s="102"/>
      <c r="C1" s="102"/>
      <c r="D1" s="102"/>
      <c r="E1" s="102"/>
      <c r="F1" s="102"/>
      <c r="G1" s="102"/>
      <c r="H1" s="102"/>
      <c r="I1" s="102"/>
      <c r="J1" s="102"/>
      <c r="K1" s="102"/>
      <c r="L1" s="102"/>
      <c r="M1" s="102"/>
    </row>
    <row r="2" spans="1:13" ht="22.95" customHeight="1">
      <c r="A2" s="1"/>
      <c r="B2" s="2" t="s">
        <v>26</v>
      </c>
      <c r="C2" s="3"/>
      <c r="D2" s="4"/>
      <c r="E2" s="4"/>
      <c r="F2" s="4"/>
      <c r="G2" s="4"/>
      <c r="H2" s="4"/>
      <c r="I2" s="4"/>
      <c r="J2" s="4"/>
      <c r="K2" s="3"/>
      <c r="L2" s="3"/>
      <c r="M2" s="3"/>
    </row>
    <row r="3" spans="1:13" ht="15.6">
      <c r="A3" s="103" t="s">
        <v>27</v>
      </c>
      <c r="B3" s="103" t="s">
        <v>28</v>
      </c>
      <c r="C3" s="103" t="s">
        <v>29</v>
      </c>
      <c r="D3" s="106" t="s">
        <v>30</v>
      </c>
      <c r="E3" s="106"/>
      <c r="F3" s="106"/>
      <c r="G3" s="106"/>
      <c r="H3" s="106"/>
      <c r="I3" s="106"/>
      <c r="J3" s="106"/>
      <c r="K3" s="106"/>
      <c r="L3" s="106"/>
      <c r="M3" s="107" t="s">
        <v>31</v>
      </c>
    </row>
    <row r="4" spans="1:13">
      <c r="A4" s="103"/>
      <c r="B4" s="104"/>
      <c r="C4" s="105"/>
      <c r="D4" s="14" t="s">
        <v>32</v>
      </c>
      <c r="E4" s="14" t="s">
        <v>33</v>
      </c>
      <c r="F4" s="14" t="s">
        <v>34</v>
      </c>
      <c r="G4" s="15" t="s">
        <v>35</v>
      </c>
      <c r="H4" s="15" t="s">
        <v>36</v>
      </c>
      <c r="I4" s="15" t="s">
        <v>37</v>
      </c>
      <c r="J4" s="15" t="s">
        <v>38</v>
      </c>
      <c r="K4" s="16" t="s">
        <v>39</v>
      </c>
      <c r="L4" s="16" t="s">
        <v>40</v>
      </c>
      <c r="M4" s="108"/>
    </row>
    <row r="5" spans="1:13" ht="59.4" customHeight="1">
      <c r="A5" s="18" t="s">
        <v>41</v>
      </c>
      <c r="B5" s="19" t="s">
        <v>42</v>
      </c>
      <c r="C5" s="20" t="s">
        <v>43</v>
      </c>
      <c r="D5" s="21">
        <v>5</v>
      </c>
      <c r="E5" s="21">
        <v>5</v>
      </c>
      <c r="F5" s="21">
        <v>5</v>
      </c>
      <c r="G5" s="22">
        <v>1</v>
      </c>
      <c r="H5" s="22">
        <f t="shared" ref="H5:H14" si="0">MAX(D5:G5)</f>
        <v>5</v>
      </c>
      <c r="I5" s="22">
        <f t="shared" ref="I5:I14" si="1">IF(SUM(D5:F5)&lt;&gt;0,AVERAGE(D5:F5),0)</f>
        <v>5</v>
      </c>
      <c r="J5" s="22">
        <f t="shared" ref="J5:J14" si="2">MIN(D5:F5)</f>
        <v>5</v>
      </c>
      <c r="K5" s="23">
        <f t="shared" ref="K5:K14" si="3">IF(I5&lt;&gt;0,MAX((H5-I5)/I5*100%,(I5-J5)/I5*100%),0)</f>
        <v>0</v>
      </c>
      <c r="L5" s="22" t="s">
        <v>52</v>
      </c>
      <c r="M5" s="24" t="s">
        <v>53</v>
      </c>
    </row>
    <row r="6" spans="1:13" ht="58.2" customHeight="1">
      <c r="A6" s="12" t="s">
        <v>46</v>
      </c>
      <c r="B6" s="11" t="s">
        <v>47</v>
      </c>
      <c r="C6" s="5" t="s">
        <v>43</v>
      </c>
      <c r="D6" s="6">
        <v>5</v>
      </c>
      <c r="E6" s="6">
        <v>13</v>
      </c>
      <c r="F6" s="6">
        <v>8</v>
      </c>
      <c r="G6" s="17">
        <v>2</v>
      </c>
      <c r="H6" s="7">
        <f t="shared" si="0"/>
        <v>13</v>
      </c>
      <c r="I6" s="7">
        <f t="shared" si="1"/>
        <v>8.6666666666666661</v>
      </c>
      <c r="J6" s="7">
        <f t="shared" si="2"/>
        <v>5</v>
      </c>
      <c r="K6" s="8">
        <f t="shared" si="3"/>
        <v>0.50000000000000011</v>
      </c>
      <c r="L6" s="9" t="s">
        <v>44</v>
      </c>
      <c r="M6" s="10" t="s">
        <v>74</v>
      </c>
    </row>
    <row r="7" spans="1:13" ht="62.4" customHeight="1">
      <c r="A7" s="18" t="s">
        <v>49</v>
      </c>
      <c r="B7" s="19" t="s">
        <v>50</v>
      </c>
      <c r="C7" s="20" t="s">
        <v>51</v>
      </c>
      <c r="D7" s="21">
        <v>3</v>
      </c>
      <c r="E7" s="21">
        <v>3</v>
      </c>
      <c r="F7" s="21">
        <v>3</v>
      </c>
      <c r="G7" s="22">
        <v>3</v>
      </c>
      <c r="H7" s="22">
        <f>MAX(D7:F7)</f>
        <v>3</v>
      </c>
      <c r="I7" s="22">
        <f>IF(SUM(D7:F7)&lt;&gt;0,AVERAGE(D7:F7),0)</f>
        <v>3</v>
      </c>
      <c r="J7" s="22">
        <f t="shared" si="2"/>
        <v>3</v>
      </c>
      <c r="K7" s="23">
        <f t="shared" si="3"/>
        <v>0</v>
      </c>
      <c r="L7" s="22" t="s">
        <v>52</v>
      </c>
      <c r="M7" s="24" t="s">
        <v>53</v>
      </c>
    </row>
    <row r="8" spans="1:13" ht="83.4" customHeight="1">
      <c r="A8" s="18" t="s">
        <v>54</v>
      </c>
      <c r="B8" s="19" t="s">
        <v>55</v>
      </c>
      <c r="C8" s="20" t="s">
        <v>56</v>
      </c>
      <c r="D8" s="21">
        <v>8</v>
      </c>
      <c r="E8" s="21">
        <v>8</v>
      </c>
      <c r="F8" s="21">
        <v>8</v>
      </c>
      <c r="G8" s="22">
        <v>1</v>
      </c>
      <c r="H8" s="22">
        <f t="shared" si="0"/>
        <v>8</v>
      </c>
      <c r="I8" s="22">
        <f t="shared" si="1"/>
        <v>8</v>
      </c>
      <c r="J8" s="22">
        <f t="shared" si="2"/>
        <v>8</v>
      </c>
      <c r="K8" s="23">
        <f t="shared" si="3"/>
        <v>0</v>
      </c>
      <c r="L8" s="22" t="s">
        <v>52</v>
      </c>
      <c r="M8" s="24" t="s">
        <v>53</v>
      </c>
    </row>
    <row r="9" spans="1:13" ht="63.6" customHeight="1">
      <c r="A9" s="18" t="s">
        <v>58</v>
      </c>
      <c r="B9" s="19" t="s">
        <v>59</v>
      </c>
      <c r="C9" s="20" t="s">
        <v>43</v>
      </c>
      <c r="D9" s="21">
        <v>8</v>
      </c>
      <c r="E9" s="21">
        <v>8</v>
      </c>
      <c r="F9" s="21">
        <v>8</v>
      </c>
      <c r="G9" s="22">
        <v>3</v>
      </c>
      <c r="H9" s="22">
        <f>MAX(D9:F9)</f>
        <v>8</v>
      </c>
      <c r="I9" s="22">
        <f t="shared" si="1"/>
        <v>8</v>
      </c>
      <c r="J9" s="22">
        <f t="shared" si="2"/>
        <v>8</v>
      </c>
      <c r="K9" s="23">
        <f t="shared" si="3"/>
        <v>0</v>
      </c>
      <c r="L9" s="22" t="s">
        <v>52</v>
      </c>
      <c r="M9" s="24" t="s">
        <v>53</v>
      </c>
    </row>
    <row r="10" spans="1:13" ht="61.2" customHeight="1">
      <c r="A10" s="18" t="s">
        <v>60</v>
      </c>
      <c r="B10" s="19" t="s">
        <v>61</v>
      </c>
      <c r="C10" s="20" t="s">
        <v>51</v>
      </c>
      <c r="D10" s="21">
        <v>13</v>
      </c>
      <c r="E10" s="21">
        <v>13</v>
      </c>
      <c r="F10" s="21">
        <v>13</v>
      </c>
      <c r="G10" s="22">
        <v>3</v>
      </c>
      <c r="H10" s="22">
        <f t="shared" si="0"/>
        <v>13</v>
      </c>
      <c r="I10" s="22">
        <f t="shared" si="1"/>
        <v>13</v>
      </c>
      <c r="J10" s="22">
        <f t="shared" si="2"/>
        <v>13</v>
      </c>
      <c r="K10" s="23">
        <f t="shared" si="3"/>
        <v>0</v>
      </c>
      <c r="L10" s="22" t="s">
        <v>52</v>
      </c>
      <c r="M10" s="24" t="s">
        <v>53</v>
      </c>
    </row>
    <row r="11" spans="1:13" ht="75.599999999999994" customHeight="1">
      <c r="A11" s="18" t="s">
        <v>63</v>
      </c>
      <c r="B11" s="19" t="s">
        <v>64</v>
      </c>
      <c r="C11" s="20" t="s">
        <v>56</v>
      </c>
      <c r="D11" s="21">
        <v>13</v>
      </c>
      <c r="E11" s="21">
        <v>13</v>
      </c>
      <c r="F11" s="21">
        <v>13</v>
      </c>
      <c r="G11" s="22">
        <v>2</v>
      </c>
      <c r="H11" s="22">
        <f t="shared" si="0"/>
        <v>13</v>
      </c>
      <c r="I11" s="22">
        <f t="shared" si="1"/>
        <v>13</v>
      </c>
      <c r="J11" s="22">
        <f t="shared" si="2"/>
        <v>13</v>
      </c>
      <c r="K11" s="23">
        <f t="shared" si="3"/>
        <v>0</v>
      </c>
      <c r="L11" s="22" t="s">
        <v>52</v>
      </c>
      <c r="M11" s="24" t="s">
        <v>53</v>
      </c>
    </row>
    <row r="12" spans="1:13" ht="73.95" customHeight="1">
      <c r="A12" s="12" t="s">
        <v>65</v>
      </c>
      <c r="B12" s="11" t="s">
        <v>66</v>
      </c>
      <c r="C12" s="5" t="s">
        <v>56</v>
      </c>
      <c r="D12" s="6">
        <v>21</v>
      </c>
      <c r="E12" s="6">
        <v>13</v>
      </c>
      <c r="F12" s="6">
        <v>8</v>
      </c>
      <c r="G12" s="17">
        <v>2</v>
      </c>
      <c r="H12" s="7">
        <f t="shared" si="0"/>
        <v>21</v>
      </c>
      <c r="I12" s="7">
        <f t="shared" si="1"/>
        <v>14</v>
      </c>
      <c r="J12" s="7">
        <f t="shared" si="2"/>
        <v>8</v>
      </c>
      <c r="K12" s="8">
        <f t="shared" si="3"/>
        <v>0.5</v>
      </c>
      <c r="L12" s="9" t="s">
        <v>44</v>
      </c>
      <c r="M12" s="10" t="s">
        <v>67</v>
      </c>
    </row>
    <row r="13" spans="1:13" ht="60" customHeight="1">
      <c r="A13" s="18" t="s">
        <v>68</v>
      </c>
      <c r="B13" s="19" t="s">
        <v>69</v>
      </c>
      <c r="C13" s="20" t="s">
        <v>56</v>
      </c>
      <c r="D13" s="21">
        <v>8</v>
      </c>
      <c r="E13" s="21">
        <v>8</v>
      </c>
      <c r="F13" s="21">
        <v>8</v>
      </c>
      <c r="G13" s="22">
        <v>1</v>
      </c>
      <c r="H13" s="22">
        <f t="shared" si="0"/>
        <v>8</v>
      </c>
      <c r="I13" s="22">
        <f t="shared" si="1"/>
        <v>8</v>
      </c>
      <c r="J13" s="22">
        <f t="shared" si="2"/>
        <v>8</v>
      </c>
      <c r="K13" s="23">
        <f t="shared" si="3"/>
        <v>0</v>
      </c>
      <c r="L13" s="22" t="s">
        <v>52</v>
      </c>
      <c r="M13" s="24" t="s">
        <v>53</v>
      </c>
    </row>
    <row r="14" spans="1:13" ht="73.2" customHeight="1">
      <c r="A14" s="25" t="s">
        <v>70</v>
      </c>
      <c r="B14" s="19" t="s">
        <v>71</v>
      </c>
      <c r="C14" s="20" t="s">
        <v>43</v>
      </c>
      <c r="D14" s="21">
        <v>5</v>
      </c>
      <c r="E14" s="21">
        <v>5</v>
      </c>
      <c r="F14" s="21">
        <v>5</v>
      </c>
      <c r="G14" s="22">
        <v>1</v>
      </c>
      <c r="H14" s="22">
        <f t="shared" si="0"/>
        <v>5</v>
      </c>
      <c r="I14" s="22">
        <f t="shared" si="1"/>
        <v>5</v>
      </c>
      <c r="J14" s="22">
        <f t="shared" si="2"/>
        <v>5</v>
      </c>
      <c r="K14" s="23">
        <f t="shared" si="3"/>
        <v>0</v>
      </c>
      <c r="L14" s="22" t="s">
        <v>52</v>
      </c>
      <c r="M14" s="24" t="s">
        <v>53</v>
      </c>
    </row>
  </sheetData>
  <mergeCells count="6">
    <mergeCell ref="A1:M1"/>
    <mergeCell ref="A3:A4"/>
    <mergeCell ref="B3:B4"/>
    <mergeCell ref="C3:C4"/>
    <mergeCell ref="D3:L3"/>
    <mergeCell ref="M3:M4"/>
  </mergeCells>
  <dataValidations count="1">
    <dataValidation type="list" allowBlank="1" showInputMessage="1" showErrorMessage="1" sqref="L5:L14" xr:uid="{D4569AA5-BAC8-4A42-9B0E-A851CE18706C}">
      <formula1>"Yes,No"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E43C3F6-22D3-4EB6-AF2C-C8ACDA2BB87A}">
          <x14:formula1>
            <xm:f>Lista!$B$2:$B$4</xm:f>
          </x14:formula1>
          <xm:sqref>C5:C14</xm:sqref>
        </x14:dataValidation>
        <x14:dataValidation type="list" allowBlank="1" showInputMessage="1" showErrorMessage="1" xr:uid="{0D8883E9-71D5-458A-9672-55B9351FBFCB}">
          <x14:formula1>
            <xm:f>'1.-Históricos'!$C$17:$C$27</xm:f>
          </x14:formula1>
          <xm:sqref>D5:F14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0898-B01F-460F-A9C6-0E88FB98BD40}">
  <dimension ref="A4:T20"/>
  <sheetViews>
    <sheetView showGridLines="0" topLeftCell="A6" zoomScale="70" zoomScaleNormal="70" workbookViewId="0">
      <selection activeCell="S16" sqref="S16"/>
    </sheetView>
  </sheetViews>
  <sheetFormatPr baseColWidth="10" defaultColWidth="11.44140625" defaultRowHeight="14.4"/>
  <cols>
    <col min="1" max="1" width="20.109375" customWidth="1"/>
    <col min="2" max="2" width="39.6640625" customWidth="1"/>
    <col min="13" max="13" width="37" customWidth="1"/>
  </cols>
  <sheetData>
    <row r="4" spans="1:20" ht="25.2" customHeight="1">
      <c r="A4" s="102" t="s">
        <v>75</v>
      </c>
      <c r="B4" s="102"/>
      <c r="C4" s="102"/>
      <c r="D4" s="102"/>
      <c r="E4" s="102"/>
      <c r="F4" s="102"/>
      <c r="G4" s="102"/>
      <c r="H4" s="102"/>
      <c r="I4" s="102"/>
      <c r="J4" s="102"/>
      <c r="K4" s="102"/>
      <c r="L4" s="102"/>
      <c r="M4" s="102"/>
    </row>
    <row r="5" spans="1:20">
      <c r="A5" s="1"/>
      <c r="B5" s="2" t="s">
        <v>26</v>
      </c>
      <c r="C5" s="3"/>
      <c r="D5" s="4"/>
      <c r="E5" s="4"/>
      <c r="F5" s="4"/>
      <c r="G5" s="4"/>
      <c r="H5" s="4"/>
      <c r="I5" s="4"/>
      <c r="J5" s="4"/>
      <c r="K5" s="3"/>
      <c r="L5" s="3"/>
      <c r="M5" s="3"/>
    </row>
    <row r="6" spans="1:20" ht="30" customHeight="1">
      <c r="A6" s="103" t="s">
        <v>27</v>
      </c>
      <c r="B6" s="103" t="s">
        <v>28</v>
      </c>
      <c r="C6" s="103" t="s">
        <v>29</v>
      </c>
      <c r="D6" s="106" t="s">
        <v>30</v>
      </c>
      <c r="E6" s="106"/>
      <c r="F6" s="106"/>
      <c r="G6" s="106"/>
      <c r="H6" s="106"/>
      <c r="I6" s="106"/>
      <c r="J6" s="106"/>
      <c r="K6" s="106"/>
      <c r="L6" s="106"/>
      <c r="M6" s="107" t="s">
        <v>31</v>
      </c>
    </row>
    <row r="7" spans="1:20" ht="29.4" customHeight="1">
      <c r="A7" s="103"/>
      <c r="B7" s="104"/>
      <c r="C7" s="105"/>
      <c r="D7" s="14" t="s">
        <v>32</v>
      </c>
      <c r="E7" s="14" t="s">
        <v>33</v>
      </c>
      <c r="F7" s="14" t="s">
        <v>34</v>
      </c>
      <c r="G7" s="15" t="s">
        <v>35</v>
      </c>
      <c r="H7" s="15" t="s">
        <v>36</v>
      </c>
      <c r="I7" s="15" t="s">
        <v>37</v>
      </c>
      <c r="J7" s="15" t="s">
        <v>38</v>
      </c>
      <c r="K7" s="16" t="s">
        <v>39</v>
      </c>
      <c r="L7" s="16" t="s">
        <v>40</v>
      </c>
      <c r="M7" s="108"/>
      <c r="O7" s="152" t="s">
        <v>133</v>
      </c>
      <c r="P7" s="152"/>
      <c r="Q7" s="152"/>
      <c r="R7" s="153">
        <v>1</v>
      </c>
      <c r="S7" s="153">
        <v>2</v>
      </c>
      <c r="T7" s="153">
        <v>3</v>
      </c>
    </row>
    <row r="8" spans="1:20" ht="67.2" customHeight="1">
      <c r="A8" s="18" t="s">
        <v>41</v>
      </c>
      <c r="B8" s="19" t="s">
        <v>42</v>
      </c>
      <c r="C8" s="20" t="s">
        <v>43</v>
      </c>
      <c r="D8" s="21">
        <v>5</v>
      </c>
      <c r="E8" s="21">
        <v>5</v>
      </c>
      <c r="F8" s="21">
        <v>5</v>
      </c>
      <c r="G8" s="22">
        <v>1</v>
      </c>
      <c r="H8" s="22">
        <f t="shared" ref="H8:H17" si="0">MAX(D8:G8)</f>
        <v>5</v>
      </c>
      <c r="I8" s="22">
        <f t="shared" ref="I8:I17" si="1">IF(SUM(D8:F8)&lt;&gt;0,AVERAGE(D8:F8),0)</f>
        <v>5</v>
      </c>
      <c r="J8" s="22">
        <f t="shared" ref="J8:J17" si="2">MIN(D8:F8)</f>
        <v>5</v>
      </c>
      <c r="K8" s="23">
        <f t="shared" ref="K8:K17" si="3">IF(I8&lt;&gt;0,MAX((H8-I8)/I8*100%,(I8-J8)/I8*100%),0)</f>
        <v>0</v>
      </c>
      <c r="L8" s="22" t="s">
        <v>52</v>
      </c>
      <c r="M8" s="24" t="s">
        <v>53</v>
      </c>
      <c r="R8" s="151">
        <f>5+8+8+5</f>
        <v>26</v>
      </c>
      <c r="S8" s="151">
        <f>13+5+8</f>
        <v>26</v>
      </c>
      <c r="T8" s="151">
        <f>3+8+13</f>
        <v>24</v>
      </c>
    </row>
    <row r="9" spans="1:20" ht="63" customHeight="1">
      <c r="A9" s="18" t="s">
        <v>46</v>
      </c>
      <c r="B9" s="19" t="s">
        <v>47</v>
      </c>
      <c r="C9" s="20" t="s">
        <v>43</v>
      </c>
      <c r="D9" s="21">
        <v>13</v>
      </c>
      <c r="E9" s="21">
        <v>13</v>
      </c>
      <c r="F9" s="21">
        <v>13</v>
      </c>
      <c r="G9" s="22">
        <v>2</v>
      </c>
      <c r="H9" s="22">
        <f t="shared" si="0"/>
        <v>13</v>
      </c>
      <c r="I9" s="22">
        <f t="shared" si="1"/>
        <v>13</v>
      </c>
      <c r="J9" s="22">
        <f t="shared" si="2"/>
        <v>13</v>
      </c>
      <c r="K9" s="23">
        <f>IF(I9&lt;&gt;0,MAX((H9-I9)/I9*100%,(I9-J9)/I9*100%),0)</f>
        <v>0</v>
      </c>
      <c r="L9" s="22" t="s">
        <v>52</v>
      </c>
      <c r="M9" s="24" t="s">
        <v>74</v>
      </c>
    </row>
    <row r="10" spans="1:20" ht="64.2" customHeight="1">
      <c r="A10" s="18" t="s">
        <v>49</v>
      </c>
      <c r="B10" s="19" t="s">
        <v>50</v>
      </c>
      <c r="C10" s="20" t="s">
        <v>51</v>
      </c>
      <c r="D10" s="21">
        <v>3</v>
      </c>
      <c r="E10" s="21">
        <v>3</v>
      </c>
      <c r="F10" s="21">
        <v>3</v>
      </c>
      <c r="G10" s="22">
        <v>3</v>
      </c>
      <c r="H10" s="22">
        <v>1</v>
      </c>
      <c r="I10" s="22">
        <f>IF(SUM(D10:F10)&lt;&gt;0,AVERAGE(D10:F10),0)</f>
        <v>3</v>
      </c>
      <c r="J10" s="22">
        <f t="shared" si="2"/>
        <v>3</v>
      </c>
      <c r="K10" s="23">
        <f>IF(I10&lt;&gt;0,MAX((H10-I10)/I10*100%,(I10-J10)/I10*100%),0)</f>
        <v>0</v>
      </c>
      <c r="L10" s="22" t="s">
        <v>52</v>
      </c>
      <c r="M10" s="24" t="s">
        <v>53</v>
      </c>
    </row>
    <row r="11" spans="1:20" ht="63" customHeight="1">
      <c r="A11" s="18" t="s">
        <v>54</v>
      </c>
      <c r="B11" s="19" t="s">
        <v>55</v>
      </c>
      <c r="C11" s="20" t="s">
        <v>56</v>
      </c>
      <c r="D11" s="21">
        <v>8</v>
      </c>
      <c r="E11" s="21">
        <v>8</v>
      </c>
      <c r="F11" s="21">
        <v>8</v>
      </c>
      <c r="G11" s="22">
        <v>1</v>
      </c>
      <c r="H11" s="22">
        <f t="shared" si="0"/>
        <v>8</v>
      </c>
      <c r="I11" s="22">
        <f t="shared" si="1"/>
        <v>8</v>
      </c>
      <c r="J11" s="22">
        <f t="shared" si="2"/>
        <v>8</v>
      </c>
      <c r="K11" s="23">
        <f>IF(I11&lt;&gt;0,MAX((H11-I11)/I11*100%,(I11-J11)/I11*100%),0)</f>
        <v>0</v>
      </c>
      <c r="L11" s="22" t="s">
        <v>52</v>
      </c>
      <c r="M11" s="24" t="s">
        <v>53</v>
      </c>
    </row>
    <row r="12" spans="1:20" ht="75" customHeight="1">
      <c r="A12" s="18" t="s">
        <v>58</v>
      </c>
      <c r="B12" s="19" t="s">
        <v>59</v>
      </c>
      <c r="C12" s="20" t="s">
        <v>43</v>
      </c>
      <c r="D12" s="21">
        <v>8</v>
      </c>
      <c r="E12" s="21">
        <v>8</v>
      </c>
      <c r="F12" s="21">
        <v>8</v>
      </c>
      <c r="G12" s="22">
        <v>3</v>
      </c>
      <c r="H12" s="22">
        <v>2</v>
      </c>
      <c r="I12" s="22">
        <f t="shared" si="1"/>
        <v>8</v>
      </c>
      <c r="J12" s="22">
        <f t="shared" si="2"/>
        <v>8</v>
      </c>
      <c r="K12" s="23">
        <f t="shared" si="3"/>
        <v>0</v>
      </c>
      <c r="L12" s="22" t="s">
        <v>52</v>
      </c>
      <c r="M12" s="24" t="s">
        <v>53</v>
      </c>
    </row>
    <row r="13" spans="1:20" ht="75.599999999999994" customHeight="1">
      <c r="A13" s="18" t="s">
        <v>60</v>
      </c>
      <c r="B13" s="19" t="s">
        <v>61</v>
      </c>
      <c r="C13" s="20" t="s">
        <v>51</v>
      </c>
      <c r="D13" s="21">
        <v>13</v>
      </c>
      <c r="E13" s="21">
        <v>13</v>
      </c>
      <c r="F13" s="21">
        <v>13</v>
      </c>
      <c r="G13" s="22">
        <v>3</v>
      </c>
      <c r="H13" s="22">
        <f t="shared" si="0"/>
        <v>13</v>
      </c>
      <c r="I13" s="22">
        <f t="shared" si="1"/>
        <v>13</v>
      </c>
      <c r="J13" s="22">
        <f t="shared" si="2"/>
        <v>13</v>
      </c>
      <c r="K13" s="23">
        <f t="shared" si="3"/>
        <v>0</v>
      </c>
      <c r="L13" s="22" t="s">
        <v>52</v>
      </c>
      <c r="M13" s="24" t="s">
        <v>53</v>
      </c>
    </row>
    <row r="14" spans="1:20" ht="81.599999999999994" customHeight="1">
      <c r="A14" s="18" t="s">
        <v>63</v>
      </c>
      <c r="B14" s="19" t="s">
        <v>64</v>
      </c>
      <c r="C14" s="20" t="s">
        <v>56</v>
      </c>
      <c r="D14" s="21">
        <v>5</v>
      </c>
      <c r="E14" s="21">
        <v>5</v>
      </c>
      <c r="F14" s="21">
        <v>5</v>
      </c>
      <c r="G14" s="22">
        <v>2</v>
      </c>
      <c r="H14" s="22">
        <f t="shared" si="0"/>
        <v>5</v>
      </c>
      <c r="I14" s="22">
        <f t="shared" si="1"/>
        <v>5</v>
      </c>
      <c r="J14" s="22">
        <f t="shared" si="2"/>
        <v>5</v>
      </c>
      <c r="K14" s="23">
        <f t="shared" si="3"/>
        <v>0</v>
      </c>
      <c r="L14" s="22" t="s">
        <v>52</v>
      </c>
      <c r="M14" s="24" t="s">
        <v>53</v>
      </c>
    </row>
    <row r="15" spans="1:20" ht="60.6" customHeight="1">
      <c r="A15" s="18" t="s">
        <v>65</v>
      </c>
      <c r="B15" s="19" t="s">
        <v>66</v>
      </c>
      <c r="C15" s="28" t="s">
        <v>56</v>
      </c>
      <c r="D15" s="6">
        <v>8</v>
      </c>
      <c r="E15" s="6">
        <v>8</v>
      </c>
      <c r="F15" s="6">
        <v>5</v>
      </c>
      <c r="G15" s="154">
        <v>2</v>
      </c>
      <c r="H15" s="29">
        <f t="shared" si="0"/>
        <v>8</v>
      </c>
      <c r="I15" s="29">
        <f t="shared" si="1"/>
        <v>7</v>
      </c>
      <c r="J15" s="29">
        <f t="shared" si="2"/>
        <v>5</v>
      </c>
      <c r="K15" s="30">
        <f t="shared" si="3"/>
        <v>0.2857142857142857</v>
      </c>
      <c r="L15" s="9" t="s">
        <v>44</v>
      </c>
      <c r="M15" s="10" t="s">
        <v>76</v>
      </c>
    </row>
    <row r="16" spans="1:20" ht="43.2">
      <c r="A16" s="18" t="s">
        <v>68</v>
      </c>
      <c r="B16" s="19" t="s">
        <v>69</v>
      </c>
      <c r="C16" s="20" t="s">
        <v>56</v>
      </c>
      <c r="D16" s="21">
        <v>8</v>
      </c>
      <c r="E16" s="21">
        <v>8</v>
      </c>
      <c r="F16" s="21">
        <v>8</v>
      </c>
      <c r="G16" s="22">
        <v>1</v>
      </c>
      <c r="H16" s="22">
        <f t="shared" si="0"/>
        <v>8</v>
      </c>
      <c r="I16" s="22">
        <f t="shared" si="1"/>
        <v>8</v>
      </c>
      <c r="J16" s="22">
        <f t="shared" si="2"/>
        <v>8</v>
      </c>
      <c r="K16" s="23">
        <f t="shared" si="3"/>
        <v>0</v>
      </c>
      <c r="L16" s="22" t="s">
        <v>52</v>
      </c>
      <c r="M16" s="24" t="s">
        <v>53</v>
      </c>
    </row>
    <row r="17" spans="1:13" ht="57.6">
      <c r="A17" s="25" t="s">
        <v>70</v>
      </c>
      <c r="B17" s="19" t="s">
        <v>71</v>
      </c>
      <c r="C17" s="20" t="s">
        <v>43</v>
      </c>
      <c r="D17" s="21">
        <v>5</v>
      </c>
      <c r="E17" s="21">
        <v>5</v>
      </c>
      <c r="F17" s="21">
        <v>5</v>
      </c>
      <c r="G17" s="22">
        <v>1</v>
      </c>
      <c r="H17" s="22">
        <f t="shared" si="0"/>
        <v>5</v>
      </c>
      <c r="I17" s="22">
        <f t="shared" si="1"/>
        <v>5</v>
      </c>
      <c r="J17" s="22">
        <f t="shared" si="2"/>
        <v>5</v>
      </c>
      <c r="K17" s="23">
        <f t="shared" si="3"/>
        <v>0</v>
      </c>
      <c r="L17" s="22" t="s">
        <v>52</v>
      </c>
      <c r="M17" s="24" t="s">
        <v>53</v>
      </c>
    </row>
    <row r="18" spans="1:13" ht="34.950000000000003" customHeight="1">
      <c r="A18" s="109" t="s">
        <v>77</v>
      </c>
      <c r="B18" s="109"/>
      <c r="C18" s="109"/>
      <c r="D18" s="78">
        <f>SUM(D8:D17)</f>
        <v>76</v>
      </c>
      <c r="E18" s="78">
        <f>SUM(E8:E17)</f>
        <v>76</v>
      </c>
      <c r="F18" s="78">
        <f>SUM(F8:F17)</f>
        <v>73</v>
      </c>
    </row>
    <row r="19" spans="1:13" ht="33.6" customHeight="1"/>
    <row r="20" spans="1:13" ht="30" customHeight="1"/>
  </sheetData>
  <mergeCells count="8">
    <mergeCell ref="O7:Q7"/>
    <mergeCell ref="A18:C18"/>
    <mergeCell ref="A4:M4"/>
    <mergeCell ref="A6:A7"/>
    <mergeCell ref="B6:B7"/>
    <mergeCell ref="C6:C7"/>
    <mergeCell ref="D6:L6"/>
    <mergeCell ref="M6:M7"/>
  </mergeCells>
  <dataValidations count="1">
    <dataValidation type="list" allowBlank="1" showInputMessage="1" showErrorMessage="1" sqref="L8:L17" xr:uid="{1CBB1A8E-D01D-42D9-ADC0-DBEDCD04F80B}">
      <formula1>"Yes,No"</formula1>
    </dataValidation>
  </dataValidation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E4A00A6-92F6-44A7-BC8A-B1B0CAF56FF9}">
          <x14:formula1>
            <xm:f>Lista!$B$2:$B$4</xm:f>
          </x14:formula1>
          <xm:sqref>C8:C17</xm:sqref>
        </x14:dataValidation>
        <x14:dataValidation type="list" allowBlank="1" showInputMessage="1" showErrorMessage="1" xr:uid="{EE1E306E-F451-4D21-BB61-215EEB63D071}">
          <x14:formula1>
            <xm:f>'1.-Históricos'!$C$17:$C$27</xm:f>
          </x14:formula1>
          <xm:sqref>D8:F17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A287-C881-415A-8AEF-629E2E8FCEE6}">
  <dimension ref="A2:P19"/>
  <sheetViews>
    <sheetView showGridLines="0" zoomScale="85" zoomScaleNormal="85" workbookViewId="0">
      <selection activeCell="J22" sqref="J22"/>
    </sheetView>
  </sheetViews>
  <sheetFormatPr baseColWidth="10" defaultColWidth="11.44140625" defaultRowHeight="14.4"/>
  <cols>
    <col min="1" max="1" width="20.5546875" customWidth="1"/>
    <col min="2" max="2" width="11.6640625" customWidth="1"/>
    <col min="3" max="3" width="13.6640625" customWidth="1"/>
    <col min="10" max="10" width="15.33203125" customWidth="1"/>
    <col min="11" max="11" width="17.88671875" customWidth="1"/>
  </cols>
  <sheetData>
    <row r="2" spans="1:16">
      <c r="A2" s="115" t="s">
        <v>78</v>
      </c>
      <c r="B2" s="116"/>
      <c r="C2" s="116"/>
      <c r="D2" s="116"/>
      <c r="E2" s="116"/>
      <c r="F2" s="116"/>
      <c r="G2" s="116"/>
      <c r="L2" s="64"/>
    </row>
    <row r="3" spans="1:16" ht="56.4" customHeight="1">
      <c r="A3" s="73" t="s">
        <v>79</v>
      </c>
      <c r="B3" s="113" t="s">
        <v>80</v>
      </c>
      <c r="C3" s="119"/>
      <c r="D3" s="119"/>
      <c r="E3" s="117" t="s">
        <v>81</v>
      </c>
      <c r="F3" s="118"/>
      <c r="G3" s="118"/>
    </row>
    <row r="4" spans="1:16" ht="42" customHeight="1">
      <c r="A4" s="73" t="s">
        <v>82</v>
      </c>
      <c r="B4" s="120" t="s">
        <v>83</v>
      </c>
      <c r="C4" s="120"/>
      <c r="D4" s="120"/>
      <c r="E4" s="113" t="s">
        <v>84</v>
      </c>
      <c r="F4" s="114"/>
      <c r="G4" s="114"/>
    </row>
    <row r="5" spans="1:16">
      <c r="A5" s="69" t="s">
        <v>35</v>
      </c>
      <c r="B5" s="69" t="s">
        <v>85</v>
      </c>
      <c r="C5" s="70" t="s">
        <v>86</v>
      </c>
    </row>
    <row r="6" spans="1:16" ht="26.4" customHeight="1">
      <c r="A6" s="46">
        <v>1</v>
      </c>
      <c r="B6" s="46">
        <f>'4.-Round 3'!R8</f>
        <v>26</v>
      </c>
      <c r="C6" s="46">
        <f>SUM(B6:B8)</f>
        <v>76</v>
      </c>
    </row>
    <row r="7" spans="1:16" ht="14.4" customHeight="1">
      <c r="A7" s="46">
        <v>2</v>
      </c>
      <c r="B7" s="46">
        <f>'4.-Round 3'!S8</f>
        <v>26</v>
      </c>
    </row>
    <row r="8" spans="1:16" ht="14.4" customHeight="1">
      <c r="A8" s="46">
        <v>3</v>
      </c>
      <c r="B8" s="46">
        <f>'4.-Round 3'!T8</f>
        <v>24</v>
      </c>
    </row>
    <row r="9" spans="1:16" ht="14.4" customHeight="1"/>
    <row r="10" spans="1:16" ht="14.4" customHeight="1">
      <c r="A10" s="31" t="s">
        <v>87</v>
      </c>
      <c r="B10" s="74">
        <f>'4.-Round 3'!D18</f>
        <v>76</v>
      </c>
      <c r="C10" s="74">
        <f>'4.-Round 3'!E18</f>
        <v>76</v>
      </c>
      <c r="D10" s="74">
        <f>'4.-Round 3'!F18</f>
        <v>73</v>
      </c>
    </row>
    <row r="11" spans="1:16" ht="14.4" customHeight="1">
      <c r="A11" s="63" t="s">
        <v>88</v>
      </c>
      <c r="B11" s="110">
        <f>MAX(B10:D10)</f>
        <v>76</v>
      </c>
      <c r="C11" s="110"/>
      <c r="D11" s="110"/>
    </row>
    <row r="12" spans="1:16" ht="14.4" customHeight="1">
      <c r="A12" s="65"/>
      <c r="B12" s="34"/>
      <c r="C12" s="34"/>
      <c r="N12" s="71"/>
      <c r="P12" s="26"/>
    </row>
    <row r="13" spans="1:16" ht="14.4" customHeight="1">
      <c r="A13" s="65"/>
      <c r="B13" s="34"/>
      <c r="C13" s="34"/>
      <c r="N13" s="71"/>
      <c r="O13" s="72"/>
      <c r="P13" s="26"/>
    </row>
    <row r="14" spans="1:16" ht="14.4" customHeight="1">
      <c r="A14" s="111" t="s">
        <v>89</v>
      </c>
      <c r="B14" s="111"/>
      <c r="C14" s="34"/>
    </row>
    <row r="15" spans="1:16" ht="26.4" customHeight="1">
      <c r="A15" s="75" t="s">
        <v>90</v>
      </c>
      <c r="B15" s="75" t="s">
        <v>91</v>
      </c>
      <c r="C15" s="34"/>
    </row>
    <row r="16" spans="1:16" ht="14.4" customHeight="1">
      <c r="A16" s="76" t="s">
        <v>92</v>
      </c>
      <c r="B16" s="77">
        <v>6</v>
      </c>
      <c r="C16" s="34"/>
    </row>
    <row r="17" spans="1:4">
      <c r="A17" s="59"/>
      <c r="B17" s="34"/>
    </row>
    <row r="18" spans="1:4">
      <c r="A18" s="111" t="s">
        <v>93</v>
      </c>
      <c r="B18" s="112"/>
      <c r="C18" s="112"/>
      <c r="D18" s="112"/>
    </row>
    <row r="19" spans="1:4" ht="26.4" customHeight="1">
      <c r="A19" s="67" t="s">
        <v>94</v>
      </c>
      <c r="B19" s="68" t="s">
        <v>95</v>
      </c>
      <c r="C19" s="63">
        <f>B16*B11</f>
        <v>456</v>
      </c>
      <c r="D19" s="66" t="s">
        <v>96</v>
      </c>
    </row>
  </sheetData>
  <mergeCells count="8">
    <mergeCell ref="B11:D11"/>
    <mergeCell ref="A14:B14"/>
    <mergeCell ref="A18:D18"/>
    <mergeCell ref="E4:G4"/>
    <mergeCell ref="A2:G2"/>
    <mergeCell ref="E3:G3"/>
    <mergeCell ref="B3:D3"/>
    <mergeCell ref="B4:D4"/>
  </mergeCells>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3B1B-A3B3-4B79-B6D7-A68ECAB26257}">
  <dimension ref="A2:H45"/>
  <sheetViews>
    <sheetView showGridLines="0" tabSelected="1" zoomScaleNormal="100" workbookViewId="0">
      <selection activeCell="N28" sqref="N28"/>
    </sheetView>
  </sheetViews>
  <sheetFormatPr baseColWidth="10" defaultColWidth="11.44140625" defaultRowHeight="14.4"/>
  <cols>
    <col min="7" max="7" width="14.21875" customWidth="1"/>
    <col min="8" max="8" width="16.6640625" customWidth="1"/>
  </cols>
  <sheetData>
    <row r="2" spans="2:8" ht="15.6">
      <c r="B2" s="149" t="s">
        <v>97</v>
      </c>
      <c r="C2" s="149"/>
      <c r="D2" s="149"/>
      <c r="E2" s="149"/>
      <c r="F2" s="149"/>
      <c r="G2" s="149"/>
    </row>
    <row r="3" spans="2:8">
      <c r="B3" s="150" t="s">
        <v>98</v>
      </c>
      <c r="C3" s="150"/>
      <c r="D3" s="150"/>
      <c r="E3" s="36" t="s">
        <v>99</v>
      </c>
      <c r="F3" s="35" t="s">
        <v>100</v>
      </c>
      <c r="G3" s="36" t="s">
        <v>101</v>
      </c>
    </row>
    <row r="4" spans="2:8">
      <c r="B4" s="148" t="s">
        <v>102</v>
      </c>
      <c r="C4" s="148"/>
      <c r="D4" s="148"/>
      <c r="E4" s="37">
        <f>E6*F4</f>
        <v>91.2</v>
      </c>
      <c r="F4" s="38">
        <v>0.2</v>
      </c>
      <c r="G4" s="39">
        <f>E4/$D12</f>
        <v>15.200000000000001</v>
      </c>
    </row>
    <row r="5" spans="2:8">
      <c r="B5" s="148" t="s">
        <v>103</v>
      </c>
      <c r="C5" s="148"/>
      <c r="D5" s="148"/>
      <c r="E5" s="37">
        <f>E6*F5</f>
        <v>91.2</v>
      </c>
      <c r="F5" s="38">
        <v>0.2</v>
      </c>
      <c r="G5" s="39">
        <f>E5/$D12</f>
        <v>15.200000000000001</v>
      </c>
    </row>
    <row r="6" spans="2:8">
      <c r="B6" s="148" t="s">
        <v>104</v>
      </c>
      <c r="C6" s="148"/>
      <c r="D6" s="148"/>
      <c r="E6" s="37">
        <f>'5.-Resumen estimación de tamaño'!C19</f>
        <v>456</v>
      </c>
      <c r="F6" s="38">
        <v>0.4</v>
      </c>
      <c r="G6" s="39">
        <f>E6/$D12</f>
        <v>76</v>
      </c>
    </row>
    <row r="7" spans="2:8">
      <c r="B7" s="148" t="s">
        <v>105</v>
      </c>
      <c r="C7" s="148"/>
      <c r="D7" s="148"/>
      <c r="E7" s="37">
        <f>E6*F7</f>
        <v>91.2</v>
      </c>
      <c r="F7" s="38">
        <v>0.2</v>
      </c>
      <c r="G7" s="39">
        <f>E7/$D12</f>
        <v>15.200000000000001</v>
      </c>
    </row>
    <row r="8" spans="2:8">
      <c r="B8" s="40"/>
      <c r="C8" s="40"/>
      <c r="D8" s="40"/>
      <c r="E8" s="41"/>
      <c r="F8" s="42"/>
      <c r="G8" s="43"/>
    </row>
    <row r="9" spans="2:8">
      <c r="B9" s="139" t="s">
        <v>106</v>
      </c>
      <c r="C9" s="139"/>
      <c r="D9" s="139"/>
      <c r="E9" s="37">
        <f>SUM(E4:E7)</f>
        <v>729.6</v>
      </c>
      <c r="F9" s="44">
        <f>SUM(F4:F7)</f>
        <v>1</v>
      </c>
      <c r="G9" s="39">
        <f>SUM(G4:G7)</f>
        <v>121.60000000000001</v>
      </c>
      <c r="H9" s="26"/>
    </row>
    <row r="10" spans="2:8">
      <c r="B10" s="40"/>
      <c r="C10" s="40"/>
      <c r="D10" s="40"/>
      <c r="E10" s="41"/>
      <c r="F10" s="41"/>
      <c r="G10" s="43"/>
    </row>
    <row r="11" spans="2:8">
      <c r="B11" s="143" t="s">
        <v>107</v>
      </c>
      <c r="C11" s="143"/>
      <c r="D11" s="143" t="s">
        <v>108</v>
      </c>
      <c r="E11" s="143"/>
      <c r="F11" s="144" t="s">
        <v>109</v>
      </c>
      <c r="G11" s="144"/>
      <c r="H11" s="45" t="s">
        <v>110</v>
      </c>
    </row>
    <row r="12" spans="2:8">
      <c r="B12" s="145">
        <v>21.5</v>
      </c>
      <c r="C12" s="145"/>
      <c r="D12" s="145">
        <v>6</v>
      </c>
      <c r="E12" s="145"/>
      <c r="F12" s="146">
        <f>ROUNDUP(G9,0)</f>
        <v>122</v>
      </c>
      <c r="G12" s="147"/>
      <c r="H12" s="47">
        <f>ROUNDUP((G9/B12),0)</f>
        <v>6</v>
      </c>
    </row>
    <row r="13" spans="2:8">
      <c r="B13" s="48"/>
      <c r="C13" s="48"/>
      <c r="D13" s="48"/>
      <c r="E13" s="48"/>
      <c r="F13" s="49"/>
      <c r="G13" s="49"/>
    </row>
    <row r="14" spans="2:8" ht="15.6">
      <c r="B14" s="133" t="s">
        <v>111</v>
      </c>
      <c r="C14" s="134"/>
      <c r="D14" s="135"/>
      <c r="E14" s="50"/>
      <c r="F14" s="51"/>
      <c r="G14" s="51"/>
      <c r="H14" s="51"/>
    </row>
    <row r="15" spans="2:8" ht="30.6" customHeight="1">
      <c r="B15" s="136" t="s">
        <v>112</v>
      </c>
      <c r="C15" s="137"/>
      <c r="D15" s="52" t="s">
        <v>113</v>
      </c>
      <c r="E15" s="51"/>
      <c r="F15" s="51"/>
      <c r="G15" s="51"/>
      <c r="H15" s="51"/>
    </row>
    <row r="16" spans="2:8">
      <c r="B16" s="138" t="s">
        <v>114</v>
      </c>
      <c r="C16" s="138"/>
      <c r="D16" s="53">
        <v>100</v>
      </c>
      <c r="E16" s="51"/>
      <c r="F16" s="51"/>
      <c r="G16" s="51"/>
      <c r="H16" s="51"/>
    </row>
    <row r="17" spans="1:8">
      <c r="B17" s="138" t="s">
        <v>115</v>
      </c>
      <c r="C17" s="138" t="s">
        <v>116</v>
      </c>
      <c r="D17" s="53">
        <v>200</v>
      </c>
      <c r="E17" s="51"/>
      <c r="F17" s="51"/>
      <c r="G17" s="51"/>
      <c r="H17" s="51"/>
    </row>
    <row r="18" spans="1:8">
      <c r="B18" s="138" t="s">
        <v>117</v>
      </c>
      <c r="C18" s="138" t="s">
        <v>118</v>
      </c>
      <c r="D18" s="53">
        <v>100</v>
      </c>
      <c r="E18" s="51"/>
      <c r="F18" s="51"/>
      <c r="G18" s="54"/>
      <c r="H18" s="54"/>
    </row>
    <row r="19" spans="1:8">
      <c r="B19" s="138" t="s">
        <v>119</v>
      </c>
      <c r="C19" s="138" t="s">
        <v>120</v>
      </c>
      <c r="D19" s="53">
        <v>100</v>
      </c>
      <c r="E19" s="51"/>
      <c r="F19" s="51"/>
      <c r="G19" s="54"/>
      <c r="H19" s="54"/>
    </row>
    <row r="20" spans="1:8">
      <c r="B20" s="138" t="s">
        <v>121</v>
      </c>
      <c r="C20" s="138"/>
      <c r="D20" s="53">
        <v>200</v>
      </c>
      <c r="E20" s="51"/>
      <c r="F20" s="51"/>
      <c r="G20" s="54"/>
      <c r="H20" s="54"/>
    </row>
    <row r="21" spans="1:8">
      <c r="B21" s="138" t="s">
        <v>122</v>
      </c>
      <c r="C21" s="138" t="s">
        <v>123</v>
      </c>
      <c r="D21" s="53">
        <v>300</v>
      </c>
      <c r="E21" s="51"/>
      <c r="F21" s="51"/>
      <c r="G21" s="54"/>
      <c r="H21" s="54"/>
    </row>
    <row r="22" spans="1:8">
      <c r="B22" s="139" t="s">
        <v>106</v>
      </c>
      <c r="C22" s="139"/>
      <c r="D22" s="79">
        <f>SUM(D16:D21)*H12</f>
        <v>6000</v>
      </c>
      <c r="F22" s="50"/>
      <c r="G22" s="50"/>
      <c r="H22" s="54"/>
    </row>
    <row r="23" spans="1:8">
      <c r="A23" s="81"/>
      <c r="B23" s="142"/>
      <c r="C23" s="142"/>
      <c r="D23" s="82"/>
      <c r="E23" s="80"/>
      <c r="F23" s="50"/>
      <c r="G23" s="50"/>
      <c r="H23" s="50"/>
    </row>
    <row r="24" spans="1:8" ht="15.6">
      <c r="B24" s="140" t="s">
        <v>124</v>
      </c>
      <c r="C24" s="140"/>
      <c r="D24" s="140"/>
      <c r="E24" s="140"/>
      <c r="F24" s="50"/>
      <c r="G24" s="50"/>
      <c r="H24" s="50"/>
    </row>
    <row r="25" spans="1:8">
      <c r="B25" s="141" t="s">
        <v>125</v>
      </c>
      <c r="C25" s="141"/>
      <c r="D25" s="141"/>
      <c r="E25" s="55" t="s">
        <v>126</v>
      </c>
      <c r="F25" s="50"/>
      <c r="G25" s="50"/>
      <c r="H25" s="50"/>
    </row>
    <row r="26" spans="1:8">
      <c r="B26" s="124" t="s">
        <v>127</v>
      </c>
      <c r="C26" s="124"/>
      <c r="D26" s="124"/>
      <c r="E26" s="56">
        <v>100</v>
      </c>
      <c r="F26" s="50"/>
      <c r="G26" s="50"/>
      <c r="H26" s="50"/>
    </row>
    <row r="27" spans="1:8">
      <c r="B27" s="124" t="s">
        <v>128</v>
      </c>
      <c r="C27" s="124"/>
      <c r="D27" s="124"/>
      <c r="E27" s="56">
        <v>200</v>
      </c>
      <c r="F27" s="50"/>
      <c r="G27" s="50"/>
      <c r="H27" s="50"/>
    </row>
    <row r="28" spans="1:8">
      <c r="B28" s="125" t="s">
        <v>129</v>
      </c>
      <c r="C28" s="126"/>
      <c r="D28" s="127"/>
      <c r="E28" s="56">
        <v>1000</v>
      </c>
      <c r="F28" s="50"/>
      <c r="G28" s="50"/>
      <c r="H28" s="50"/>
    </row>
    <row r="29" spans="1:8">
      <c r="B29" s="124" t="s">
        <v>130</v>
      </c>
      <c r="C29" s="124"/>
      <c r="D29" s="124"/>
      <c r="E29" s="56">
        <v>120</v>
      </c>
      <c r="F29" s="50"/>
      <c r="G29" s="50"/>
      <c r="H29" s="50"/>
    </row>
    <row r="30" spans="1:8">
      <c r="B30" s="128"/>
      <c r="C30" s="129"/>
      <c r="D30" s="130"/>
      <c r="E30" s="57"/>
      <c r="F30" s="50"/>
      <c r="G30" s="50"/>
      <c r="H30" s="50"/>
    </row>
    <row r="31" spans="1:8">
      <c r="B31" s="131" t="s">
        <v>106</v>
      </c>
      <c r="C31" s="131"/>
      <c r="D31" s="131"/>
      <c r="E31" s="58">
        <f>SUM(E26:E30)</f>
        <v>1420</v>
      </c>
      <c r="F31" s="50"/>
      <c r="G31" s="50"/>
      <c r="H31" s="51"/>
    </row>
    <row r="32" spans="1:8">
      <c r="B32" s="54"/>
      <c r="C32" s="59"/>
      <c r="D32" s="54"/>
      <c r="E32" s="51"/>
      <c r="F32" s="50"/>
      <c r="G32" s="50"/>
      <c r="H32" s="51"/>
    </row>
    <row r="33" spans="2:8">
      <c r="C33" s="132" t="s">
        <v>131</v>
      </c>
      <c r="D33" s="132"/>
      <c r="E33" s="60">
        <f>D22+E31</f>
        <v>7420</v>
      </c>
      <c r="F33" s="50"/>
      <c r="G33" s="50"/>
      <c r="H33" s="61"/>
    </row>
    <row r="34" spans="2:8">
      <c r="B34" s="54"/>
      <c r="C34" s="54"/>
      <c r="D34" s="54"/>
      <c r="E34" s="50"/>
      <c r="F34" s="50"/>
      <c r="G34" s="50"/>
      <c r="H34" s="51"/>
    </row>
    <row r="35" spans="2:8">
      <c r="B35" s="54"/>
      <c r="C35" s="59"/>
      <c r="D35" s="54"/>
      <c r="E35" s="51"/>
      <c r="F35" s="62"/>
      <c r="G35" s="62"/>
      <c r="H35" s="62"/>
    </row>
    <row r="36" spans="2:8">
      <c r="C36" s="121" t="s">
        <v>102</v>
      </c>
      <c r="D36" s="121"/>
      <c r="E36" s="122" t="s">
        <v>132</v>
      </c>
      <c r="F36" s="123"/>
      <c r="G36" s="123"/>
      <c r="H36" s="123"/>
    </row>
    <row r="37" spans="2:8">
      <c r="B37" s="54"/>
      <c r="C37" s="54"/>
      <c r="D37" s="54"/>
      <c r="E37" s="123"/>
      <c r="F37" s="123"/>
      <c r="G37" s="123"/>
      <c r="H37" s="123"/>
    </row>
    <row r="38" spans="2:8">
      <c r="B38" s="54"/>
      <c r="C38" s="54"/>
      <c r="D38" s="54"/>
      <c r="E38" s="123"/>
      <c r="F38" s="123"/>
      <c r="G38" s="123"/>
      <c r="H38" s="123"/>
    </row>
    <row r="39" spans="2:8">
      <c r="B39" s="54"/>
      <c r="C39" s="54"/>
      <c r="D39" s="54"/>
      <c r="E39" s="123"/>
      <c r="F39" s="123"/>
      <c r="G39" s="123"/>
      <c r="H39" s="123"/>
    </row>
    <row r="40" spans="2:8">
      <c r="B40" s="54"/>
      <c r="C40" s="54"/>
      <c r="D40" s="54"/>
      <c r="E40" s="123"/>
      <c r="F40" s="123"/>
      <c r="G40" s="123"/>
      <c r="H40" s="123"/>
    </row>
    <row r="41" spans="2:8">
      <c r="B41" s="54"/>
      <c r="C41" s="54"/>
      <c r="D41" s="54"/>
      <c r="E41" s="123"/>
      <c r="F41" s="123"/>
      <c r="G41" s="123"/>
      <c r="H41" s="123"/>
    </row>
    <row r="42" spans="2:8">
      <c r="B42" s="54"/>
      <c r="C42" s="54"/>
      <c r="D42" s="54"/>
      <c r="E42" s="123"/>
      <c r="F42" s="123"/>
      <c r="G42" s="123"/>
      <c r="H42" s="123"/>
    </row>
    <row r="43" spans="2:8">
      <c r="B43" s="54"/>
      <c r="C43" s="54"/>
      <c r="D43" s="54"/>
      <c r="E43" s="123"/>
      <c r="F43" s="123"/>
      <c r="G43" s="123"/>
      <c r="H43" s="123"/>
    </row>
    <row r="44" spans="2:8">
      <c r="B44" s="54"/>
      <c r="C44" s="54"/>
      <c r="D44" s="54"/>
      <c r="E44" s="123"/>
      <c r="F44" s="123"/>
      <c r="G44" s="123"/>
      <c r="H44" s="123"/>
    </row>
    <row r="45" spans="2:8">
      <c r="B45" s="54"/>
      <c r="C45" s="54"/>
      <c r="D45" s="54"/>
      <c r="E45" s="123"/>
      <c r="F45" s="123"/>
      <c r="G45" s="123"/>
      <c r="H45" s="123"/>
    </row>
  </sheetData>
  <mergeCells count="34">
    <mergeCell ref="B7:D7"/>
    <mergeCell ref="B2:G2"/>
    <mergeCell ref="B3:D3"/>
    <mergeCell ref="B4:D4"/>
    <mergeCell ref="B5:D5"/>
    <mergeCell ref="B6:D6"/>
    <mergeCell ref="B9:D9"/>
    <mergeCell ref="B11:C11"/>
    <mergeCell ref="D11:E11"/>
    <mergeCell ref="F11:G11"/>
    <mergeCell ref="B12:C12"/>
    <mergeCell ref="D12:E12"/>
    <mergeCell ref="F12:G12"/>
    <mergeCell ref="B26:D26"/>
    <mergeCell ref="B14:D14"/>
    <mergeCell ref="B15:C15"/>
    <mergeCell ref="B16:C16"/>
    <mergeCell ref="B17:C17"/>
    <mergeCell ref="B18:C18"/>
    <mergeCell ref="B19:C19"/>
    <mergeCell ref="B20:C20"/>
    <mergeCell ref="B21:C21"/>
    <mergeCell ref="B22:C22"/>
    <mergeCell ref="B24:E24"/>
    <mergeCell ref="B25:D25"/>
    <mergeCell ref="B23:C23"/>
    <mergeCell ref="C36:D36"/>
    <mergeCell ref="E36:H45"/>
    <mergeCell ref="B27:D27"/>
    <mergeCell ref="B28:D28"/>
    <mergeCell ref="B29:D29"/>
    <mergeCell ref="B30:D30"/>
    <mergeCell ref="B31:D31"/>
    <mergeCell ref="C33:D3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C551-4716-4EB8-97B2-D4513675AB07}">
  <dimension ref="B1:B4"/>
  <sheetViews>
    <sheetView workbookViewId="0">
      <selection activeCell="C4" sqref="C4"/>
    </sheetView>
  </sheetViews>
  <sheetFormatPr baseColWidth="10" defaultColWidth="11.44140625" defaultRowHeight="14.4"/>
  <sheetData>
    <row r="1" spans="2:2">
      <c r="B1" t="s">
        <v>29</v>
      </c>
    </row>
    <row r="2" spans="2:2">
      <c r="B2" t="s">
        <v>56</v>
      </c>
    </row>
    <row r="3" spans="2:2">
      <c r="B3" t="s">
        <v>43</v>
      </c>
    </row>
    <row r="4" spans="2:2">
      <c r="B4"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2ba284a0d3b721bd5ae14b23357d60fd">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668c4d8b9475ce4783e2ffb4e29b310c"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Pendiente de RI"/>
          <xsd:enumeration value="Con observaciones de LA"/>
          <xsd:enumeration value="Parcialmente creada"/>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Props1.xml><?xml version="1.0" encoding="utf-8"?>
<ds:datastoreItem xmlns:ds="http://schemas.openxmlformats.org/officeDocument/2006/customXml" ds:itemID="{414C9D1D-9F26-45E5-827A-48344D71EFBA}">
  <ds:schemaRefs>
    <ds:schemaRef ds:uri="http://schemas.microsoft.com/sharepoint/v3/contenttype/forms"/>
  </ds:schemaRefs>
</ds:datastoreItem>
</file>

<file path=customXml/itemProps2.xml><?xml version="1.0" encoding="utf-8"?>
<ds:datastoreItem xmlns:ds="http://schemas.openxmlformats.org/officeDocument/2006/customXml" ds:itemID="{1556A67F-080E-4C25-8666-1BB07CBC8C57}"/>
</file>

<file path=customXml/itemProps3.xml><?xml version="1.0" encoding="utf-8"?>
<ds:datastoreItem xmlns:ds="http://schemas.openxmlformats.org/officeDocument/2006/customXml" ds:itemID="{7BEC228A-44AB-49E2-A478-62FBDDC3DC72}">
  <ds:schemaRefs>
    <ds:schemaRef ds:uri="7a0a35da-276e-4c8e-b365-e7c47df80865"/>
    <ds:schemaRef ds:uri="http://schemas.openxmlformats.org/package/2006/metadata/core-properties"/>
    <ds:schemaRef ds:uri="http://purl.org/dc/elements/1.1/"/>
    <ds:schemaRef ds:uri="http://purl.org/dc/terms/"/>
    <ds:schemaRef ds:uri="f1020bcf-9500-4749-8c84-b23cf1385772"/>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1.-Históricos</vt:lpstr>
      <vt:lpstr>2.-Round 1</vt:lpstr>
      <vt:lpstr>3.-Round 2</vt:lpstr>
      <vt:lpstr>4.-Round 3</vt:lpstr>
      <vt:lpstr>5.-Resumen estimación de tamaño</vt:lpstr>
      <vt:lpstr>6.-Estimación esfuerzo y costo</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Alatorre</dc:creator>
  <cp:keywords/>
  <dc:description/>
  <cp:lastModifiedBy>Documentación Innevo</cp:lastModifiedBy>
  <cp:revision/>
  <dcterms:created xsi:type="dcterms:W3CDTF">2023-06-23T15:57:15Z</dcterms:created>
  <dcterms:modified xsi:type="dcterms:W3CDTF">2023-10-30T21:46:26Z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