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proyectos/Análisis para toma de decisión/"/>
    </mc:Choice>
  </mc:AlternateContent>
  <xr:revisionPtr revIDLastSave="735" documentId="8_{3469E946-BA9F-4031-99D5-A1A58A9A7741}" xr6:coauthVersionLast="47" xr6:coauthVersionMax="47" xr10:uidLastSave="{7C34DF1F-E85C-4024-8B24-6797EDAFCDF5}"/>
  <bookViews>
    <workbookView xWindow="-107" yWindow="-107" windowWidth="20847" windowHeight="11111" activeTab="1" xr2:uid="{C6E85BE1-1B33-4BB0-9FE2-BC8A8F337D2C}"/>
  </bookViews>
  <sheets>
    <sheet name="Historial de versiones" sheetId="3" r:id="rId1"/>
    <sheet name="1.-Análisis de decisión" sheetId="9" r:id="rId2"/>
    <sheet name="Registro de decisiones" sheetId="5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9" l="1"/>
  <c r="I29" i="9"/>
  <c r="I30" i="9"/>
  <c r="I31" i="9"/>
  <c r="I32" i="9"/>
  <c r="I33" i="9"/>
  <c r="H34" i="9"/>
  <c r="G29" i="9"/>
  <c r="G30" i="9"/>
  <c r="G31" i="9"/>
  <c r="G32" i="9"/>
  <c r="G33" i="9"/>
  <c r="F34" i="9"/>
  <c r="E30" i="9"/>
  <c r="E31" i="9"/>
  <c r="E32" i="9"/>
  <c r="E33" i="9"/>
  <c r="D3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Alatorre</author>
  </authors>
  <commentList>
    <comment ref="E42" authorId="0" shapeId="0" xr:uid="{914823FF-EE8E-465E-B388-BBF7989AD459}">
      <text>
        <r>
          <rPr>
            <sz val="11"/>
            <color theme="1"/>
            <rFont val="Calibri"/>
            <family val="2"/>
            <scheme val="minor"/>
          </rPr>
          <t>Estos son ejemplos con la intención de demostrar que no tiene que ser solo una opción, siempre y cuando se cumpla con el método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Lopez</author>
  </authors>
  <commentList>
    <comment ref="C5" authorId="0" shapeId="0" xr:uid="{CE948D60-2F52-4591-9807-DF6937480295}">
      <text>
        <r>
          <rPr>
            <b/>
            <sz val="9"/>
            <color rgb="FF000000"/>
            <rFont val="Tahoma"/>
            <family val="2"/>
          </rPr>
          <t>Nombre del proyecto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<sst xmlns="http://schemas.openxmlformats.org/spreadsheetml/2006/main" count="124" uniqueCount="98">
  <si>
    <t>Logo de la empresa</t>
  </si>
  <si>
    <t>Historial de versiones</t>
  </si>
  <si>
    <t>Fecha</t>
  </si>
  <si>
    <t>Versión</t>
  </si>
  <si>
    <t>Descripción</t>
  </si>
  <si>
    <t>Autor</t>
  </si>
  <si>
    <t>&lt;Nombre y apellido&gt;</t>
  </si>
  <si>
    <t>Si detectaste el 30 de feb. Felicidades</t>
  </si>
  <si>
    <t>No detectaste el 30 de feb. Jalas con las cocas</t>
  </si>
  <si>
    <t>Participantes</t>
  </si>
  <si>
    <t>Registro de Decisión</t>
  </si>
  <si>
    <t>Participantes de la Decisión</t>
  </si>
  <si>
    <t>Puesto</t>
  </si>
  <si>
    <t>Rol</t>
  </si>
  <si>
    <t>ID:</t>
  </si>
  <si>
    <t>SW_ARQ_2</t>
  </si>
  <si>
    <t>líder de proyecto</t>
  </si>
  <si>
    <t>Líder de decisión</t>
  </si>
  <si>
    <t>Objetivo:</t>
  </si>
  <si>
    <t>Cambiar programa para desarrollo de software</t>
  </si>
  <si>
    <t xml:space="preserve">Gerente de proyectos </t>
  </si>
  <si>
    <t>Aprobador</t>
  </si>
  <si>
    <t>Analista</t>
  </si>
  <si>
    <t>Facilitador</t>
  </si>
  <si>
    <t>Fase / Temática:</t>
  </si>
  <si>
    <t>Fecha inicio:</t>
  </si>
  <si>
    <t>Codificador</t>
  </si>
  <si>
    <t>Nivel:</t>
  </si>
  <si>
    <t>Proyecto</t>
  </si>
  <si>
    <t>Fecha fin:</t>
  </si>
  <si>
    <t>Criterios de Decisión</t>
  </si>
  <si>
    <t>Importancia (peso)</t>
  </si>
  <si>
    <t>Escala / Rango</t>
  </si>
  <si>
    <t>Valoración</t>
  </si>
  <si>
    <t>Precio</t>
  </si>
  <si>
    <t>1 a 10</t>
  </si>
  <si>
    <t>1 alto costo, 10 bajo costo</t>
  </si>
  <si>
    <t>Nivel de riesgo</t>
  </si>
  <si>
    <t xml:space="preserve">1 a 5 </t>
  </si>
  <si>
    <t>1 alto, 5 bajo</t>
  </si>
  <si>
    <t>Facilidad de uso</t>
  </si>
  <si>
    <t>1 compleja, 5 fácil</t>
  </si>
  <si>
    <t>Velocidad de respuesta</t>
  </si>
  <si>
    <t>1 lenta, 5 rápida</t>
  </si>
  <si>
    <t>Cantidad de controles</t>
  </si>
  <si>
    <t>1 escasa, 5 abundante</t>
  </si>
  <si>
    <t>Resultado de análisis</t>
  </si>
  <si>
    <t>Evaluación de alternativas</t>
  </si>
  <si>
    <t xml:space="preserve">Criterios </t>
  </si>
  <si>
    <t>Importancia (factor)</t>
  </si>
  <si>
    <t>GilHub</t>
  </si>
  <si>
    <t>Jalato</t>
  </si>
  <si>
    <t>Goocode</t>
  </si>
  <si>
    <t>Escala/ Rango</t>
  </si>
  <si>
    <t>Total</t>
  </si>
  <si>
    <t>Solución elegida</t>
  </si>
  <si>
    <t>Justificación</t>
  </si>
  <si>
    <t>Método de evaluación</t>
  </si>
  <si>
    <t>Criterio</t>
  </si>
  <si>
    <t>Método</t>
  </si>
  <si>
    <t>Resultados de evaluación</t>
  </si>
  <si>
    <t xml:space="preserve">Comparación </t>
  </si>
  <si>
    <t>www.gilhub.com/precios
Cotización por parte de Jalato ($xxxxx.xx)
www.goocode.com/precios</t>
  </si>
  <si>
    <t>Opinión de un experto</t>
  </si>
  <si>
    <t>En una escala de 1 a 100 
Gilhub 35
Jalato 15
goocode 25</t>
  </si>
  <si>
    <t>En una escala de 1 a 100 
Gilhub 35
Jalato 15
goocode 27</t>
  </si>
  <si>
    <t>Pruebas</t>
  </si>
  <si>
    <t>Registro de decisiones</t>
  </si>
  <si>
    <t>Nro.</t>
  </si>
  <si>
    <t>Nivel</t>
  </si>
  <si>
    <t>Área</t>
  </si>
  <si>
    <t>Nombre de decisión</t>
  </si>
  <si>
    <t>Proyecto / Organizacional / Servicio</t>
  </si>
  <si>
    <t>&lt;Nombre del proyecto, en caso de que el nivel sea organizacional&gt;</t>
  </si>
  <si>
    <t>&lt;Área o departamento involucrada&gt;</t>
  </si>
  <si>
    <t>&lt;Leyenda identificatoria del asunto sobre el que se decide&gt;</t>
  </si>
  <si>
    <t>&lt;Descripción del asunto sobre el que se va a decidir&gt;</t>
  </si>
  <si>
    <t>n</t>
  </si>
  <si>
    <t>Separar en otro Doc.</t>
  </si>
  <si>
    <t>Pablo Pérez Prado</t>
  </si>
  <si>
    <t>Carlos Cárdenas Cruz</t>
  </si>
  <si>
    <t>Sandra Sánchez Solis</t>
  </si>
  <si>
    <t>Andrea Almanza Alcaraz</t>
  </si>
  <si>
    <r>
      <t xml:space="preserve">Criterio </t>
    </r>
    <r>
      <rPr>
        <b/>
        <sz val="9"/>
        <color theme="1"/>
        <rFont val="Calibri"/>
        <family val="2"/>
        <scheme val="minor"/>
      </rPr>
      <t>(Ordenados en nivel de importancia)</t>
    </r>
  </si>
  <si>
    <r>
      <t>La elección fue por "</t>
    </r>
    <r>
      <rPr>
        <b/>
        <sz val="11"/>
        <color rgb="FF000000"/>
        <rFont val="Calibri"/>
        <family val="2"/>
        <scheme val="minor"/>
      </rPr>
      <t>Goocode</t>
    </r>
    <r>
      <rPr>
        <sz val="11"/>
        <color rgb="FF000000"/>
        <rFont val="Calibri"/>
        <family val="2"/>
        <scheme val="minor"/>
      </rPr>
      <t>" por elección del cliente</t>
    </r>
  </si>
  <si>
    <r>
      <t xml:space="preserve">La mejor alternativa fue "Jalato" pero se eligió la opción de "Goocode" por </t>
    </r>
    <r>
      <rPr>
        <b/>
        <sz val="11"/>
        <color rgb="FF000000"/>
        <rFont val="Calibri"/>
        <family val="2"/>
        <scheme val="minor"/>
      </rPr>
      <t>petición del cliente</t>
    </r>
  </si>
  <si>
    <t xml:space="preserve"> Requisitos</t>
  </si>
  <si>
    <t xml:space="preserve"> 30/02/2022</t>
  </si>
  <si>
    <t xml:space="preserve"> 02/03/2022</t>
  </si>
  <si>
    <t>Este documento tiene un alcance a nivel Proyecto</t>
  </si>
  <si>
    <t>1</t>
  </si>
  <si>
    <t>Se actualizaron los colores del de las tablas para hacerlo visiblemente más intuitivo</t>
  </si>
  <si>
    <t>José Carlos Peréz Peréz</t>
  </si>
  <si>
    <r>
      <t xml:space="preserve">La alternativa elegida fue </t>
    </r>
    <r>
      <rPr>
        <b/>
        <sz val="11"/>
        <color rgb="FF000000"/>
        <rFont val="Calibri"/>
        <family val="2"/>
        <scheme val="minor"/>
      </rPr>
      <t>Jalato</t>
    </r>
  </si>
  <si>
    <t xml:space="preserve">Raúl Robledo Ríos </t>
  </si>
  <si>
    <t>Tester</t>
  </si>
  <si>
    <t>www.gilhub.com/www.gilhub.com/Especificaciones_de_uso/exhibición_de_pruebas
Videoconferencia de presentación de software
Demo gratuito</t>
  </si>
  <si>
    <t>www.gilhub.com/Especificaciones_de_uso
Videoconferencia de presentación de software
www.gilhub.com/Especificaciones_de_uso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</si>
</sst>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0"/>
      <name val="Times New Roman"/>
      <family val="1"/>
    </font>
    <font>
      <sz val="10"/>
      <name val="Times New Roman"/>
      <family val="1"/>
    </font>
    <font>
      <b/>
      <sz val="14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1" tint="0.34998626667073579"/>
      <name val="Calibri"/>
      <family val="2"/>
    </font>
    <font>
      <b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23" xfId="0" applyBorder="1"/>
    <xf numFmtId="0" fontId="6" fillId="0" borderId="25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justify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0" fillId="5" borderId="0" xfId="0" applyFill="1"/>
    <xf numFmtId="0" fontId="14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49" fontId="16" fillId="0" borderId="13" xfId="0" applyNumberFormat="1" applyFont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1" borderId="26" xfId="0" applyFont="1" applyFill="1" applyBorder="1"/>
    <xf numFmtId="0" fontId="11" fillId="11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14" fontId="18" fillId="2" borderId="1" xfId="0" applyNumberFormat="1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/>
    <xf numFmtId="0" fontId="18" fillId="2" borderId="1" xfId="0" applyFont="1" applyFill="1" applyBorder="1" applyAlignment="1">
      <alignment horizontal="left" vertical="center" wrapText="1"/>
    </xf>
    <xf numFmtId="14" fontId="16" fillId="0" borderId="1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20" fillId="1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/>
    </xf>
    <xf numFmtId="0" fontId="0" fillId="9" borderId="0" xfId="0" applyFill="1" applyAlignment="1">
      <alignment horizontal="center" vertical="top"/>
    </xf>
    <xf numFmtId="0" fontId="0" fillId="0" borderId="0" xfId="0" applyAlignment="1"/>
    <xf numFmtId="0" fontId="11" fillId="11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1" borderId="27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26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7" xfId="0" applyFont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6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11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top" wrapText="1"/>
    </xf>
    <xf numFmtId="0" fontId="17" fillId="11" borderId="6" xfId="0" applyFont="1" applyFill="1" applyBorder="1" applyAlignment="1">
      <alignment horizontal="center" vertical="top" wrapText="1"/>
    </xf>
    <xf numFmtId="0" fontId="17" fillId="11" borderId="5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0</xdr:rowOff>
    </xdr:from>
    <xdr:to>
      <xdr:col>2</xdr:col>
      <xdr:colOff>857250</xdr:colOff>
      <xdr:row>5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9EAEE2-225F-7E67-F36E-4480A1937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0"/>
          <a:ext cx="16383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ilhub.com/www.gilhub.com/Especificaciones_de_uso/exhibici&#243;n_de_pruebasVideoconferencia%20de%20presentaci&#243;n%20de%20softwareDemo%20gratuito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94EE-BFE4-49C7-87AE-89089A5918DA}">
  <dimension ref="A1:D26"/>
  <sheetViews>
    <sheetView showGridLines="0" workbookViewId="0">
      <selection activeCell="A3" sqref="A3:B4"/>
    </sheetView>
  </sheetViews>
  <sheetFormatPr baseColWidth="10" defaultColWidth="11.3984375" defaultRowHeight="14" x14ac:dyDescent="0.3"/>
  <cols>
    <col min="1" max="1" width="20.296875" customWidth="1"/>
    <col min="2" max="2" width="25.296875" customWidth="1"/>
    <col min="3" max="3" width="53.09765625" customWidth="1"/>
    <col min="4" max="4" width="20" customWidth="1"/>
  </cols>
  <sheetData>
    <row r="1" spans="1:4" x14ac:dyDescent="0.3">
      <c r="A1" s="45" t="s">
        <v>0</v>
      </c>
      <c r="B1" s="46"/>
      <c r="C1" s="1"/>
    </row>
    <row r="2" spans="1:4" ht="38.049999999999997" customHeight="1" thickBot="1" x14ac:dyDescent="0.35">
      <c r="A2" s="47"/>
      <c r="B2" s="48"/>
      <c r="C2" s="1"/>
    </row>
    <row r="3" spans="1:4" x14ac:dyDescent="0.3">
      <c r="A3" s="50" t="s">
        <v>89</v>
      </c>
      <c r="B3" s="50"/>
    </row>
    <row r="4" spans="1:4" x14ac:dyDescent="0.3">
      <c r="A4" s="51"/>
      <c r="B4" s="51"/>
    </row>
    <row r="6" spans="1:4" ht="18" x14ac:dyDescent="0.35">
      <c r="A6" s="49" t="s">
        <v>1</v>
      </c>
      <c r="B6" s="49"/>
      <c r="C6" s="49"/>
      <c r="D6" s="49"/>
    </row>
    <row r="7" spans="1:4" ht="15.05" thickBot="1" x14ac:dyDescent="0.35"/>
    <row r="8" spans="1:4" ht="18.8" thickBot="1" x14ac:dyDescent="0.35">
      <c r="A8" s="26" t="s">
        <v>2</v>
      </c>
      <c r="B8" s="27" t="s">
        <v>3</v>
      </c>
      <c r="C8" s="27" t="s">
        <v>4</v>
      </c>
      <c r="D8" s="27" t="s">
        <v>5</v>
      </c>
    </row>
    <row r="9" spans="1:4" ht="33.049999999999997" customHeight="1" thickBot="1" x14ac:dyDescent="0.35">
      <c r="A9" s="44">
        <v>45245</v>
      </c>
      <c r="B9" s="25" t="s">
        <v>90</v>
      </c>
      <c r="C9" s="24" t="s">
        <v>91</v>
      </c>
      <c r="D9" s="24" t="s">
        <v>92</v>
      </c>
    </row>
    <row r="10" spans="1:4" ht="32.4" customHeight="1" thickBot="1" x14ac:dyDescent="0.35">
      <c r="A10" s="2"/>
      <c r="B10" s="3"/>
      <c r="C10" s="4"/>
      <c r="D10" s="5"/>
    </row>
    <row r="11" spans="1:4" ht="32" customHeight="1" thickBot="1" x14ac:dyDescent="0.35">
      <c r="A11" s="2"/>
      <c r="B11" s="3"/>
      <c r="C11" s="4"/>
      <c r="D11" s="5"/>
    </row>
    <row r="12" spans="1:4" ht="33.049999999999997" customHeight="1" thickBot="1" x14ac:dyDescent="0.35">
      <c r="A12" s="2"/>
      <c r="B12" s="3"/>
      <c r="C12" s="4"/>
      <c r="D12" s="5"/>
    </row>
    <row r="25" spans="3:3" x14ac:dyDescent="0.3">
      <c r="C25" t="s">
        <v>7</v>
      </c>
    </row>
    <row r="26" spans="3:3" x14ac:dyDescent="0.3">
      <c r="C26" t="s">
        <v>8</v>
      </c>
    </row>
  </sheetData>
  <mergeCells count="3">
    <mergeCell ref="A1:B2"/>
    <mergeCell ref="A6:D6"/>
    <mergeCell ref="A3:B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38BE-785B-4B3B-8F59-8E0BC7F7BBB9}">
  <dimension ref="A1:U46"/>
  <sheetViews>
    <sheetView tabSelected="1" zoomScale="90" zoomScaleNormal="90" workbookViewId="0">
      <selection activeCell="K18" sqref="K18"/>
    </sheetView>
  </sheetViews>
  <sheetFormatPr baseColWidth="10" defaultColWidth="11.3984375" defaultRowHeight="14" x14ac:dyDescent="0.3"/>
  <cols>
    <col min="1" max="1" width="13.69921875" customWidth="1"/>
    <col min="2" max="2" width="3.59765625" customWidth="1"/>
    <col min="3" max="3" width="16.3984375" customWidth="1"/>
    <col min="5" max="5" width="13.09765625" customWidth="1"/>
    <col min="10" max="10" width="15" customWidth="1"/>
    <col min="12" max="12" width="15.69921875" customWidth="1"/>
    <col min="20" max="20" width="14.8984375" customWidth="1"/>
    <col min="21" max="21" width="25.296875" customWidth="1"/>
  </cols>
  <sheetData>
    <row r="1" spans="1:21" x14ac:dyDescent="0.3">
      <c r="A1" s="52"/>
      <c r="B1" s="52"/>
      <c r="C1" s="52"/>
      <c r="D1" s="33"/>
      <c r="E1" s="33"/>
      <c r="F1" s="33"/>
      <c r="G1" s="33"/>
      <c r="H1" s="33"/>
      <c r="I1" s="33"/>
      <c r="J1" s="33"/>
      <c r="K1" s="33"/>
      <c r="L1" s="33"/>
    </row>
    <row r="2" spans="1:21" x14ac:dyDescent="0.3">
      <c r="A2" s="52"/>
      <c r="B2" s="52"/>
      <c r="C2" s="52"/>
      <c r="D2" s="33"/>
      <c r="E2" s="33"/>
      <c r="F2" s="33"/>
      <c r="G2" s="33"/>
      <c r="H2" s="33"/>
      <c r="I2" s="33"/>
      <c r="J2" s="33"/>
      <c r="K2" s="33"/>
      <c r="L2" s="33"/>
      <c r="S2" s="61"/>
      <c r="T2" s="61"/>
      <c r="U2" s="61"/>
    </row>
    <row r="3" spans="1:21" x14ac:dyDescent="0.3">
      <c r="A3" s="52"/>
      <c r="B3" s="52"/>
      <c r="C3" s="52"/>
      <c r="D3" s="33"/>
      <c r="E3" s="33"/>
      <c r="F3" s="33"/>
      <c r="G3" s="33"/>
      <c r="H3" s="33"/>
      <c r="I3" s="33"/>
      <c r="J3" s="33"/>
      <c r="K3" s="33"/>
      <c r="L3" s="33"/>
      <c r="S3" s="62"/>
      <c r="T3" s="62"/>
      <c r="U3" s="62"/>
    </row>
    <row r="4" spans="1:21" x14ac:dyDescent="0.3">
      <c r="A4" s="52"/>
      <c r="B4" s="52"/>
      <c r="C4" s="52"/>
      <c r="D4" s="33"/>
      <c r="E4" s="33"/>
      <c r="F4" s="33"/>
      <c r="G4" s="33"/>
      <c r="H4" s="33"/>
      <c r="I4" s="33"/>
      <c r="J4" s="33"/>
      <c r="K4" s="33"/>
      <c r="L4" s="33"/>
      <c r="S4" s="62"/>
      <c r="T4" s="62"/>
      <c r="U4" s="62"/>
    </row>
    <row r="5" spans="1:21" ht="6.05" customHeigh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S5" s="62"/>
      <c r="T5" s="62"/>
      <c r="U5" s="62"/>
    </row>
    <row r="6" spans="1:21" ht="22.2" customHeight="1" x14ac:dyDescent="0.45">
      <c r="A6" s="33"/>
      <c r="B6" s="33"/>
      <c r="C6" s="33"/>
      <c r="D6" s="33"/>
      <c r="E6" s="33"/>
      <c r="F6" s="33"/>
      <c r="G6" s="60" t="s">
        <v>9</v>
      </c>
      <c r="H6" s="60"/>
      <c r="I6" s="60"/>
      <c r="J6" s="60"/>
      <c r="K6" s="60"/>
      <c r="L6" s="60"/>
      <c r="S6" s="62"/>
      <c r="T6" s="62"/>
      <c r="U6" s="62"/>
    </row>
    <row r="7" spans="1:21" ht="18.3" x14ac:dyDescent="0.3">
      <c r="A7" s="53" t="s">
        <v>10</v>
      </c>
      <c r="B7" s="53"/>
      <c r="C7" s="53"/>
      <c r="D7" s="53"/>
      <c r="E7" s="53"/>
      <c r="F7" s="33"/>
      <c r="G7" s="54" t="s">
        <v>11</v>
      </c>
      <c r="H7" s="54"/>
      <c r="I7" s="54"/>
      <c r="J7" s="54" t="s">
        <v>12</v>
      </c>
      <c r="K7" s="54"/>
      <c r="L7" s="30" t="s">
        <v>13</v>
      </c>
      <c r="S7" s="62"/>
      <c r="T7" s="62"/>
      <c r="U7" s="62"/>
    </row>
    <row r="8" spans="1:21" ht="31.2" customHeight="1" x14ac:dyDescent="0.3">
      <c r="A8" s="55" t="s">
        <v>14</v>
      </c>
      <c r="B8" s="56"/>
      <c r="C8" s="57" t="s">
        <v>15</v>
      </c>
      <c r="D8" s="57"/>
      <c r="E8" s="57"/>
      <c r="F8" s="33"/>
      <c r="G8" s="58" t="s">
        <v>79</v>
      </c>
      <c r="H8" s="58"/>
      <c r="I8" s="58"/>
      <c r="J8" s="59" t="s">
        <v>16</v>
      </c>
      <c r="K8" s="59"/>
      <c r="L8" s="34" t="s">
        <v>17</v>
      </c>
    </row>
    <row r="9" spans="1:21" ht="24.05" customHeight="1" x14ac:dyDescent="0.3">
      <c r="A9" s="55" t="s">
        <v>18</v>
      </c>
      <c r="B9" s="56"/>
      <c r="C9" s="57" t="s">
        <v>19</v>
      </c>
      <c r="D9" s="57"/>
      <c r="E9" s="57"/>
      <c r="F9" s="33"/>
      <c r="G9" s="58" t="s">
        <v>80</v>
      </c>
      <c r="H9" s="58"/>
      <c r="I9" s="58"/>
      <c r="J9" s="59" t="s">
        <v>20</v>
      </c>
      <c r="K9" s="59"/>
      <c r="L9" s="34" t="s">
        <v>21</v>
      </c>
    </row>
    <row r="10" spans="1:21" ht="14.4" customHeight="1" x14ac:dyDescent="0.3">
      <c r="A10" s="56"/>
      <c r="B10" s="56"/>
      <c r="C10" s="57"/>
      <c r="D10" s="57"/>
      <c r="E10" s="57"/>
      <c r="F10" s="33"/>
      <c r="G10" s="58" t="s">
        <v>81</v>
      </c>
      <c r="H10" s="58"/>
      <c r="I10" s="58"/>
      <c r="J10" s="59" t="s">
        <v>22</v>
      </c>
      <c r="K10" s="59"/>
      <c r="L10" s="34" t="s">
        <v>23</v>
      </c>
    </row>
    <row r="11" spans="1:21" x14ac:dyDescent="0.3">
      <c r="A11" s="55" t="s">
        <v>24</v>
      </c>
      <c r="B11" s="56"/>
      <c r="C11" s="35" t="s">
        <v>86</v>
      </c>
      <c r="D11" s="36" t="s">
        <v>25</v>
      </c>
      <c r="E11" s="37" t="s">
        <v>87</v>
      </c>
      <c r="F11" s="33"/>
      <c r="G11" s="58" t="s">
        <v>94</v>
      </c>
      <c r="H11" s="58"/>
      <c r="I11" s="58"/>
      <c r="J11" s="59" t="s">
        <v>26</v>
      </c>
      <c r="K11" s="59"/>
      <c r="L11" s="34" t="s">
        <v>23</v>
      </c>
    </row>
    <row r="12" spans="1:21" ht="15.05" customHeight="1" x14ac:dyDescent="0.3">
      <c r="A12" s="56" t="s">
        <v>27</v>
      </c>
      <c r="B12" s="56"/>
      <c r="C12" s="43" t="s">
        <v>28</v>
      </c>
      <c r="D12" s="36" t="s">
        <v>29</v>
      </c>
      <c r="E12" s="37" t="s">
        <v>88</v>
      </c>
      <c r="F12" s="33"/>
      <c r="G12" s="58" t="s">
        <v>82</v>
      </c>
      <c r="H12" s="58"/>
      <c r="I12" s="58"/>
      <c r="J12" s="59" t="s">
        <v>95</v>
      </c>
      <c r="K12" s="59"/>
      <c r="L12" s="34" t="s">
        <v>23</v>
      </c>
    </row>
    <row r="13" spans="1:21" ht="14.4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21" ht="5.4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1:21" ht="18.55" customHeight="1" x14ac:dyDescent="0.3">
      <c r="A15" s="69" t="s">
        <v>30</v>
      </c>
      <c r="B15" s="69"/>
      <c r="C15" s="69"/>
      <c r="D15" s="69"/>
      <c r="E15" s="69"/>
      <c r="F15" s="69"/>
      <c r="G15" s="33"/>
      <c r="H15" s="33"/>
      <c r="I15" s="33"/>
      <c r="J15" s="33"/>
      <c r="K15" s="33"/>
      <c r="L15" s="33"/>
    </row>
    <row r="16" spans="1:21" ht="33.6" customHeight="1" x14ac:dyDescent="0.3">
      <c r="A16" s="38" t="s">
        <v>31</v>
      </c>
      <c r="B16" s="67" t="s">
        <v>83</v>
      </c>
      <c r="C16" s="54"/>
      <c r="D16" s="38" t="s">
        <v>32</v>
      </c>
      <c r="E16" s="54" t="s">
        <v>33</v>
      </c>
      <c r="F16" s="54"/>
      <c r="G16" s="33"/>
      <c r="H16" s="33"/>
      <c r="I16" s="33"/>
      <c r="J16" s="33"/>
      <c r="K16" s="33"/>
      <c r="L16" s="33"/>
    </row>
    <row r="17" spans="1:12" ht="14.4" customHeight="1" x14ac:dyDescent="0.3">
      <c r="A17" s="39">
        <v>5</v>
      </c>
      <c r="B17" s="68" t="s">
        <v>34</v>
      </c>
      <c r="C17" s="68"/>
      <c r="D17" s="40" t="s">
        <v>35</v>
      </c>
      <c r="E17" s="66" t="s">
        <v>36</v>
      </c>
      <c r="F17" s="66"/>
      <c r="G17" s="33"/>
      <c r="H17" s="33"/>
      <c r="I17" s="33"/>
      <c r="J17" s="33"/>
      <c r="K17" s="33"/>
      <c r="L17" s="33"/>
    </row>
    <row r="18" spans="1:12" ht="14.4" x14ac:dyDescent="0.3">
      <c r="A18" s="39">
        <v>4</v>
      </c>
      <c r="B18" s="65" t="s">
        <v>37</v>
      </c>
      <c r="C18" s="65"/>
      <c r="D18" s="40" t="s">
        <v>38</v>
      </c>
      <c r="E18" s="66" t="s">
        <v>39</v>
      </c>
      <c r="F18" s="66"/>
      <c r="G18" s="33"/>
      <c r="H18" s="33"/>
      <c r="I18" s="33"/>
      <c r="J18" s="33"/>
      <c r="K18" s="33"/>
      <c r="L18" s="33"/>
    </row>
    <row r="19" spans="1:12" x14ac:dyDescent="0.3">
      <c r="A19" s="39">
        <v>3</v>
      </c>
      <c r="B19" s="65" t="s">
        <v>40</v>
      </c>
      <c r="C19" s="65"/>
      <c r="D19" s="40" t="s">
        <v>38</v>
      </c>
      <c r="E19" s="66" t="s">
        <v>41</v>
      </c>
      <c r="F19" s="66"/>
      <c r="G19" s="33"/>
      <c r="H19" s="33"/>
      <c r="I19" s="33"/>
      <c r="J19" s="33"/>
      <c r="K19" s="33"/>
      <c r="L19" s="33"/>
    </row>
    <row r="20" spans="1:12" x14ac:dyDescent="0.3">
      <c r="A20" s="39">
        <v>2</v>
      </c>
      <c r="B20" s="65" t="s">
        <v>42</v>
      </c>
      <c r="C20" s="65"/>
      <c r="D20" s="40" t="s">
        <v>38</v>
      </c>
      <c r="E20" s="66" t="s">
        <v>43</v>
      </c>
      <c r="F20" s="66"/>
      <c r="G20" s="33"/>
      <c r="H20" s="33"/>
      <c r="I20" s="33"/>
      <c r="J20" s="33"/>
      <c r="K20" s="33"/>
      <c r="L20" s="33"/>
    </row>
    <row r="21" spans="1:12" ht="14.4" x14ac:dyDescent="0.3">
      <c r="A21" s="39">
        <v>1</v>
      </c>
      <c r="B21" s="65" t="s">
        <v>44</v>
      </c>
      <c r="C21" s="65"/>
      <c r="D21" s="40" t="s">
        <v>38</v>
      </c>
      <c r="E21" s="66" t="s">
        <v>45</v>
      </c>
      <c r="F21" s="66"/>
      <c r="G21" s="33"/>
      <c r="H21" s="33"/>
      <c r="I21" s="33"/>
      <c r="J21" s="33"/>
      <c r="K21" s="33"/>
      <c r="L21" s="33"/>
    </row>
    <row r="22" spans="1:12" ht="29.95" customHeight="1" x14ac:dyDescent="0.3">
      <c r="A22" s="63" t="s">
        <v>46</v>
      </c>
      <c r="B22" s="64"/>
      <c r="C22" s="70" t="s">
        <v>93</v>
      </c>
      <c r="D22" s="71"/>
      <c r="E22" s="71"/>
      <c r="F22" s="71"/>
      <c r="G22" s="33"/>
      <c r="H22" s="33"/>
      <c r="I22" s="33"/>
      <c r="J22" s="33"/>
      <c r="K22" s="33"/>
      <c r="L22" s="33"/>
    </row>
    <row r="23" spans="1:12" ht="23.25" customHeight="1" x14ac:dyDescent="0.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ht="18.8" customHeight="1" x14ac:dyDescent="0.3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3.8" customHeight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x14ac:dyDescent="0.3">
      <c r="A26" s="80" t="s">
        <v>47</v>
      </c>
      <c r="B26" s="80"/>
      <c r="C26" s="80"/>
      <c r="D26" s="80"/>
      <c r="E26" s="80"/>
      <c r="F26" s="80"/>
      <c r="G26" s="80"/>
      <c r="H26" s="80"/>
      <c r="I26" s="80"/>
      <c r="J26" s="33"/>
      <c r="K26" s="33"/>
      <c r="L26" s="33"/>
    </row>
    <row r="27" spans="1:12" x14ac:dyDescent="0.3">
      <c r="A27" s="72" t="s">
        <v>48</v>
      </c>
      <c r="B27" s="73"/>
      <c r="C27" s="74" t="s">
        <v>49</v>
      </c>
      <c r="D27" s="74" t="s">
        <v>50</v>
      </c>
      <c r="E27" s="74"/>
      <c r="F27" s="74" t="s">
        <v>51</v>
      </c>
      <c r="G27" s="74"/>
      <c r="H27" s="74" t="s">
        <v>52</v>
      </c>
      <c r="I27" s="74"/>
      <c r="J27" s="33"/>
      <c r="K27" s="33"/>
      <c r="L27" s="33"/>
    </row>
    <row r="28" spans="1:12" ht="27.95" x14ac:dyDescent="0.3">
      <c r="A28" s="72"/>
      <c r="B28" s="73"/>
      <c r="C28" s="75"/>
      <c r="D28" s="41" t="s">
        <v>53</v>
      </c>
      <c r="E28" s="31" t="s">
        <v>54</v>
      </c>
      <c r="F28" s="41" t="s">
        <v>53</v>
      </c>
      <c r="G28" s="31" t="s">
        <v>54</v>
      </c>
      <c r="H28" s="41" t="s">
        <v>53</v>
      </c>
      <c r="I28" s="31" t="s">
        <v>54</v>
      </c>
      <c r="J28" s="33"/>
      <c r="K28" s="33"/>
      <c r="L28" s="33"/>
    </row>
    <row r="29" spans="1:12" ht="20.05" customHeight="1" x14ac:dyDescent="0.3">
      <c r="A29" s="81" t="s">
        <v>34</v>
      </c>
      <c r="B29" s="81"/>
      <c r="C29" s="34">
        <v>5</v>
      </c>
      <c r="D29" s="23">
        <v>3</v>
      </c>
      <c r="E29" s="28">
        <f>C29*D29</f>
        <v>15</v>
      </c>
      <c r="F29" s="29">
        <v>5</v>
      </c>
      <c r="G29" s="28">
        <f>C29*F29</f>
        <v>25</v>
      </c>
      <c r="H29" s="23">
        <v>4</v>
      </c>
      <c r="I29" s="28">
        <f>C29*H29</f>
        <v>20</v>
      </c>
      <c r="J29" s="33"/>
      <c r="K29" s="33"/>
      <c r="L29" s="33"/>
    </row>
    <row r="30" spans="1:12" ht="25.25" customHeight="1" x14ac:dyDescent="0.3">
      <c r="A30" s="81" t="s">
        <v>37</v>
      </c>
      <c r="B30" s="81"/>
      <c r="C30" s="34">
        <v>4</v>
      </c>
      <c r="D30" s="23">
        <v>5</v>
      </c>
      <c r="E30" s="28">
        <f t="shared" ref="E30:E33" si="0">C30*D30</f>
        <v>20</v>
      </c>
      <c r="F30" s="23">
        <v>3</v>
      </c>
      <c r="G30" s="28">
        <f t="shared" ref="G30:G33" si="1">C30*F30</f>
        <v>12</v>
      </c>
      <c r="H30" s="23">
        <v>4</v>
      </c>
      <c r="I30" s="28">
        <f t="shared" ref="I30:I33" si="2">C30*H30</f>
        <v>16</v>
      </c>
      <c r="J30" s="33"/>
      <c r="K30" s="33"/>
      <c r="L30" s="33"/>
    </row>
    <row r="31" spans="1:12" ht="28.25" customHeight="1" x14ac:dyDescent="0.3">
      <c r="A31" s="81" t="s">
        <v>40</v>
      </c>
      <c r="B31" s="81"/>
      <c r="C31" s="34">
        <v>3</v>
      </c>
      <c r="D31" s="23">
        <v>2</v>
      </c>
      <c r="E31" s="28">
        <f t="shared" si="0"/>
        <v>6</v>
      </c>
      <c r="F31" s="23">
        <v>3</v>
      </c>
      <c r="G31" s="28">
        <f t="shared" si="1"/>
        <v>9</v>
      </c>
      <c r="H31" s="23">
        <v>2</v>
      </c>
      <c r="I31" s="28">
        <f t="shared" si="2"/>
        <v>6</v>
      </c>
      <c r="J31" s="33"/>
      <c r="K31" s="33"/>
      <c r="L31" s="33"/>
    </row>
    <row r="32" spans="1:12" ht="32" customHeight="1" x14ac:dyDescent="0.3">
      <c r="A32" s="81" t="s">
        <v>42</v>
      </c>
      <c r="B32" s="81"/>
      <c r="C32" s="34">
        <v>2</v>
      </c>
      <c r="D32" s="23">
        <v>2</v>
      </c>
      <c r="E32" s="28">
        <f t="shared" si="0"/>
        <v>4</v>
      </c>
      <c r="F32" s="23">
        <v>4</v>
      </c>
      <c r="G32" s="28">
        <f t="shared" si="1"/>
        <v>8</v>
      </c>
      <c r="H32" s="23">
        <v>5</v>
      </c>
      <c r="I32" s="28">
        <f t="shared" si="2"/>
        <v>10</v>
      </c>
      <c r="J32" s="33"/>
      <c r="K32" s="33"/>
      <c r="L32" s="33"/>
    </row>
    <row r="33" spans="1:12" ht="29.05" customHeight="1" x14ac:dyDescent="0.3">
      <c r="A33" s="81" t="s">
        <v>44</v>
      </c>
      <c r="B33" s="81"/>
      <c r="C33" s="34">
        <v>1</v>
      </c>
      <c r="D33" s="23">
        <v>3</v>
      </c>
      <c r="E33" s="28">
        <f t="shared" si="0"/>
        <v>3</v>
      </c>
      <c r="F33" s="23">
        <v>5</v>
      </c>
      <c r="G33" s="28">
        <f t="shared" si="1"/>
        <v>5</v>
      </c>
      <c r="H33" s="23">
        <v>2</v>
      </c>
      <c r="I33" s="28">
        <f t="shared" si="2"/>
        <v>2</v>
      </c>
      <c r="J33" s="33"/>
      <c r="K33" s="33"/>
      <c r="L33" s="33"/>
    </row>
    <row r="34" spans="1:12" ht="20.95" x14ac:dyDescent="0.3">
      <c r="A34" s="97" t="s">
        <v>54</v>
      </c>
      <c r="B34" s="98"/>
      <c r="C34" s="99"/>
      <c r="D34" s="76">
        <f>SUM(E29:E33)</f>
        <v>48</v>
      </c>
      <c r="E34" s="76"/>
      <c r="F34" s="76">
        <f>SUM(G29:G33)</f>
        <v>59</v>
      </c>
      <c r="G34" s="76"/>
      <c r="H34" s="76">
        <f>SUM(I29:I33)</f>
        <v>54</v>
      </c>
      <c r="I34" s="76"/>
      <c r="J34" s="33"/>
      <c r="K34" s="33"/>
      <c r="L34" s="33"/>
    </row>
    <row r="35" spans="1:12" ht="14.4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1:12" ht="27.95" x14ac:dyDescent="0.3">
      <c r="A36" s="32" t="s">
        <v>55</v>
      </c>
      <c r="B36" s="77" t="s">
        <v>84</v>
      </c>
      <c r="C36" s="78"/>
      <c r="D36" s="78"/>
      <c r="E36" s="78"/>
      <c r="F36" s="78"/>
      <c r="G36" s="78"/>
      <c r="H36" s="79"/>
      <c r="I36" s="33"/>
      <c r="J36" s="33"/>
      <c r="K36" s="33"/>
      <c r="L36" s="42"/>
    </row>
    <row r="37" spans="1:12" ht="27.8" customHeight="1" x14ac:dyDescent="0.3">
      <c r="A37" s="32" t="s">
        <v>56</v>
      </c>
      <c r="B37" s="95" t="s">
        <v>85</v>
      </c>
      <c r="C37" s="96"/>
      <c r="D37" s="96"/>
      <c r="E37" s="96"/>
      <c r="F37" s="96"/>
      <c r="G37" s="96"/>
      <c r="H37" s="96"/>
      <c r="I37" s="33"/>
      <c r="J37" s="33"/>
      <c r="K37" s="33"/>
      <c r="L37" s="33"/>
    </row>
    <row r="38" spans="1:12" ht="29.45" customHeight="1" x14ac:dyDescent="0.3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1:12" ht="29.45" customHeight="1" x14ac:dyDescent="0.3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ht="18.3" x14ac:dyDescent="0.4">
      <c r="A40" s="94" t="s">
        <v>57</v>
      </c>
      <c r="B40" s="94"/>
      <c r="C40" s="94"/>
      <c r="D40" s="94"/>
      <c r="E40" s="94"/>
      <c r="F40" s="94"/>
      <c r="G40" s="94"/>
      <c r="H40" s="94"/>
      <c r="I40" s="94"/>
      <c r="J40" s="94"/>
      <c r="K40" s="33"/>
      <c r="L40" s="33"/>
    </row>
    <row r="41" spans="1:12" x14ac:dyDescent="0.3">
      <c r="A41" s="93" t="s">
        <v>58</v>
      </c>
      <c r="B41" s="93"/>
      <c r="C41" s="93" t="s">
        <v>59</v>
      </c>
      <c r="D41" s="93"/>
      <c r="E41" s="93" t="s">
        <v>60</v>
      </c>
      <c r="F41" s="93"/>
      <c r="G41" s="93"/>
      <c r="H41" s="93"/>
      <c r="I41" s="93"/>
      <c r="J41" s="93"/>
      <c r="K41" s="33"/>
      <c r="L41" s="33"/>
    </row>
    <row r="42" spans="1:12" ht="45" customHeight="1" x14ac:dyDescent="0.3">
      <c r="A42" s="92" t="s">
        <v>34</v>
      </c>
      <c r="B42" s="92"/>
      <c r="C42" s="92" t="s">
        <v>61</v>
      </c>
      <c r="D42" s="92"/>
      <c r="E42" s="85" t="s">
        <v>62</v>
      </c>
      <c r="F42" s="86"/>
      <c r="G42" s="86"/>
      <c r="H42" s="86"/>
      <c r="I42" s="86"/>
      <c r="J42" s="86"/>
      <c r="K42" s="33"/>
      <c r="L42" s="33"/>
    </row>
    <row r="43" spans="1:12" ht="63.8" customHeight="1" x14ac:dyDescent="0.3">
      <c r="A43" s="82" t="s">
        <v>37</v>
      </c>
      <c r="B43" s="82"/>
      <c r="C43" s="83" t="s">
        <v>63</v>
      </c>
      <c r="D43" s="83"/>
      <c r="E43" s="84" t="s">
        <v>64</v>
      </c>
      <c r="F43" s="87"/>
      <c r="G43" s="87"/>
      <c r="H43" s="87"/>
      <c r="I43" s="87"/>
      <c r="J43" s="88"/>
      <c r="K43" s="33"/>
      <c r="L43" s="33"/>
    </row>
    <row r="44" spans="1:12" ht="48.8" customHeight="1" x14ac:dyDescent="0.3">
      <c r="A44" s="82" t="s">
        <v>40</v>
      </c>
      <c r="B44" s="82"/>
      <c r="C44" s="83" t="s">
        <v>61</v>
      </c>
      <c r="D44" s="83"/>
      <c r="E44" s="84" t="s">
        <v>97</v>
      </c>
      <c r="F44" s="87"/>
      <c r="G44" s="87"/>
      <c r="H44" s="87"/>
      <c r="I44" s="87"/>
      <c r="J44" s="88"/>
      <c r="K44" s="33"/>
      <c r="L44" s="33"/>
    </row>
    <row r="45" spans="1:12" ht="65.3" customHeight="1" x14ac:dyDescent="0.3">
      <c r="A45" s="82" t="s">
        <v>42</v>
      </c>
      <c r="B45" s="82"/>
      <c r="C45" s="83" t="s">
        <v>63</v>
      </c>
      <c r="D45" s="83"/>
      <c r="E45" s="89" t="s">
        <v>65</v>
      </c>
      <c r="F45" s="90"/>
      <c r="G45" s="90"/>
      <c r="H45" s="90"/>
      <c r="I45" s="90"/>
      <c r="J45" s="91"/>
      <c r="K45" s="33"/>
      <c r="L45" s="33"/>
    </row>
    <row r="46" spans="1:12" ht="61.55" customHeight="1" x14ac:dyDescent="0.3">
      <c r="A46" s="82" t="s">
        <v>44</v>
      </c>
      <c r="B46" s="82"/>
      <c r="C46" s="83" t="s">
        <v>66</v>
      </c>
      <c r="D46" s="84"/>
      <c r="E46" s="102" t="s">
        <v>96</v>
      </c>
      <c r="F46" s="103"/>
      <c r="G46" s="103"/>
      <c r="H46" s="103"/>
      <c r="I46" s="103"/>
      <c r="J46" s="104"/>
      <c r="K46" s="33"/>
      <c r="L46" s="33"/>
    </row>
  </sheetData>
  <mergeCells count="78">
    <mergeCell ref="S4:U4"/>
    <mergeCell ref="S6:U6"/>
    <mergeCell ref="S5:U5"/>
    <mergeCell ref="S7:U7"/>
    <mergeCell ref="A45:B45"/>
    <mergeCell ref="C45:D45"/>
    <mergeCell ref="E41:J41"/>
    <mergeCell ref="A40:J40"/>
    <mergeCell ref="A41:B41"/>
    <mergeCell ref="C41:D41"/>
    <mergeCell ref="A32:B32"/>
    <mergeCell ref="A33:B33"/>
    <mergeCell ref="B37:H37"/>
    <mergeCell ref="A34:C34"/>
    <mergeCell ref="D34:E34"/>
    <mergeCell ref="F34:G34"/>
    <mergeCell ref="A46:B46"/>
    <mergeCell ref="C46:D46"/>
    <mergeCell ref="E42:J42"/>
    <mergeCell ref="E43:J43"/>
    <mergeCell ref="E44:J44"/>
    <mergeCell ref="E45:J45"/>
    <mergeCell ref="E46:J46"/>
    <mergeCell ref="A43:B43"/>
    <mergeCell ref="C43:D43"/>
    <mergeCell ref="A44:B44"/>
    <mergeCell ref="C44:D44"/>
    <mergeCell ref="A42:B42"/>
    <mergeCell ref="C42:D42"/>
    <mergeCell ref="H34:I34"/>
    <mergeCell ref="B36:H36"/>
    <mergeCell ref="H27:I27"/>
    <mergeCell ref="A26:I26"/>
    <mergeCell ref="A29:B29"/>
    <mergeCell ref="A30:B30"/>
    <mergeCell ref="A31:B31"/>
    <mergeCell ref="C22:F22"/>
    <mergeCell ref="A27:B28"/>
    <mergeCell ref="C27:C28"/>
    <mergeCell ref="D27:E27"/>
    <mergeCell ref="F27:G27"/>
    <mergeCell ref="S2:U2"/>
    <mergeCell ref="S3:U3"/>
    <mergeCell ref="A22:B22"/>
    <mergeCell ref="B20:C20"/>
    <mergeCell ref="E20:F20"/>
    <mergeCell ref="B21:C21"/>
    <mergeCell ref="E21:F21"/>
    <mergeCell ref="B18:C18"/>
    <mergeCell ref="E18:F18"/>
    <mergeCell ref="B19:C19"/>
    <mergeCell ref="E19:F19"/>
    <mergeCell ref="B16:C16"/>
    <mergeCell ref="E16:F16"/>
    <mergeCell ref="B17:C17"/>
    <mergeCell ref="E17:F17"/>
    <mergeCell ref="A15:F15"/>
    <mergeCell ref="A11:B11"/>
    <mergeCell ref="G11:I11"/>
    <mergeCell ref="J11:K11"/>
    <mergeCell ref="A12:B12"/>
    <mergeCell ref="G12:I12"/>
    <mergeCell ref="J12:K12"/>
    <mergeCell ref="A9:B10"/>
    <mergeCell ref="C9:E10"/>
    <mergeCell ref="G9:I9"/>
    <mergeCell ref="J9:K9"/>
    <mergeCell ref="G10:I10"/>
    <mergeCell ref="J10:K10"/>
    <mergeCell ref="A1:C4"/>
    <mergeCell ref="A7:E7"/>
    <mergeCell ref="G7:I7"/>
    <mergeCell ref="J7:K7"/>
    <mergeCell ref="A8:B8"/>
    <mergeCell ref="C8:E8"/>
    <mergeCell ref="G8:I8"/>
    <mergeCell ref="J8:K8"/>
    <mergeCell ref="G6:L6"/>
  </mergeCells>
  <phoneticPr fontId="12" type="noConversion"/>
  <hyperlinks>
    <hyperlink ref="E46" r:id="rId1" xr:uid="{576EA6BC-0952-4D4B-A3CB-24421DB02845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7E68-9909-4231-BD5A-95BC6D559568}">
  <dimension ref="A1:G16"/>
  <sheetViews>
    <sheetView workbookViewId="0">
      <selection activeCell="G11" sqref="A1:G11"/>
    </sheetView>
  </sheetViews>
  <sheetFormatPr baseColWidth="10" defaultColWidth="11.3984375" defaultRowHeight="14" x14ac:dyDescent="0.3"/>
  <cols>
    <col min="1" max="1" width="8.09765625" customWidth="1"/>
    <col min="2" max="2" width="32.09765625" customWidth="1"/>
    <col min="3" max="3" width="23" customWidth="1"/>
    <col min="4" max="4" width="22" customWidth="1"/>
    <col min="5" max="5" width="25.69921875" customWidth="1"/>
    <col min="6" max="6" width="23.09765625" customWidth="1"/>
    <col min="7" max="7" width="26.59765625" customWidth="1"/>
  </cols>
  <sheetData>
    <row r="1" spans="1:7" x14ac:dyDescent="0.3">
      <c r="A1" s="101" t="s">
        <v>0</v>
      </c>
      <c r="B1" s="101"/>
    </row>
    <row r="2" spans="1:7" x14ac:dyDescent="0.3">
      <c r="A2" s="101"/>
      <c r="B2" s="101"/>
    </row>
    <row r="4" spans="1:7" ht="18" x14ac:dyDescent="0.3">
      <c r="A4" s="100" t="s">
        <v>67</v>
      </c>
      <c r="B4" s="100"/>
      <c r="C4" s="100"/>
      <c r="D4" s="100"/>
      <c r="E4" s="100"/>
      <c r="F4" s="100"/>
      <c r="G4" s="100"/>
    </row>
    <row r="5" spans="1:7" ht="36" thickBot="1" x14ac:dyDescent="0.35">
      <c r="A5" s="6" t="s">
        <v>68</v>
      </c>
      <c r="B5" s="7" t="s">
        <v>69</v>
      </c>
      <c r="C5" s="7" t="s">
        <v>28</v>
      </c>
      <c r="D5" s="20" t="s">
        <v>70</v>
      </c>
      <c r="E5" s="8" t="s">
        <v>21</v>
      </c>
      <c r="F5" s="21" t="s">
        <v>71</v>
      </c>
      <c r="G5" s="9" t="s">
        <v>4</v>
      </c>
    </row>
    <row r="6" spans="1:7" ht="40.85" thickBot="1" x14ac:dyDescent="0.35">
      <c r="A6" s="10">
        <v>1</v>
      </c>
      <c r="B6" s="11" t="s">
        <v>72</v>
      </c>
      <c r="C6" s="12" t="s">
        <v>73</v>
      </c>
      <c r="D6" s="12" t="s">
        <v>74</v>
      </c>
      <c r="E6" s="13" t="s">
        <v>6</v>
      </c>
      <c r="F6" s="13" t="s">
        <v>75</v>
      </c>
      <c r="G6" s="14" t="s">
        <v>76</v>
      </c>
    </row>
    <row r="7" spans="1:7" ht="15.05" thickBot="1" x14ac:dyDescent="0.35">
      <c r="A7" s="15">
        <v>2</v>
      </c>
      <c r="B7" s="16"/>
      <c r="C7" s="12"/>
      <c r="D7" s="12"/>
      <c r="E7" s="13"/>
      <c r="F7" s="13"/>
      <c r="G7" s="14"/>
    </row>
    <row r="8" spans="1:7" ht="15.05" thickBot="1" x14ac:dyDescent="0.35">
      <c r="A8" s="15">
        <v>3</v>
      </c>
      <c r="B8" s="16"/>
      <c r="C8" s="12"/>
      <c r="D8" s="12"/>
      <c r="E8" s="13"/>
      <c r="F8" s="13"/>
      <c r="G8" s="14"/>
    </row>
    <row r="9" spans="1:7" ht="15.05" thickBot="1" x14ac:dyDescent="0.35">
      <c r="A9" s="17">
        <v>4</v>
      </c>
      <c r="B9" s="16"/>
      <c r="C9" s="12"/>
      <c r="D9" s="12"/>
      <c r="E9" s="13"/>
      <c r="F9" s="13"/>
      <c r="G9" s="14"/>
    </row>
    <row r="10" spans="1:7" ht="15.05" thickBot="1" x14ac:dyDescent="0.35">
      <c r="A10" s="18">
        <v>5</v>
      </c>
      <c r="B10" s="16"/>
      <c r="C10" s="12"/>
      <c r="D10" s="12"/>
      <c r="E10" s="13"/>
      <c r="F10" s="13"/>
      <c r="G10" s="14"/>
    </row>
    <row r="11" spans="1:7" ht="15.05" thickBot="1" x14ac:dyDescent="0.35">
      <c r="A11" s="19" t="s">
        <v>77</v>
      </c>
      <c r="B11" s="16"/>
      <c r="C11" s="12"/>
      <c r="D11" s="12"/>
      <c r="E11" s="13"/>
      <c r="F11" s="13"/>
      <c r="G11" s="14"/>
    </row>
    <row r="16" spans="1:7" ht="14.4" x14ac:dyDescent="0.3">
      <c r="D16" s="22" t="s">
        <v>78</v>
      </c>
    </row>
  </sheetData>
  <mergeCells count="2">
    <mergeCell ref="A4:G4"/>
    <mergeCell ref="A1:B2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76A94F-FA7C-406C-AEDE-EC20D602B2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113D8F-F46D-4602-B610-E19421A883FC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f1020bcf-9500-4749-8c84-b23cf1385772"/>
    <ds:schemaRef ds:uri="http://www.w3.org/XML/1998/namespace"/>
    <ds:schemaRef ds:uri="http://schemas.microsoft.com/office/infopath/2007/PartnerControls"/>
    <ds:schemaRef ds:uri="7a0a35da-276e-4c8e-b365-e7c47df80865"/>
  </ds:schemaRefs>
</ds:datastoreItem>
</file>

<file path=customXml/itemProps3.xml><?xml version="1.0" encoding="utf-8"?>
<ds:datastoreItem xmlns:ds="http://schemas.openxmlformats.org/officeDocument/2006/customXml" ds:itemID="{69C62DBA-C395-427A-9008-3A5AB0227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Historial de versiones</vt:lpstr>
      <vt:lpstr>1.-Análisis de decisión</vt:lpstr>
      <vt:lpstr>Registro de decisiones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Alatorre</dc:creator>
  <cp:keywords/>
  <dc:description/>
  <cp:lastModifiedBy>Tania López</cp:lastModifiedBy>
  <cp:revision/>
  <dcterms:created xsi:type="dcterms:W3CDTF">2023-01-17T15:27:47Z</dcterms:created>
  <dcterms:modified xsi:type="dcterms:W3CDTF">2024-03-13T17:39:41Z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