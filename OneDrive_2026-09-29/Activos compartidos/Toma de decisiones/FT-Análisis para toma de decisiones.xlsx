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Shared/Toma de decisiones/"/>
    </mc:Choice>
  </mc:AlternateContent>
  <xr:revisionPtr revIDLastSave="493" documentId="8_{3ACB145B-1BC2-4417-9B29-B160A19A86ED}" xr6:coauthVersionLast="47" xr6:coauthVersionMax="47" xr10:uidLastSave="{09E0BE3C-17D3-4DAF-92ED-C7C6496A318C}"/>
  <bookViews>
    <workbookView xWindow="1570" yWindow="10690" windowWidth="22620" windowHeight="14220" activeTab="2" xr2:uid="{C6E85BE1-1B33-4BB0-9FE2-BC8A8F337D2C}"/>
  </bookViews>
  <sheets>
    <sheet name="Historial de versiones" sheetId="3" r:id="rId1"/>
    <sheet name="Lista" sheetId="10" state="hidden" r:id="rId2"/>
    <sheet name="1.-Análisis de decisión" sheetId="9" r:id="rId3"/>
    <sheet name="Registro de decisione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9" l="1"/>
  <c r="G22" i="9"/>
  <c r="I22" i="9"/>
  <c r="E23" i="9"/>
  <c r="G23" i="9"/>
  <c r="I23" i="9"/>
  <c r="E24" i="9"/>
  <c r="G24" i="9"/>
  <c r="I24" i="9"/>
  <c r="E25" i="9"/>
  <c r="G25" i="9"/>
  <c r="I25" i="9"/>
  <c r="E26" i="9"/>
  <c r="G26" i="9"/>
  <c r="I26" i="9"/>
  <c r="D27" i="9" l="1"/>
  <c r="F27" i="9"/>
  <c r="H2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J3" authorId="0" shapeId="0" xr:uid="{20A1B33B-95EB-418A-A80A-CF4BCB938820}">
      <text>
        <r>
          <rPr>
            <sz val="9"/>
            <color indexed="81"/>
            <rFont val="Tahoma"/>
            <family val="2"/>
          </rPr>
          <t>Puesto que desempeña en la organización</t>
        </r>
      </text>
    </comment>
    <comment ref="L3" authorId="0" shapeId="0" xr:uid="{D9553756-A902-41C5-AE43-FD83E1A8F067}">
      <text>
        <r>
          <rPr>
            <sz val="9"/>
            <color indexed="81"/>
            <rFont val="Tahoma"/>
            <family val="2"/>
          </rPr>
          <t>Rol que desempeña en el análisis de decisiones</t>
        </r>
      </text>
    </comment>
    <comment ref="A7" authorId="1" shapeId="0" xr:uid="{CE9315C1-D747-46BA-9407-F1F7E51C4AF0}">
      <text>
        <r>
          <rPr>
            <sz val="11"/>
            <color theme="1"/>
            <rFont val="Calibri"/>
            <family val="2"/>
            <scheme val="minor"/>
          </rPr>
          <t>1-Requisitos
2.-Análisis 
3.-Diseño
4.-Codificación
5.-Prueba</t>
        </r>
      </text>
    </comment>
    <comment ref="D7" authorId="1" shapeId="0" xr:uid="{C34194B4-3BB0-48DC-B9B3-48062825C34D}">
      <text>
        <r>
          <rPr>
            <sz val="11"/>
            <color theme="1"/>
            <rFont val="Calibri"/>
            <family val="2"/>
            <scheme val="minor"/>
          </rPr>
          <t>El orden y codificación de la fecha queda a política de la empresa</t>
        </r>
      </text>
    </comment>
    <comment ref="A8" authorId="1" shapeId="0" xr:uid="{357739D3-D70F-43A5-9A22-3E33B6D04A0F}">
      <text>
        <r>
          <rPr>
            <sz val="11"/>
            <color theme="1"/>
            <rFont val="Calibri"/>
            <family val="2"/>
            <scheme val="minor"/>
          </rPr>
          <t>Organizacional = Interno
Proyecto = Externo</t>
        </r>
      </text>
    </comment>
    <comment ref="A12" authorId="1" shapeId="0" xr:uid="{C2036156-204F-4B0F-B630-AEF0D694E7EE}">
      <text>
        <r>
          <rPr>
            <sz val="11"/>
            <color theme="1"/>
            <rFont val="Calibri"/>
            <family val="2"/>
            <scheme val="minor"/>
          </rPr>
          <t xml:space="preserve">Ordenar de mayor a menor importancia </t>
        </r>
      </text>
    </comment>
    <comment ref="D12" authorId="0" shapeId="0" xr:uid="{F29F10FB-21B7-469B-87D9-EE03D5EE6037}">
      <text>
        <r>
          <rPr>
            <sz val="9"/>
            <color indexed="81"/>
            <rFont val="Tahoma"/>
            <family val="2"/>
          </rPr>
          <t>Modificar la escala o rangos que mejor se adecue al análisis</t>
        </r>
      </text>
    </comment>
    <comment ref="E12" authorId="0" shapeId="0" xr:uid="{064EBF80-651A-4B4F-9D82-B96A6DDE8685}">
      <text>
        <r>
          <rPr>
            <sz val="9"/>
            <color indexed="81"/>
            <rFont val="Tahoma"/>
            <family val="2"/>
          </rPr>
          <t>Descripción de los valores en el rango o escala</t>
        </r>
      </text>
    </comment>
    <comment ref="A20" authorId="0" shapeId="0" xr:uid="{8FE7B98D-2270-4DB3-9720-7B36A704507B}">
      <text>
        <r>
          <rPr>
            <sz val="9"/>
            <color indexed="81"/>
            <rFont val="Tahoma"/>
            <family val="2"/>
          </rPr>
          <t>Criterios de decisión que se utilizarán para calificar las alternativas.</t>
        </r>
      </text>
    </comment>
    <comment ref="D20" authorId="0" shapeId="0" xr:uid="{FAEBF2F4-FA76-42E3-8D18-7C9123F028C1}">
      <text>
        <r>
          <rPr>
            <sz val="9"/>
            <color indexed="81"/>
            <rFont val="Tahoma"/>
            <family val="2"/>
          </rPr>
          <t>Registrar las alternativas a analizar, agregar alternativas de ser necesario, mínimo se requieren dos alternativas.</t>
        </r>
      </text>
    </comment>
    <comment ref="A34" authorId="0" shapeId="0" xr:uid="{0913BA23-8EAB-4035-9B53-F4822D70AAFE}">
      <text>
        <r>
          <rPr>
            <sz val="9"/>
            <color indexed="81"/>
            <rFont val="Tahoma"/>
            <family val="2"/>
          </rPr>
          <t>Criterios para seleccionar alternativas</t>
        </r>
      </text>
    </comment>
    <comment ref="C34" authorId="0" shapeId="0" xr:uid="{82DB6856-746D-4A7A-9406-436C52577CA0}">
      <text>
        <r>
          <rPr>
            <sz val="9"/>
            <color indexed="81"/>
            <rFont val="Tahoma"/>
            <family val="2"/>
          </rPr>
          <t>Qué método se utilizó para comparar opciones y elegir alternativas</t>
        </r>
      </text>
    </comment>
    <comment ref="E34" authorId="0" shapeId="0" xr:uid="{072953E5-53B3-46B4-8A22-393F196595B4}">
      <text>
        <r>
          <rPr>
            <sz val="9"/>
            <color indexed="81"/>
            <rFont val="Tahoma"/>
            <family val="2"/>
          </rPr>
          <t>Descripción detallada de las opciones, su método de comparación y cual fue seleccionada como Alternativa.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Lopez</author>
  </authors>
  <commentList>
    <comment ref="C5" authorId="0" shapeId="0" xr:uid="{CE948D60-2F52-4591-9807-DF6937480295}">
      <text>
        <r>
          <rPr>
            <b/>
            <sz val="9"/>
            <color rgb="FF000000"/>
            <rFont val="Tahoma"/>
            <family val="2"/>
          </rPr>
          <t>Nombre del proyecto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<sst xmlns="http://schemas.openxmlformats.org/spreadsheetml/2006/main" count="113" uniqueCount="85">
  <si>
    <t>Logo de la empresa</t>
  </si>
  <si>
    <t>Historial de versiones</t>
  </si>
  <si>
    <t>Fecha</t>
  </si>
  <si>
    <t>Versión</t>
  </si>
  <si>
    <t>Descripción</t>
  </si>
  <si>
    <t>Autor</t>
  </si>
  <si>
    <t>&lt;Nombre y apellido&gt;</t>
  </si>
  <si>
    <t>Nivel</t>
  </si>
  <si>
    <t>Rol</t>
  </si>
  <si>
    <t>Organizacional</t>
  </si>
  <si>
    <t>Líder de decisión</t>
  </si>
  <si>
    <t>Proyecto</t>
  </si>
  <si>
    <t>Aprobador</t>
  </si>
  <si>
    <t>Facilitador</t>
  </si>
  <si>
    <t>Participantes</t>
  </si>
  <si>
    <t>Registro de Decisión</t>
  </si>
  <si>
    <t>Participantes de la Decisión</t>
  </si>
  <si>
    <t>Puesto</t>
  </si>
  <si>
    <t>ID:</t>
  </si>
  <si>
    <t>Objetivo:</t>
  </si>
  <si>
    <t>Fecha inicio:</t>
  </si>
  <si>
    <t>Nivel:</t>
  </si>
  <si>
    <t>Fecha fin:</t>
  </si>
  <si>
    <t>Criterios de Decisión</t>
  </si>
  <si>
    <t>Importancia (factor)</t>
  </si>
  <si>
    <t>Criterio (Ordenados en nivel de importancia)</t>
  </si>
  <si>
    <t>Escala / Rango</t>
  </si>
  <si>
    <t>Valoración</t>
  </si>
  <si>
    <t>1 a 10</t>
  </si>
  <si>
    <t xml:space="preserve">1 a 5 </t>
  </si>
  <si>
    <t>Resultado de análisis</t>
  </si>
  <si>
    <t>Evaluación de alternativas</t>
  </si>
  <si>
    <t xml:space="preserve">Criterios </t>
  </si>
  <si>
    <t>Escala/ Rango</t>
  </si>
  <si>
    <t>Total</t>
  </si>
  <si>
    <t>Solución elegida</t>
  </si>
  <si>
    <t>Justificación</t>
  </si>
  <si>
    <t>Método de evaluación</t>
  </si>
  <si>
    <t>Criterio</t>
  </si>
  <si>
    <t>Método</t>
  </si>
  <si>
    <t>Resultados de evaluación</t>
  </si>
  <si>
    <t>Registro de decisiones</t>
  </si>
  <si>
    <t>Nro.</t>
  </si>
  <si>
    <t>Área</t>
  </si>
  <si>
    <t>Nombre de decisión</t>
  </si>
  <si>
    <t>Proyecto / Organizacional / Servicio</t>
  </si>
  <si>
    <t>&lt;Nombre del proyecto, en caso de que el nivel sea organizacional&gt;</t>
  </si>
  <si>
    <t>&lt;Área o departamento involucrada&gt;</t>
  </si>
  <si>
    <t>&lt;Leyenda identificatoria del asunto sobre el que se decide&gt;</t>
  </si>
  <si>
    <t>&lt;Descripción del asunto sobre el que se va a decidir&gt;</t>
  </si>
  <si>
    <t>n</t>
  </si>
  <si>
    <t>Separar en otro Doc.</t>
  </si>
  <si>
    <t>Nombre de identificación</t>
  </si>
  <si>
    <t>Etapa en la que se encuentra el proyecto</t>
  </si>
  <si>
    <t>día/mes/año</t>
  </si>
  <si>
    <t>Nombre Completo</t>
  </si>
  <si>
    <t>Criterio2</t>
  </si>
  <si>
    <t>Criterio3</t>
  </si>
  <si>
    <t>Criterio"n"</t>
  </si>
  <si>
    <t>1 compleja, 5 fácil</t>
  </si>
  <si>
    <t>Resultado de análisis, alternativa ganadora</t>
  </si>
  <si>
    <t>Criterio4</t>
  </si>
  <si>
    <t>Solución que se eligió, esta puede ser la que obtuvo mayor puntaje o no</t>
  </si>
  <si>
    <t>Motivo por el cual se eligió la alternativa</t>
  </si>
  <si>
    <t>Nombre y apellido</t>
  </si>
  <si>
    <t>Descripción de los cambios realizados en el documento</t>
  </si>
  <si>
    <t>Número de la versión v.v</t>
  </si>
  <si>
    <t>dd/mm/aaaa</t>
  </si>
  <si>
    <t>Alcance a nivel proyecto.</t>
  </si>
  <si>
    <t>Fase:</t>
  </si>
  <si>
    <t>Si se cuenta un sistema de versionado eliminar esta página</t>
  </si>
  <si>
    <t>Precio</t>
  </si>
  <si>
    <t>Facilidad de uso</t>
  </si>
  <si>
    <t>Velocidad de entrega</t>
  </si>
  <si>
    <t>1 a 5</t>
  </si>
  <si>
    <t>Elegir un software para proyectos</t>
  </si>
  <si>
    <t>Jira</t>
  </si>
  <si>
    <t>Asana</t>
  </si>
  <si>
    <t>Taiga</t>
  </si>
  <si>
    <t>1 alto costo, 5 bajo costo</t>
  </si>
  <si>
    <t>1 más difícil, 10 más fácil</t>
  </si>
  <si>
    <t>Tanto taiga como Asana son completamente gratuitos, es decir que no hay funcionalidades bloqueadas atras de un pago. Sin embargo, Jira, no es muy costoso.</t>
  </si>
  <si>
    <t>Investigación de segmento "pricing" en sitios web correspondientes</t>
  </si>
  <si>
    <t>Pruebas sobre la plataforma</t>
  </si>
  <si>
    <t>Jira tiene un diseño inutitivo que permite realizar la planeaci{on de un proyecto sin detenerse mucho a investigar la documentaci{ón. Taiga, por el contrario, no tiene mucha documentación y algunas cosas requieren conocimientos técncicos de la plataforma para operarla 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</si>
</sst>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0"/>
      <name val="Times New Roman"/>
      <family val="1"/>
    </font>
    <font>
      <sz val="10"/>
      <name val="Times New Roman"/>
      <family val="1"/>
    </font>
    <font>
      <b/>
      <sz val="14"/>
      <color theme="0"/>
      <name val="Calibri"/>
      <family val="2"/>
    </font>
    <font>
      <sz val="10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i/>
      <sz val="10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i/>
      <sz val="11"/>
      <color theme="1" tint="0.249977111117893"/>
      <name val="Calibri"/>
      <family val="2"/>
    </font>
    <font>
      <b/>
      <i/>
      <sz val="11"/>
      <color theme="1" tint="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18" xfId="0" applyBorder="1" applyAlignment="1">
      <alignment horizontal="center" wrapText="1"/>
    </xf>
    <xf numFmtId="0" fontId="1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0" xfId="0" applyBorder="1"/>
    <xf numFmtId="0" fontId="15" fillId="6" borderId="20" xfId="0" applyFont="1" applyFill="1" applyBorder="1"/>
    <xf numFmtId="0" fontId="14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1" xfId="0" applyBorder="1"/>
    <xf numFmtId="0" fontId="11" fillId="7" borderId="1" xfId="0" applyFont="1" applyFill="1" applyBorder="1"/>
    <xf numFmtId="0" fontId="11" fillId="0" borderId="1" xfId="0" applyFont="1" applyBorder="1" applyAlignment="1">
      <alignment horizontal="center" vertical="center"/>
    </xf>
    <xf numFmtId="0" fontId="12" fillId="0" borderId="18" xfId="0" applyFont="1" applyBorder="1"/>
    <xf numFmtId="0" fontId="0" fillId="9" borderId="0" xfId="0" applyFill="1"/>
    <xf numFmtId="0" fontId="10" fillId="2" borderId="1" xfId="0" applyFont="1" applyFill="1" applyBorder="1" applyAlignment="1" applyProtection="1">
      <alignment horizontal="left" vertical="center" wrapText="1"/>
      <protection locked="0"/>
    </xf>
    <xf numFmtId="0" fontId="2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23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0" xfId="0" applyBorder="1"/>
    <xf numFmtId="0" fontId="28" fillId="5" borderId="1" xfId="0" applyFont="1" applyFill="1" applyBorder="1" applyAlignment="1" applyProtection="1">
      <alignment horizontal="left" vertical="center" wrapText="1"/>
      <protection locked="0"/>
    </xf>
    <xf numFmtId="14" fontId="28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8" fillId="0" borderId="1" xfId="0" applyFont="1" applyBorder="1"/>
    <xf numFmtId="0" fontId="18" fillId="12" borderId="1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7" fillId="11" borderId="23" xfId="0" applyFont="1" applyFill="1" applyBorder="1" applyAlignment="1">
      <alignment horizontal="center"/>
    </xf>
    <xf numFmtId="0" fontId="18" fillId="0" borderId="1" xfId="0" applyFont="1" applyBorder="1" applyAlignment="1" applyProtection="1">
      <alignment horizontal="left" vertical="center"/>
      <protection locked="0"/>
    </xf>
    <xf numFmtId="0" fontId="23" fillId="8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 applyProtection="1">
      <alignment horizontal="left" wrapText="1"/>
      <protection locked="0"/>
    </xf>
    <xf numFmtId="0" fontId="28" fillId="5" borderId="1" xfId="0" applyFont="1" applyFill="1" applyBorder="1" applyAlignment="1" applyProtection="1">
      <alignment horizontal="left" wrapText="1"/>
      <protection locked="0"/>
    </xf>
    <xf numFmtId="0" fontId="23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 applyProtection="1">
      <alignment horizontal="left" vertical="center" wrapText="1"/>
      <protection locked="0"/>
    </xf>
    <xf numFmtId="0" fontId="29" fillId="2" borderId="1" xfId="0" applyFont="1" applyFill="1" applyBorder="1" applyAlignment="1" applyProtection="1">
      <alignment horizontal="left" vertical="center" wrapText="1"/>
      <protection locked="0"/>
    </xf>
    <xf numFmtId="0" fontId="27" fillId="11" borderId="1" xfId="0" applyFont="1" applyFill="1" applyBorder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8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 applyProtection="1">
      <alignment horizontal="center" vertical="center" wrapText="1"/>
      <protection locked="0"/>
    </xf>
    <xf numFmtId="0" fontId="22" fillId="7" borderId="4" xfId="0" applyFont="1" applyFill="1" applyBorder="1" applyAlignment="1">
      <alignment horizontal="center" vertical="top" wrapText="1"/>
    </xf>
    <xf numFmtId="0" fontId="22" fillId="7" borderId="3" xfId="0" applyFont="1" applyFill="1" applyBorder="1" applyAlignment="1">
      <alignment horizontal="center" vertical="top" wrapText="1"/>
    </xf>
    <xf numFmtId="0" fontId="22" fillId="7" borderId="2" xfId="0" applyFont="1" applyFill="1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 vertical="center"/>
    </xf>
    <xf numFmtId="0" fontId="19" fillId="0" borderId="1" xfId="0" applyFont="1" applyBorder="1" applyAlignment="1" applyProtection="1">
      <alignment horizontal="center" vertical="top" wrapText="1"/>
      <protection locked="0"/>
    </xf>
    <xf numFmtId="0" fontId="0" fillId="0" borderId="1" xfId="0" applyFont="1" applyBorder="1" applyAlignment="1" applyProtection="1">
      <alignment horizontal="center" vertical="top" wrapText="1"/>
      <protection locked="0"/>
    </xf>
    <xf numFmtId="0" fontId="0" fillId="0" borderId="4" xfId="0" applyFont="1" applyBorder="1" applyAlignment="1" applyProtection="1">
      <alignment horizontal="center" vertical="top" wrapText="1"/>
      <protection locked="0"/>
    </xf>
    <xf numFmtId="0" fontId="0" fillId="0" borderId="2" xfId="0" applyFont="1" applyBorder="1" applyAlignment="1" applyProtection="1">
      <alignment horizontal="center" vertical="top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24" fillId="7" borderId="20" xfId="0" applyFont="1" applyFill="1" applyBorder="1" applyAlignment="1">
      <alignment horizontal="center" vertical="center" wrapText="1"/>
    </xf>
    <xf numFmtId="0" fontId="25" fillId="7" borderId="21" xfId="0" applyFont="1" applyFill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12" borderId="1" xfId="0" applyFont="1" applyFill="1" applyBorder="1" applyAlignment="1" applyProtection="1">
      <alignment horizontal="center" vertical="top" wrapText="1"/>
      <protection locked="0"/>
    </xf>
    <xf numFmtId="0" fontId="27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12" borderId="1" xfId="0" applyFont="1" applyFill="1" applyBorder="1" applyAlignment="1" applyProtection="1">
      <alignment horizontal="center" vertical="top" wrapText="1"/>
      <protection locked="0"/>
    </xf>
    <xf numFmtId="0" fontId="18" fillId="12" borderId="1" xfId="0" applyFont="1" applyFill="1" applyBorder="1" applyAlignment="1" applyProtection="1">
      <alignment horizontal="left" vertical="center"/>
      <protection locked="0"/>
    </xf>
    <xf numFmtId="0" fontId="28" fillId="13" borderId="1" xfId="0" applyFont="1" applyFill="1" applyBorder="1" applyAlignment="1" applyProtection="1">
      <alignment horizontal="left" vertical="center" wrapText="1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13" fillId="12" borderId="1" xfId="0" applyFont="1" applyFill="1" applyBorder="1" applyAlignment="1" applyProtection="1">
      <alignment horizontal="center" vertical="center"/>
      <protection locked="0"/>
    </xf>
    <xf numFmtId="0" fontId="19" fillId="12" borderId="1" xfId="0" applyFont="1" applyFill="1" applyBorder="1" applyAlignment="1" applyProtection="1">
      <alignment horizontal="center" vertical="top" wrapText="1"/>
      <protection locked="0"/>
    </xf>
    <xf numFmtId="0" fontId="0" fillId="12" borderId="4" xfId="0" applyFont="1" applyFill="1" applyBorder="1" applyAlignment="1" applyProtection="1">
      <alignment horizontal="center" vertical="top" wrapText="1"/>
      <protection locked="0"/>
    </xf>
    <xf numFmtId="0" fontId="0" fillId="12" borderId="2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94EE-BFE4-49C7-87AE-89089A5918DA}">
  <dimension ref="A1:D14"/>
  <sheetViews>
    <sheetView showGridLines="0" workbookViewId="0">
      <selection activeCell="B19" sqref="B19"/>
    </sheetView>
  </sheetViews>
  <sheetFormatPr defaultColWidth="11.42578125" defaultRowHeight="15" x14ac:dyDescent="0.25"/>
  <cols>
    <col min="1" max="1" width="20.28515625" customWidth="1"/>
    <col min="2" max="2" width="23.5703125" customWidth="1"/>
    <col min="3" max="3" width="53.140625" customWidth="1"/>
    <col min="4" max="4" width="20" customWidth="1"/>
  </cols>
  <sheetData>
    <row r="1" spans="1:4" x14ac:dyDescent="0.25">
      <c r="A1" s="48" t="s">
        <v>0</v>
      </c>
      <c r="B1" s="48"/>
      <c r="C1" s="43"/>
    </row>
    <row r="2" spans="1:4" ht="38.1" customHeight="1" x14ac:dyDescent="0.25">
      <c r="A2" s="48"/>
      <c r="B2" s="48"/>
      <c r="C2" s="43"/>
    </row>
    <row r="3" spans="1:4" ht="30" customHeight="1" x14ac:dyDescent="0.25">
      <c r="A3" s="50" t="s">
        <v>68</v>
      </c>
      <c r="B3" s="50"/>
    </row>
    <row r="4" spans="1:4" x14ac:dyDescent="0.25">
      <c r="A4" s="51"/>
      <c r="B4" s="51"/>
    </row>
    <row r="6" spans="1:4" ht="18.75" x14ac:dyDescent="0.3">
      <c r="A6" s="49" t="s">
        <v>1</v>
      </c>
      <c r="B6" s="49"/>
      <c r="C6" s="49"/>
      <c r="D6" s="49"/>
    </row>
    <row r="8" spans="1:4" ht="18.75" x14ac:dyDescent="0.25">
      <c r="A8" s="37" t="s">
        <v>2</v>
      </c>
      <c r="B8" s="37" t="s">
        <v>3</v>
      </c>
      <c r="C8" s="37" t="s">
        <v>4</v>
      </c>
      <c r="D8" s="37" t="s">
        <v>5</v>
      </c>
    </row>
    <row r="9" spans="1:4" ht="33" customHeight="1" x14ac:dyDescent="0.25">
      <c r="A9" s="38" t="s">
        <v>67</v>
      </c>
      <c r="B9" s="39" t="s">
        <v>66</v>
      </c>
      <c r="C9" s="38" t="s">
        <v>65</v>
      </c>
      <c r="D9" s="38" t="s">
        <v>64</v>
      </c>
    </row>
    <row r="10" spans="1:4" ht="32.450000000000003" customHeight="1" x14ac:dyDescent="0.25">
      <c r="A10" s="40"/>
      <c r="B10" s="41"/>
      <c r="C10" s="42"/>
      <c r="D10" s="40"/>
    </row>
    <row r="11" spans="1:4" ht="31.9" customHeight="1" x14ac:dyDescent="0.25">
      <c r="A11" s="40"/>
      <c r="B11" s="41"/>
      <c r="C11" s="42"/>
      <c r="D11" s="40"/>
    </row>
    <row r="12" spans="1:4" ht="33" customHeight="1" x14ac:dyDescent="0.25">
      <c r="A12" s="40"/>
      <c r="B12" s="41"/>
      <c r="C12" s="42"/>
      <c r="D12" s="40"/>
    </row>
    <row r="14" spans="1:4" x14ac:dyDescent="0.25">
      <c r="A14" t="s">
        <v>70</v>
      </c>
    </row>
  </sheetData>
  <mergeCells count="3">
    <mergeCell ref="A1:B2"/>
    <mergeCell ref="A6:D6"/>
    <mergeCell ref="A3:B4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6A33-CCAD-4EBF-A768-874725DC6684}">
  <dimension ref="B2:D5"/>
  <sheetViews>
    <sheetView workbookViewId="0"/>
  </sheetViews>
  <sheetFormatPr defaultColWidth="11.42578125" defaultRowHeight="15" x14ac:dyDescent="0.25"/>
  <cols>
    <col min="2" max="2" width="19.7109375" customWidth="1"/>
    <col min="4" max="4" width="15.42578125" customWidth="1"/>
  </cols>
  <sheetData>
    <row r="2" spans="2:4" x14ac:dyDescent="0.25">
      <c r="B2" s="22" t="s">
        <v>7</v>
      </c>
      <c r="D2" s="26" t="s">
        <v>8</v>
      </c>
    </row>
    <row r="3" spans="2:4" x14ac:dyDescent="0.25">
      <c r="B3" s="21" t="s">
        <v>9</v>
      </c>
      <c r="D3" s="25" t="s">
        <v>10</v>
      </c>
    </row>
    <row r="4" spans="2:4" x14ac:dyDescent="0.25">
      <c r="B4" s="21" t="s">
        <v>11</v>
      </c>
      <c r="D4" s="25" t="s">
        <v>12</v>
      </c>
    </row>
    <row r="5" spans="2:4" x14ac:dyDescent="0.25">
      <c r="D5" s="2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38BE-785B-4B3B-8F59-8E0BC7F7BBB9}">
  <sheetPr>
    <pageSetUpPr fitToPage="1"/>
  </sheetPr>
  <dimension ref="A1:L39"/>
  <sheetViews>
    <sheetView showGridLines="0" tabSelected="1" topLeftCell="A24" zoomScale="130" zoomScaleNormal="130" workbookViewId="0">
      <selection activeCell="I11" sqref="I11"/>
    </sheetView>
  </sheetViews>
  <sheetFormatPr defaultColWidth="11.42578125" defaultRowHeight="15" x14ac:dyDescent="0.25"/>
  <cols>
    <col min="1" max="1" width="13.140625" customWidth="1"/>
    <col min="2" max="2" width="3.5703125" customWidth="1"/>
    <col min="3" max="3" width="16.42578125" customWidth="1"/>
    <col min="5" max="5" width="13.140625" customWidth="1"/>
    <col min="12" max="12" width="16.42578125" customWidth="1"/>
    <col min="20" max="20" width="14.85546875" customWidth="1"/>
    <col min="21" max="21" width="25.28515625" customWidth="1"/>
  </cols>
  <sheetData>
    <row r="1" spans="1:12" ht="9.6" customHeight="1" x14ac:dyDescent="0.25"/>
    <row r="2" spans="1:12" ht="16.899999999999999" customHeight="1" x14ac:dyDescent="0.25">
      <c r="G2" s="52" t="s">
        <v>14</v>
      </c>
      <c r="H2" s="52"/>
      <c r="I2" s="52"/>
      <c r="J2" s="52"/>
      <c r="K2" s="52"/>
      <c r="L2" s="52"/>
    </row>
    <row r="3" spans="1:12" ht="15.75" x14ac:dyDescent="0.25">
      <c r="A3" s="59" t="s">
        <v>15</v>
      </c>
      <c r="B3" s="59"/>
      <c r="C3" s="59"/>
      <c r="D3" s="59"/>
      <c r="E3" s="59"/>
      <c r="G3" s="54" t="s">
        <v>16</v>
      </c>
      <c r="H3" s="54"/>
      <c r="I3" s="54"/>
      <c r="J3" s="54" t="s">
        <v>17</v>
      </c>
      <c r="K3" s="54"/>
      <c r="L3" s="36" t="s">
        <v>8</v>
      </c>
    </row>
    <row r="4" spans="1:12" ht="31.15" customHeight="1" x14ac:dyDescent="0.25">
      <c r="A4" s="57" t="s">
        <v>18</v>
      </c>
      <c r="B4" s="58"/>
      <c r="C4" s="60" t="s">
        <v>52</v>
      </c>
      <c r="D4" s="61"/>
      <c r="E4" s="61"/>
      <c r="G4" s="55" t="s">
        <v>55</v>
      </c>
      <c r="H4" s="55"/>
      <c r="I4" s="55"/>
      <c r="J4" s="56" t="s">
        <v>17</v>
      </c>
      <c r="K4" s="56"/>
      <c r="L4" s="46"/>
    </row>
    <row r="5" spans="1:12" ht="14.45" customHeight="1" x14ac:dyDescent="0.25">
      <c r="A5" s="57" t="s">
        <v>19</v>
      </c>
      <c r="B5" s="58"/>
      <c r="C5" s="87" t="s">
        <v>75</v>
      </c>
      <c r="D5" s="87"/>
      <c r="E5" s="87"/>
      <c r="G5" s="55" t="s">
        <v>55</v>
      </c>
      <c r="H5" s="55"/>
      <c r="I5" s="55"/>
      <c r="J5" s="56" t="s">
        <v>17</v>
      </c>
      <c r="K5" s="56"/>
      <c r="L5" s="46"/>
    </row>
    <row r="6" spans="1:12" ht="14.45" customHeight="1" x14ac:dyDescent="0.25">
      <c r="A6" s="58"/>
      <c r="B6" s="58"/>
      <c r="C6" s="87"/>
      <c r="D6" s="87"/>
      <c r="E6" s="87"/>
      <c r="G6" s="55" t="s">
        <v>55</v>
      </c>
      <c r="H6" s="55"/>
      <c r="I6" s="55"/>
      <c r="J6" s="56" t="s">
        <v>17</v>
      </c>
      <c r="K6" s="56"/>
      <c r="L6" s="46"/>
    </row>
    <row r="7" spans="1:12" ht="38.25" x14ac:dyDescent="0.25">
      <c r="A7" s="57" t="s">
        <v>69</v>
      </c>
      <c r="B7" s="58"/>
      <c r="C7" s="44" t="s">
        <v>53</v>
      </c>
      <c r="D7" s="34" t="s">
        <v>20</v>
      </c>
      <c r="E7" s="45" t="s">
        <v>54</v>
      </c>
      <c r="G7" s="55" t="s">
        <v>55</v>
      </c>
      <c r="H7" s="55"/>
      <c r="I7" s="55"/>
      <c r="J7" s="56" t="s">
        <v>17</v>
      </c>
      <c r="K7" s="56"/>
      <c r="L7" s="46"/>
    </row>
    <row r="8" spans="1:12" ht="27.6" customHeight="1" x14ac:dyDescent="0.25">
      <c r="A8" s="58" t="s">
        <v>21</v>
      </c>
      <c r="B8" s="58"/>
      <c r="C8" s="30"/>
      <c r="D8" s="34" t="s">
        <v>22</v>
      </c>
      <c r="E8" s="45" t="s">
        <v>54</v>
      </c>
      <c r="G8" s="55" t="s">
        <v>55</v>
      </c>
      <c r="H8" s="55"/>
      <c r="I8" s="55"/>
      <c r="J8" s="56" t="s">
        <v>17</v>
      </c>
      <c r="K8" s="56"/>
      <c r="L8" s="46"/>
    </row>
    <row r="11" spans="1:12" ht="15.75" x14ac:dyDescent="0.25">
      <c r="A11" s="82" t="s">
        <v>23</v>
      </c>
      <c r="B11" s="82"/>
      <c r="C11" s="82"/>
      <c r="D11" s="82"/>
      <c r="E11" s="82"/>
      <c r="F11" s="82"/>
    </row>
    <row r="12" spans="1:12" ht="25.5" x14ac:dyDescent="0.25">
      <c r="A12" s="33" t="s">
        <v>24</v>
      </c>
      <c r="B12" s="54" t="s">
        <v>25</v>
      </c>
      <c r="C12" s="54"/>
      <c r="D12" s="33" t="s">
        <v>26</v>
      </c>
      <c r="E12" s="54" t="s">
        <v>27</v>
      </c>
      <c r="F12" s="54"/>
    </row>
    <row r="13" spans="1:12" ht="14.45" customHeight="1" x14ac:dyDescent="0.25">
      <c r="A13" s="31">
        <v>3</v>
      </c>
      <c r="B13" s="81" t="s">
        <v>71</v>
      </c>
      <c r="C13" s="81"/>
      <c r="D13" s="47" t="s">
        <v>74</v>
      </c>
      <c r="E13" s="86" t="s">
        <v>79</v>
      </c>
      <c r="F13" s="86"/>
    </row>
    <row r="14" spans="1:12" x14ac:dyDescent="0.25">
      <c r="A14" s="31">
        <v>2</v>
      </c>
      <c r="B14" s="81" t="s">
        <v>72</v>
      </c>
      <c r="C14" s="81"/>
      <c r="D14" s="47" t="s">
        <v>28</v>
      </c>
      <c r="E14" s="86" t="s">
        <v>80</v>
      </c>
      <c r="F14" s="86"/>
      <c r="J14" s="29"/>
    </row>
    <row r="15" spans="1:12" x14ac:dyDescent="0.25">
      <c r="A15" s="31">
        <v>1</v>
      </c>
      <c r="B15" s="81" t="s">
        <v>73</v>
      </c>
      <c r="C15" s="81"/>
      <c r="D15" s="32" t="s">
        <v>29</v>
      </c>
      <c r="E15" s="53" t="s">
        <v>59</v>
      </c>
      <c r="F15" s="53"/>
    </row>
    <row r="16" spans="1:12" ht="35.25" customHeight="1" x14ac:dyDescent="0.25">
      <c r="A16" s="77" t="s">
        <v>30</v>
      </c>
      <c r="B16" s="78"/>
      <c r="C16" s="79" t="s">
        <v>60</v>
      </c>
      <c r="D16" s="80"/>
      <c r="E16" s="80"/>
      <c r="F16" s="80"/>
      <c r="H16" s="23"/>
    </row>
    <row r="19" spans="1:9" ht="15.75" x14ac:dyDescent="0.25">
      <c r="A19" s="62" t="s">
        <v>31</v>
      </c>
      <c r="B19" s="62"/>
      <c r="C19" s="62"/>
      <c r="D19" s="62"/>
      <c r="E19" s="62"/>
      <c r="F19" s="62"/>
      <c r="G19" s="62"/>
      <c r="H19" s="62"/>
      <c r="I19" s="62"/>
    </row>
    <row r="20" spans="1:9" ht="14.45" customHeight="1" x14ac:dyDescent="0.25">
      <c r="A20" s="63" t="s">
        <v>32</v>
      </c>
      <c r="B20" s="64"/>
      <c r="C20" s="65" t="s">
        <v>24</v>
      </c>
      <c r="D20" s="67" t="s">
        <v>76</v>
      </c>
      <c r="E20" s="67"/>
      <c r="F20" s="67" t="s">
        <v>77</v>
      </c>
      <c r="G20" s="67"/>
      <c r="H20" s="67" t="s">
        <v>78</v>
      </c>
      <c r="I20" s="67"/>
    </row>
    <row r="21" spans="1:9" ht="30" x14ac:dyDescent="0.25">
      <c r="A21" s="63"/>
      <c r="B21" s="64"/>
      <c r="C21" s="66"/>
      <c r="D21" s="18" t="s">
        <v>33</v>
      </c>
      <c r="E21" s="28" t="s">
        <v>34</v>
      </c>
      <c r="F21" s="24" t="s">
        <v>33</v>
      </c>
      <c r="G21" s="28" t="s">
        <v>34</v>
      </c>
      <c r="H21" s="24" t="s">
        <v>33</v>
      </c>
      <c r="I21" s="28" t="s">
        <v>34</v>
      </c>
    </row>
    <row r="22" spans="1:9" x14ac:dyDescent="0.25">
      <c r="A22" s="72" t="s">
        <v>71</v>
      </c>
      <c r="B22" s="72"/>
      <c r="C22" s="88">
        <v>3</v>
      </c>
      <c r="D22" s="89">
        <v>3</v>
      </c>
      <c r="E22" s="27">
        <f>C22*D22</f>
        <v>9</v>
      </c>
      <c r="F22" s="89">
        <v>5</v>
      </c>
      <c r="G22" s="27">
        <f>C22*F22</f>
        <v>15</v>
      </c>
      <c r="H22" s="89">
        <v>5</v>
      </c>
      <c r="I22" s="27">
        <f>C22*H22</f>
        <v>15</v>
      </c>
    </row>
    <row r="23" spans="1:9" ht="22.15" customHeight="1" x14ac:dyDescent="0.25">
      <c r="A23" s="72" t="s">
        <v>72</v>
      </c>
      <c r="B23" s="72"/>
      <c r="C23" s="88">
        <v>2</v>
      </c>
      <c r="D23" s="89">
        <v>8</v>
      </c>
      <c r="E23" s="27">
        <f t="shared" ref="E23:E26" si="0">C23*D23</f>
        <v>16</v>
      </c>
      <c r="F23" s="89">
        <v>7</v>
      </c>
      <c r="G23" s="27">
        <f t="shared" ref="G23:G25" si="1">C23*F23</f>
        <v>14</v>
      </c>
      <c r="H23" s="89">
        <v>5</v>
      </c>
      <c r="I23" s="27">
        <f t="shared" ref="I23:I26" si="2">C23*H23</f>
        <v>10</v>
      </c>
    </row>
    <row r="24" spans="1:9" ht="27" customHeight="1" x14ac:dyDescent="0.25">
      <c r="A24" s="72" t="s">
        <v>73</v>
      </c>
      <c r="B24" s="72"/>
      <c r="C24" s="88">
        <v>1</v>
      </c>
      <c r="D24" s="19"/>
      <c r="E24" s="27">
        <f t="shared" si="0"/>
        <v>0</v>
      </c>
      <c r="F24" s="19"/>
      <c r="G24" s="27">
        <f t="shared" si="1"/>
        <v>0</v>
      </c>
      <c r="H24" s="19"/>
      <c r="I24" s="27">
        <f t="shared" si="2"/>
        <v>0</v>
      </c>
    </row>
    <row r="25" spans="1:9" ht="31.9" customHeight="1" x14ac:dyDescent="0.25">
      <c r="A25" s="72" t="s">
        <v>61</v>
      </c>
      <c r="B25" s="72"/>
      <c r="C25" s="20"/>
      <c r="D25" s="19"/>
      <c r="E25" s="27">
        <f t="shared" si="0"/>
        <v>0</v>
      </c>
      <c r="F25" s="19"/>
      <c r="G25" s="27">
        <f t="shared" si="1"/>
        <v>0</v>
      </c>
      <c r="H25" s="19"/>
      <c r="I25" s="27">
        <f t="shared" si="2"/>
        <v>0</v>
      </c>
    </row>
    <row r="26" spans="1:9" ht="29.1" customHeight="1" x14ac:dyDescent="0.25">
      <c r="A26" s="72" t="s">
        <v>58</v>
      </c>
      <c r="B26" s="72"/>
      <c r="C26" s="20"/>
      <c r="D26" s="19"/>
      <c r="E26" s="27">
        <f t="shared" si="0"/>
        <v>0</v>
      </c>
      <c r="F26" s="19"/>
      <c r="G26" s="27">
        <f>C26*F26</f>
        <v>0</v>
      </c>
      <c r="H26" s="19"/>
      <c r="I26" s="27">
        <f t="shared" si="2"/>
        <v>0</v>
      </c>
    </row>
    <row r="27" spans="1:9" ht="21" x14ac:dyDescent="0.25">
      <c r="A27" s="68" t="s">
        <v>34</v>
      </c>
      <c r="B27" s="69"/>
      <c r="C27" s="70"/>
      <c r="D27" s="71">
        <f>SUM(E22:E26)</f>
        <v>25</v>
      </c>
      <c r="E27" s="71"/>
      <c r="F27" s="71">
        <f>SUM(G22:G26)</f>
        <v>29</v>
      </c>
      <c r="G27" s="71"/>
      <c r="H27" s="71">
        <f>SUM(I22:I26)</f>
        <v>25</v>
      </c>
      <c r="I27" s="71"/>
    </row>
    <row r="29" spans="1:9" ht="29.45" customHeight="1" x14ac:dyDescent="0.25">
      <c r="A29" s="35" t="s">
        <v>35</v>
      </c>
      <c r="B29" s="76" t="s">
        <v>62</v>
      </c>
      <c r="C29" s="76"/>
      <c r="D29" s="76"/>
      <c r="E29" s="76"/>
      <c r="F29" s="76"/>
      <c r="G29" s="76"/>
      <c r="H29" s="76"/>
      <c r="I29" s="76"/>
    </row>
    <row r="30" spans="1:9" ht="29.1" customHeight="1" x14ac:dyDescent="0.25">
      <c r="A30" s="35" t="s">
        <v>36</v>
      </c>
      <c r="B30" s="76" t="s">
        <v>63</v>
      </c>
      <c r="C30" s="76"/>
      <c r="D30" s="76"/>
      <c r="E30" s="76"/>
      <c r="F30" s="76"/>
      <c r="G30" s="76"/>
      <c r="H30" s="76"/>
      <c r="I30" s="76"/>
    </row>
    <row r="32" spans="1:9" ht="14.45" customHeight="1" x14ac:dyDescent="0.25"/>
    <row r="33" spans="1:10" ht="15.75" x14ac:dyDescent="0.25">
      <c r="A33" s="62" t="s">
        <v>37</v>
      </c>
      <c r="B33" s="62"/>
      <c r="C33" s="62"/>
      <c r="D33" s="62"/>
      <c r="E33" s="62"/>
      <c r="F33" s="62"/>
      <c r="G33" s="62"/>
      <c r="H33" s="62"/>
      <c r="I33" s="62"/>
      <c r="J33" s="62"/>
    </row>
    <row r="34" spans="1:10" x14ac:dyDescent="0.25">
      <c r="A34" s="71" t="s">
        <v>38</v>
      </c>
      <c r="B34" s="71"/>
      <c r="C34" s="71" t="s">
        <v>39</v>
      </c>
      <c r="D34" s="71"/>
      <c r="E34" s="71" t="s">
        <v>40</v>
      </c>
      <c r="F34" s="71"/>
      <c r="G34" s="71"/>
      <c r="H34" s="71"/>
      <c r="I34" s="71"/>
      <c r="J34" s="71"/>
    </row>
    <row r="35" spans="1:10" ht="30" customHeight="1" x14ac:dyDescent="0.25">
      <c r="A35" s="72" t="s">
        <v>71</v>
      </c>
      <c r="B35" s="72"/>
      <c r="C35" s="90" t="s">
        <v>82</v>
      </c>
      <c r="D35" s="90"/>
      <c r="E35" s="90" t="s">
        <v>81</v>
      </c>
      <c r="F35" s="90"/>
      <c r="G35" s="90"/>
      <c r="H35" s="90"/>
      <c r="I35" s="90"/>
      <c r="J35" s="90"/>
    </row>
    <row r="36" spans="1:10" ht="22.15" customHeight="1" x14ac:dyDescent="0.25">
      <c r="A36" s="72" t="s">
        <v>56</v>
      </c>
      <c r="B36" s="72"/>
      <c r="C36" s="91" t="s">
        <v>83</v>
      </c>
      <c r="D36" s="92"/>
      <c r="E36" s="85" t="s">
        <v>84</v>
      </c>
      <c r="F36" s="85"/>
      <c r="G36" s="85"/>
      <c r="H36" s="85"/>
      <c r="I36" s="85"/>
      <c r="J36" s="85"/>
    </row>
    <row r="37" spans="1:10" ht="30.6" customHeight="1" x14ac:dyDescent="0.25">
      <c r="A37" s="72" t="s">
        <v>57</v>
      </c>
      <c r="B37" s="72"/>
      <c r="C37" s="74"/>
      <c r="D37" s="75"/>
      <c r="E37" s="85"/>
      <c r="F37" s="85"/>
      <c r="G37" s="85"/>
      <c r="H37" s="85"/>
      <c r="I37" s="85"/>
      <c r="J37" s="85"/>
    </row>
    <row r="38" spans="1:10" ht="31.15" customHeight="1" x14ac:dyDescent="0.25">
      <c r="A38" s="72" t="s">
        <v>61</v>
      </c>
      <c r="B38" s="72"/>
      <c r="C38" s="74"/>
      <c r="D38" s="75"/>
      <c r="E38" s="73"/>
      <c r="F38" s="73"/>
      <c r="G38" s="73"/>
      <c r="H38" s="73"/>
      <c r="I38" s="73"/>
      <c r="J38" s="73"/>
    </row>
    <row r="39" spans="1:10" ht="30" customHeight="1" x14ac:dyDescent="0.25">
      <c r="A39" s="72" t="s">
        <v>58</v>
      </c>
      <c r="B39" s="72"/>
      <c r="C39" s="74"/>
      <c r="D39" s="75"/>
      <c r="E39" s="73"/>
      <c r="F39" s="73"/>
      <c r="G39" s="73"/>
      <c r="H39" s="73"/>
      <c r="I39" s="73"/>
      <c r="J39" s="73"/>
    </row>
  </sheetData>
  <mergeCells count="67">
    <mergeCell ref="A16:B16"/>
    <mergeCell ref="C16:F16"/>
    <mergeCell ref="J8:K8"/>
    <mergeCell ref="B12:C12"/>
    <mergeCell ref="E12:F12"/>
    <mergeCell ref="B13:C13"/>
    <mergeCell ref="E13:F13"/>
    <mergeCell ref="A11:F11"/>
    <mergeCell ref="A8:B8"/>
    <mergeCell ref="G8:I8"/>
    <mergeCell ref="B14:C14"/>
    <mergeCell ref="E14:F14"/>
    <mergeCell ref="B15:C15"/>
    <mergeCell ref="A39:B39"/>
    <mergeCell ref="C39:D39"/>
    <mergeCell ref="E39:J39"/>
    <mergeCell ref="B29:I29"/>
    <mergeCell ref="B30:I30"/>
    <mergeCell ref="A37:B37"/>
    <mergeCell ref="C37:D37"/>
    <mergeCell ref="E37:J37"/>
    <mergeCell ref="A38:B38"/>
    <mergeCell ref="C38:D38"/>
    <mergeCell ref="E38:J38"/>
    <mergeCell ref="A35:B35"/>
    <mergeCell ref="C35:D35"/>
    <mergeCell ref="E35:J35"/>
    <mergeCell ref="A36:B36"/>
    <mergeCell ref="C36:D36"/>
    <mergeCell ref="E36:J36"/>
    <mergeCell ref="A33:J33"/>
    <mergeCell ref="A34:B34"/>
    <mergeCell ref="C34:D34"/>
    <mergeCell ref="E34:J34"/>
    <mergeCell ref="A27:C27"/>
    <mergeCell ref="D27:E27"/>
    <mergeCell ref="F27:G27"/>
    <mergeCell ref="H27:I27"/>
    <mergeCell ref="A22:B22"/>
    <mergeCell ref="A23:B23"/>
    <mergeCell ref="A24:B24"/>
    <mergeCell ref="A25:B25"/>
    <mergeCell ref="A26:B26"/>
    <mergeCell ref="A19:I19"/>
    <mergeCell ref="A20:B21"/>
    <mergeCell ref="C20:C21"/>
    <mergeCell ref="D20:E20"/>
    <mergeCell ref="F20:G20"/>
    <mergeCell ref="H20:I20"/>
    <mergeCell ref="A7:B7"/>
    <mergeCell ref="G7:I7"/>
    <mergeCell ref="J7:K7"/>
    <mergeCell ref="A3:E3"/>
    <mergeCell ref="G3:I3"/>
    <mergeCell ref="A5:B6"/>
    <mergeCell ref="A4:B4"/>
    <mergeCell ref="C4:E4"/>
    <mergeCell ref="G4:I4"/>
    <mergeCell ref="J4:K4"/>
    <mergeCell ref="J5:K5"/>
    <mergeCell ref="C5:E6"/>
    <mergeCell ref="G5:I5"/>
    <mergeCell ref="G2:L2"/>
    <mergeCell ref="E15:F15"/>
    <mergeCell ref="J3:K3"/>
    <mergeCell ref="G6:I6"/>
    <mergeCell ref="J6:K6"/>
  </mergeCells>
  <phoneticPr fontId="26" type="noConversion"/>
  <pageMargins left="0.7" right="0.7" top="0.75" bottom="0.75" header="0.3" footer="0.3"/>
  <pageSetup paperSize="9" scale="61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B8E968-A9F3-4EAB-B874-160A5D6F871B}">
          <x14:formula1>
            <xm:f>Lista!$B$3:$B$4</xm:f>
          </x14:formula1>
          <xm:sqref>C8</xm:sqref>
        </x14:dataValidation>
        <x14:dataValidation type="list" allowBlank="1" showInputMessage="1" showErrorMessage="1" xr:uid="{6BEFA4B3-7529-4AF7-A0E5-BA05255D28B7}">
          <x14:formula1>
            <xm:f>Lista!$D$3:$D$5</xm:f>
          </x14:formula1>
          <xm:sqref>L4:L8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7E68-9909-4231-BD5A-95BC6D559568}">
  <dimension ref="A1:G16"/>
  <sheetViews>
    <sheetView workbookViewId="0">
      <selection activeCell="G11" sqref="A1:G11"/>
    </sheetView>
  </sheetViews>
  <sheetFormatPr defaultColWidth="11.42578125" defaultRowHeight="15" x14ac:dyDescent="0.25"/>
  <cols>
    <col min="1" max="1" width="8.140625" customWidth="1"/>
    <col min="2" max="2" width="32.140625" customWidth="1"/>
    <col min="3" max="3" width="23" customWidth="1"/>
    <col min="4" max="4" width="22" customWidth="1"/>
    <col min="5" max="5" width="25.7109375" customWidth="1"/>
    <col min="6" max="6" width="23.140625" customWidth="1"/>
    <col min="7" max="7" width="26.5703125" customWidth="1"/>
  </cols>
  <sheetData>
    <row r="1" spans="1:7" x14ac:dyDescent="0.25">
      <c r="A1" s="84" t="s">
        <v>0</v>
      </c>
      <c r="B1" s="84"/>
    </row>
    <row r="2" spans="1:7" x14ac:dyDescent="0.25">
      <c r="A2" s="84"/>
      <c r="B2" s="84"/>
    </row>
    <row r="4" spans="1:7" ht="18.75" x14ac:dyDescent="0.25">
      <c r="A4" s="83" t="s">
        <v>41</v>
      </c>
      <c r="B4" s="83"/>
      <c r="C4" s="83"/>
      <c r="D4" s="83"/>
      <c r="E4" s="83"/>
      <c r="F4" s="83"/>
      <c r="G4" s="83"/>
    </row>
    <row r="5" spans="1:7" ht="38.25" thickBot="1" x14ac:dyDescent="0.3">
      <c r="A5" s="1" t="s">
        <v>42</v>
      </c>
      <c r="B5" s="2" t="s">
        <v>7</v>
      </c>
      <c r="C5" s="2" t="s">
        <v>11</v>
      </c>
      <c r="D5" s="15" t="s">
        <v>43</v>
      </c>
      <c r="E5" s="3" t="s">
        <v>12</v>
      </c>
      <c r="F5" s="16" t="s">
        <v>44</v>
      </c>
      <c r="G5" s="4" t="s">
        <v>4</v>
      </c>
    </row>
    <row r="6" spans="1:7" ht="39" thickBot="1" x14ac:dyDescent="0.3">
      <c r="A6" s="5">
        <v>1</v>
      </c>
      <c r="B6" s="6" t="s">
        <v>45</v>
      </c>
      <c r="C6" s="7" t="s">
        <v>46</v>
      </c>
      <c r="D6" s="7" t="s">
        <v>47</v>
      </c>
      <c r="E6" s="8" t="s">
        <v>6</v>
      </c>
      <c r="F6" s="8" t="s">
        <v>48</v>
      </c>
      <c r="G6" s="9" t="s">
        <v>49</v>
      </c>
    </row>
    <row r="7" spans="1:7" ht="15.75" thickBot="1" x14ac:dyDescent="0.3">
      <c r="A7" s="10">
        <v>2</v>
      </c>
      <c r="B7" s="11"/>
      <c r="C7" s="7"/>
      <c r="D7" s="7"/>
      <c r="E7" s="8"/>
      <c r="F7" s="8"/>
      <c r="G7" s="9"/>
    </row>
    <row r="8" spans="1:7" ht="15.75" thickBot="1" x14ac:dyDescent="0.3">
      <c r="A8" s="10">
        <v>3</v>
      </c>
      <c r="B8" s="11"/>
      <c r="C8" s="7"/>
      <c r="D8" s="7"/>
      <c r="E8" s="8"/>
      <c r="F8" s="8"/>
      <c r="G8" s="9"/>
    </row>
    <row r="9" spans="1:7" ht="15.75" thickBot="1" x14ac:dyDescent="0.3">
      <c r="A9" s="12">
        <v>4</v>
      </c>
      <c r="B9" s="11"/>
      <c r="C9" s="7"/>
      <c r="D9" s="7"/>
      <c r="E9" s="8"/>
      <c r="F9" s="8"/>
      <c r="G9" s="9"/>
    </row>
    <row r="10" spans="1:7" ht="15.75" thickBot="1" x14ac:dyDescent="0.3">
      <c r="A10" s="13">
        <v>5</v>
      </c>
      <c r="B10" s="11"/>
      <c r="C10" s="7"/>
      <c r="D10" s="7"/>
      <c r="E10" s="8"/>
      <c r="F10" s="8"/>
      <c r="G10" s="9"/>
    </row>
    <row r="11" spans="1:7" ht="15.75" thickBot="1" x14ac:dyDescent="0.3">
      <c r="A11" s="14" t="s">
        <v>50</v>
      </c>
      <c r="B11" s="11"/>
      <c r="C11" s="7"/>
      <c r="D11" s="7"/>
      <c r="E11" s="8"/>
      <c r="F11" s="8"/>
      <c r="G11" s="9"/>
    </row>
    <row r="16" spans="1:7" x14ac:dyDescent="0.25">
      <c r="D16" s="17" t="s">
        <v>51</v>
      </c>
    </row>
  </sheetData>
  <mergeCells count="2">
    <mergeCell ref="A4:G4"/>
    <mergeCell ref="A1:B2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EC4C7B-9C04-4FDC-A76F-150C07BB4B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A1CE7A-B0E1-45B8-B05D-B654ACF1C010}">
  <ds:schemaRefs>
    <ds:schemaRef ds:uri="7a0a35da-276e-4c8e-b365-e7c47df80865"/>
    <ds:schemaRef ds:uri="http://purl.org/dc/dcmitype/"/>
    <ds:schemaRef ds:uri="http://purl.org/dc/terms/"/>
    <ds:schemaRef ds:uri="http://purl.org/dc/elements/1.1/"/>
    <ds:schemaRef ds:uri="f1020bcf-9500-4749-8c84-b23cf1385772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9B4D6FC-4020-48B7-823A-F62F9D204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Historial de versiones</vt:lpstr>
      <vt:lpstr>Lista</vt:lpstr>
      <vt:lpstr>1.-Análisis de decisión</vt:lpstr>
      <vt:lpstr>Registro de decisiones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2024-07-12T17:07:11Z</cp:lastPrinted>
  <dcterms:created xsi:type="dcterms:W3CDTF">2023-01-17T15:27:47Z</dcterms:created>
  <dcterms:modified xsi:type="dcterms:W3CDTF">2025-11-24T20:57:57Z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