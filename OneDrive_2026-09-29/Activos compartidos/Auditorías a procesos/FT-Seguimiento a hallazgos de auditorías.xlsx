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-my.sharepoint.com/personal/mota_innevo_com/Documents/Clientes/4JS/Shared/Auditorías a procesos/"/>
    </mc:Choice>
  </mc:AlternateContent>
  <xr:revisionPtr revIDLastSave="1512" documentId="8_{C9EEABDD-7DA2-4081-8B84-AFBB473D3669}" xr6:coauthVersionLast="47" xr6:coauthVersionMax="47" xr10:uidLastSave="{1666726C-4A7A-477F-B5D6-44B5642D0684}"/>
  <bookViews>
    <workbookView xWindow="-120" yWindow="-120" windowWidth="38640" windowHeight="15720" firstSheet="1" activeTab="1" xr2:uid="{9FE48A9D-C4E3-4B1E-AF23-88385345F14A}"/>
  </bookViews>
  <sheets>
    <sheet name="Información del documento" sheetId="5" r:id="rId1"/>
    <sheet name="1.-Auditoría Proyectos" sheetId="1" r:id="rId2"/>
    <sheet name="2.-Auditorías Organizacionales" sheetId="7" r:id="rId3"/>
    <sheet name="3.-Tendencias" sheetId="6" r:id="rId4"/>
    <sheet name="Listas" sheetId="2" state="hidden" r:id="rId5"/>
  </sheets>
  <definedNames>
    <definedName name="_xlnm._FilterDatabase" localSheetId="1" hidden="1">'1.-Auditoría Proyectos'!$A$2:$K$27</definedName>
    <definedName name="_xlnm._FilterDatabase" localSheetId="2" hidden="1">'2.-Auditorías Organizacionales'!$A$2:$J$27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E6" i="6"/>
  <c r="E4" i="6"/>
  <c r="E3" i="6"/>
  <c r="B12" i="6"/>
  <c r="B11" i="6"/>
  <c r="B10" i="6"/>
  <c r="B9" i="6"/>
  <c r="B4" i="6"/>
  <c r="L5" i="6"/>
  <c r="L4" i="6"/>
  <c r="L7" i="6"/>
  <c r="S4" i="6"/>
  <c r="S5" i="6"/>
  <c r="S3" i="6"/>
  <c r="P7" i="6"/>
  <c r="P3" i="6"/>
  <c r="P4" i="6"/>
  <c r="P5" i="6"/>
  <c r="P6" i="6"/>
  <c r="P8" i="6"/>
  <c r="L6" i="6"/>
  <c r="L3" i="6"/>
  <c r="H4" i="6"/>
  <c r="H5" i="6"/>
  <c r="H3" i="6"/>
  <c r="E5" i="6"/>
  <c r="E7" i="6"/>
  <c r="B5" i="6"/>
  <c r="B3" i="6"/>
  <c r="B8" i="6" l="1"/>
  <c r="B7" i="6"/>
  <c r="B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Tania Lopez</author>
  </authors>
  <commentList>
    <comment ref="E2" authorId="0" shapeId="0" xr:uid="{8BD05DE9-BE90-4006-9A0B-49A39A9D14C7}">
      <text>
        <r>
          <rPr>
            <sz val="9"/>
            <color indexed="81"/>
            <rFont val="Tahoma"/>
            <family val="2"/>
          </rPr>
          <t>Es el registro en la columna nombrada "observaciones" en el checklist de la auditoría.</t>
        </r>
      </text>
    </comment>
    <comment ref="F2" authorId="0" shapeId="0" xr:uid="{6494403B-8F8C-4B8E-927F-5EA401090F4C}">
      <text>
        <r>
          <rPr>
            <b/>
            <sz val="9"/>
            <color indexed="81"/>
            <rFont val="Tahoma"/>
            <family val="2"/>
          </rPr>
          <t>Motivo / Argumento</t>
        </r>
        <r>
          <rPr>
            <sz val="9"/>
            <color indexed="81"/>
            <rFont val="Tahoma"/>
            <family val="2"/>
          </rPr>
          <t xml:space="preserve">
Capacitación / No es que no quiera, es que no sabía
Herramientas / Es que no tenía los medios para hacerlo
Perfil de puesto / Es que esa no es mi responsabilidad 
Habilidades / Es que yo no soy experto en eso
Sobrecarga de trabajo / Es que tengo varios proyectos que antender
Bypass de altos mandos / Mi gerente m epidió no hacer pruebas para entregar más pronto </t>
        </r>
      </text>
    </comment>
    <comment ref="G2" authorId="0" shapeId="0" xr:uid="{6B1BAF4B-D64A-4153-AC54-E531AEE18F18}">
      <text>
        <r>
          <rPr>
            <sz val="9"/>
            <color indexed="81"/>
            <rFont val="Tahoma"/>
            <family val="2"/>
          </rPr>
          <t>Registrar la acción a realizar para resolver la no conformidad.</t>
        </r>
      </text>
    </comment>
    <comment ref="H2" authorId="0" shapeId="0" xr:uid="{AC63C62B-890F-47BE-B5D8-355DB74B669B}">
      <text>
        <r>
          <rPr>
            <sz val="9"/>
            <color indexed="81"/>
            <rFont val="Tahoma"/>
            <family val="2"/>
          </rPr>
          <t>Nombre y apellido</t>
        </r>
      </text>
    </comment>
    <comment ref="K2" authorId="1" shapeId="0" xr:uid="{BF0D701B-38DA-497C-8D5E-8639CDD39375}">
      <text>
        <r>
          <rPr>
            <b/>
            <sz val="9"/>
            <color indexed="81"/>
            <rFont val="Tahoma"/>
            <family val="2"/>
          </rPr>
          <t xml:space="preserve">Estado en que se encuentra la desviación:
</t>
        </r>
        <r>
          <rPr>
            <sz val="9"/>
            <color indexed="81"/>
            <rFont val="Tahoma"/>
            <family val="2"/>
          </rPr>
          <t xml:space="preserve">Resuleto: Ya se resolvió la desviación
Abierto: Se encuentra en proceso de resolución
No se va a resolver: Se va a vivir con la desviación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Lopez</author>
  </authors>
  <commentList>
    <comment ref="J2" authorId="0" shapeId="0" xr:uid="{DA50B470-4625-4CDB-9000-1D499E56D4A7}">
      <text>
        <r>
          <rPr>
            <b/>
            <sz val="9"/>
            <color indexed="81"/>
            <rFont val="Tahoma"/>
            <family val="2"/>
          </rPr>
          <t>Elegir una opción.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<sst xmlns="http://schemas.openxmlformats.org/spreadsheetml/2006/main" count="264" uniqueCount="62">
  <si>
    <t>Logo de la empresa</t>
  </si>
  <si>
    <t>Alcance a nivel organizacional</t>
  </si>
  <si>
    <t>Historial de versiones</t>
  </si>
  <si>
    <t>Fecha</t>
  </si>
  <si>
    <t>Versión</t>
  </si>
  <si>
    <t>Descripción</t>
  </si>
  <si>
    <t>Autor</t>
  </si>
  <si>
    <t>dd/mm/aaaa.</t>
  </si>
  <si>
    <t>Número de la versión v.v.</t>
  </si>
  <si>
    <t>Descripción de los cambios realizados en el documento.</t>
  </si>
  <si>
    <t>Nombre y apellido.</t>
  </si>
  <si>
    <t>Si se tiene un sistema de gestión de versiones eliminar está hoja.</t>
  </si>
  <si>
    <t>Nota: Algunas celdas estan marcadas para que sea visible el funcionamiento de la herramienta</t>
  </si>
  <si>
    <t>Concentrado de hallazgos en auditoría de proyectos</t>
  </si>
  <si>
    <t xml:space="preserve">ID </t>
  </si>
  <si>
    <t>Fecha de detección</t>
  </si>
  <si>
    <t>Proyecto</t>
  </si>
  <si>
    <t>Nombre del procedimiento</t>
  </si>
  <si>
    <t>No conformidad</t>
  </si>
  <si>
    <t>Motivo de la desviación</t>
  </si>
  <si>
    <t>Acción</t>
  </si>
  <si>
    <t>Responsable</t>
  </si>
  <si>
    <t>Fecha planeada de cierre</t>
  </si>
  <si>
    <t>Fecha real de cierre</t>
  </si>
  <si>
    <t>Estado</t>
  </si>
  <si>
    <t>Xyz</t>
  </si>
  <si>
    <t>Cierre</t>
  </si>
  <si>
    <t>Capacitación</t>
  </si>
  <si>
    <t>Antonio Tavarez Salas</t>
  </si>
  <si>
    <t>Resuelto</t>
  </si>
  <si>
    <t>Entrega</t>
  </si>
  <si>
    <t>Bypass de altos mandos</t>
  </si>
  <si>
    <t>Monitoreo</t>
  </si>
  <si>
    <t>Sobrecarga de trabajo</t>
  </si>
  <si>
    <t>Estimación</t>
  </si>
  <si>
    <t>Planeación</t>
  </si>
  <si>
    <t>Gestión de requisitos</t>
  </si>
  <si>
    <t>Herramientas</t>
  </si>
  <si>
    <t>Diseño de software</t>
  </si>
  <si>
    <t>Construcción</t>
  </si>
  <si>
    <t>Habilidades</t>
  </si>
  <si>
    <t>Revisión por pares</t>
  </si>
  <si>
    <t>Perfil de puesto</t>
  </si>
  <si>
    <t>Pruebas</t>
  </si>
  <si>
    <t>Abierto</t>
  </si>
  <si>
    <t>No se va a resolver</t>
  </si>
  <si>
    <t>Concentrado de hallazgos en auditoría de procedimientos organizacionales</t>
  </si>
  <si>
    <t>Auditoría de procedimientos</t>
  </si>
  <si>
    <t xml:space="preserve">Evaluación de procedimientos </t>
  </si>
  <si>
    <t>Gestión de negocio</t>
  </si>
  <si>
    <t>Gestión de mejoras</t>
  </si>
  <si>
    <t>Gestión de capacitación</t>
  </si>
  <si>
    <t>Auditoría de proyecto</t>
  </si>
  <si>
    <t>Auditoría de procedimientos organizacionales</t>
  </si>
  <si>
    <t>Proceso</t>
  </si>
  <si>
    <t>Hallazgos</t>
  </si>
  <si>
    <t xml:space="preserve">Motivos </t>
  </si>
  <si>
    <t>Procedimiento</t>
  </si>
  <si>
    <t xml:space="preserve">                                                                                                                                                                         </t>
  </si>
  <si>
    <t>Motivo</t>
  </si>
  <si>
    <t>Fase del proyecto auditada</t>
  </si>
  <si>
    <t>Procedimientos organizacional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</si>
</sst>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i/>
      <sz val="11"/>
      <color theme="1" tint="0.34998626667073579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13" fillId="2" borderId="2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0" fillId="3" borderId="1" xfId="0" applyFill="1" applyBorder="1"/>
    <xf numFmtId="0" fontId="0" fillId="0" borderId="5" xfId="0" applyBorder="1"/>
    <xf numFmtId="0" fontId="15" fillId="3" borderId="1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/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4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3613821591152627E-2"/>
          <c:y val="0.22638746826537115"/>
          <c:w val="0.86547301246115105"/>
          <c:h val="0.401713415683064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'3.-Tendencias'!$E$2</c:f>
              <c:strCache>
                <c:ptCount val="1"/>
                <c:pt idx="0">
                  <c:v>Hallazgos</c:v>
                </c:pt>
              </c:strCache>
            </c:strRef>
          </c:tx>
          <c:spPr>
            <a:pattFill prst="ltUpDiag">
              <a:fgClr>
                <a:schemeClr val="dk1">
                  <a:tint val="88500"/>
                </a:schemeClr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'3.-Tendencias'!$D$3:$D$8</c:f>
              <c:strCache>
                <c:ptCount val="6"/>
                <c:pt idx="0">
                  <c:v>Capacitación</c:v>
                </c:pt>
                <c:pt idx="1">
                  <c:v>Herramientas</c:v>
                </c:pt>
                <c:pt idx="2">
                  <c:v>Perfil de puesto</c:v>
                </c:pt>
                <c:pt idx="3">
                  <c:v>Habilidades</c:v>
                </c:pt>
                <c:pt idx="4">
                  <c:v>Sobrecarga de trabajo</c:v>
                </c:pt>
                <c:pt idx="5">
                  <c:v>Bypass de altos mandos</c:v>
                </c:pt>
              </c:strCache>
            </c:strRef>
          </c:cat>
          <c:val>
            <c:numRef>
              <c:f>'3.-Tendencias'!$E$3:$E$8</c:f>
              <c:numCache>
                <c:formatCode>General</c:formatCode>
                <c:ptCount val="6"/>
                <c:pt idx="0">
                  <c:v>7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5-4DD2-A8D2-9ADFE6870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285592896"/>
        <c:axId val="698084832"/>
      </c:barChart>
      <c:catAx>
        <c:axId val="128559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8084832"/>
        <c:crosses val="autoZero"/>
        <c:auto val="1"/>
        <c:lblAlgn val="ctr"/>
        <c:lblOffset val="100"/>
        <c:noMultiLvlLbl val="0"/>
      </c:catAx>
      <c:valAx>
        <c:axId val="69808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559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'3.-Tendencias'!$H$2</c:f>
              <c:strCache>
                <c:ptCount val="1"/>
                <c:pt idx="0">
                  <c:v>Hallazgos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dk1">
                  <a:tint val="885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dk1">
                    <a:tint val="885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9-4869-9359-5FD63210DE1B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dk1">
                    <a:tint val="885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9-4869-9359-5FD63210DE1B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dk1">
                    <a:tint val="885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9-4869-9359-5FD63210DE1B}"/>
              </c:ext>
            </c:extLst>
          </c:dPt>
          <c:dLbls>
            <c:dLbl>
              <c:idx val="0"/>
              <c:layout>
                <c:manualLayout>
                  <c:x val="-0.14045758872301958"/>
                  <c:y val="0.1446609785204817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69-4869-9359-5FD63210DE1B}"/>
                </c:ext>
              </c:extLst>
            </c:dLbl>
            <c:dLbl>
              <c:idx val="1"/>
              <c:layout>
                <c:manualLayout>
                  <c:x val="0.10829888346266017"/>
                  <c:y val="-0.27478141508461007"/>
                </c:manualLayout>
              </c:layout>
              <c:tx>
                <c:rich>
                  <a:bodyPr/>
                  <a:lstStyle/>
                  <a:p>
                    <a:fld id="{B445C6E9-4EBB-4941-BAD5-7181200DF8F6}" type="CATEGORYNAME">
                      <a:rPr lang="en-US" sz="1000"/>
                      <a:pPr/>
                      <a:t>[]</a:t>
                    </a:fld>
                    <a:r>
                      <a:rPr lang="en-US" sz="1000" baseline="0"/>
                      <a:t>
</a:t>
                    </a:r>
                    <a:fld id="{EA253BDF-05C9-47C6-90FC-D4EEA2666055}" type="PERCENTAGE">
                      <a:rPr lang="en-US" sz="1000" baseline="0"/>
                      <a:pPr/>
                      <a:t>[]</a:t>
                    </a:fld>
                    <a:endParaRPr lang="en-US" sz="1000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069-4869-9359-5FD63210DE1B}"/>
                </c:ext>
              </c:extLst>
            </c:dLbl>
            <c:dLbl>
              <c:idx val="2"/>
              <c:layout>
                <c:manualLayout>
                  <c:x val="-8.8888413407301872E-2"/>
                  <c:y val="0.1417834826580842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BC8738E-3AD6-424D-9C4A-B1DC747A2D49}" type="CATEGORYNAME">
                      <a:rPr lang="en-US" sz="1000" b="1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[]</a:t>
                    </a:fld>
                    <a:r>
                      <a:rPr lang="en-US" sz="1000" b="1" baseline="0">
                        <a:solidFill>
                          <a:schemeClr val="bg1"/>
                        </a:solidFill>
                      </a:rPr>
                      <a:t>
</a:t>
                    </a:r>
                    <a:fld id="{758A0A12-2F85-43C3-B1A0-08BEFC5B49D1}" type="PERCENTAGE">
                      <a:rPr lang="en-US" sz="1000" b="1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[]</a:t>
                    </a:fld>
                    <a:endParaRPr lang="en-US" sz="1000" b="1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069-4869-9359-5FD63210DE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tint val="885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tint val="88500"/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'3.-Tendencias'!$G$3:$G$5</c:f>
              <c:strCache>
                <c:ptCount val="3"/>
                <c:pt idx="0">
                  <c:v>Abierto</c:v>
                </c:pt>
                <c:pt idx="1">
                  <c:v>Resuelto</c:v>
                </c:pt>
                <c:pt idx="2">
                  <c:v>No se va a resolver</c:v>
                </c:pt>
              </c:strCache>
            </c:strRef>
          </c:cat>
          <c:val>
            <c:numRef>
              <c:f>'3.-Tendencias'!$H$3:$H$5</c:f>
              <c:numCache>
                <c:formatCode>General</c:formatCode>
                <c:ptCount val="3"/>
                <c:pt idx="0">
                  <c:v>8</c:v>
                </c:pt>
                <c:pt idx="1">
                  <c:v>14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9-4869-9359-5FD63210DE1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'3.-Tendencias'!$P$2</c:f>
              <c:strCache>
                <c:ptCount val="1"/>
                <c:pt idx="0">
                  <c:v>Hallazgos</c:v>
                </c:pt>
              </c:strCache>
            </c:strRef>
          </c:tx>
          <c:spPr>
            <a:pattFill prst="ltUpDiag">
              <a:fgClr>
                <a:schemeClr val="dk1">
                  <a:tint val="88500"/>
                </a:schemeClr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'3.-Tendencias'!$O$3:$O$8</c:f>
              <c:strCache>
                <c:ptCount val="6"/>
                <c:pt idx="0">
                  <c:v>Capacitación</c:v>
                </c:pt>
                <c:pt idx="1">
                  <c:v>Herramientas</c:v>
                </c:pt>
                <c:pt idx="2">
                  <c:v>Perfil de puesto</c:v>
                </c:pt>
                <c:pt idx="3">
                  <c:v>Habilidades</c:v>
                </c:pt>
                <c:pt idx="4">
                  <c:v>Sobrecarga de trabajo</c:v>
                </c:pt>
                <c:pt idx="5">
                  <c:v>Bypass de altos mandos</c:v>
                </c:pt>
              </c:strCache>
            </c:strRef>
          </c:cat>
          <c:val>
            <c:numRef>
              <c:f>'3.-Tendencias'!$P$3:$P$8</c:f>
              <c:numCache>
                <c:formatCode>General</c:formatCode>
                <c:ptCount val="6"/>
                <c:pt idx="0">
                  <c:v>8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5-4310-9539-5A7A2453F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607536352"/>
        <c:axId val="114777007"/>
      </c:barChart>
      <c:catAx>
        <c:axId val="160753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777007"/>
        <c:crosses val="autoZero"/>
        <c:auto val="1"/>
        <c:lblAlgn val="ctr"/>
        <c:lblOffset val="100"/>
        <c:noMultiLvlLbl val="0"/>
      </c:catAx>
      <c:valAx>
        <c:axId val="11477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753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'3.-Tendencias'!$S$2</c:f>
              <c:strCache>
                <c:ptCount val="1"/>
                <c:pt idx="0">
                  <c:v>Hallazgos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dk1">
                  <a:tint val="885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dk1">
                    <a:tint val="885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89-4395-98F5-B53859D76FB3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dk1">
                    <a:tint val="885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89-4395-98F5-B53859D76FB3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dk1">
                    <a:tint val="885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89-4395-98F5-B53859D76F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tint val="885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tint val="88500"/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'3.-Tendencias'!$R$3:$R$5</c:f>
              <c:strCache>
                <c:ptCount val="3"/>
                <c:pt idx="0">
                  <c:v>Abierto</c:v>
                </c:pt>
                <c:pt idx="1">
                  <c:v>Resuelto</c:v>
                </c:pt>
                <c:pt idx="2">
                  <c:v>No se va a resolver</c:v>
                </c:pt>
              </c:strCache>
            </c:strRef>
          </c:cat>
          <c:val>
            <c:numRef>
              <c:f>'3.-Tendencias'!$S$3:$S$5</c:f>
              <c:numCache>
                <c:formatCode>General</c:formatCode>
                <c:ptCount val="3"/>
                <c:pt idx="0">
                  <c:v>8</c:v>
                </c:pt>
                <c:pt idx="1">
                  <c:v>14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1-4E2A-AE85-9AAFD5695229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'3.-Tendencias'!$B$2</c:f>
              <c:strCache>
                <c:ptCount val="1"/>
                <c:pt idx="0">
                  <c:v>Hallazgos</c:v>
                </c:pt>
              </c:strCache>
            </c:strRef>
          </c:tx>
          <c:spPr>
            <a:pattFill prst="ltUpDiag">
              <a:fgClr>
                <a:schemeClr val="dk1">
                  <a:tint val="88500"/>
                </a:schemeClr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'3.-Tendencias'!$A$3:$A$12</c:f>
              <c:strCache>
                <c:ptCount val="10"/>
                <c:pt idx="0">
                  <c:v>Estimación</c:v>
                </c:pt>
                <c:pt idx="1">
                  <c:v>Planeación</c:v>
                </c:pt>
                <c:pt idx="2">
                  <c:v>Gestión de requisitos</c:v>
                </c:pt>
                <c:pt idx="3">
                  <c:v>Diseño de software</c:v>
                </c:pt>
                <c:pt idx="4">
                  <c:v>Construcción</c:v>
                </c:pt>
                <c:pt idx="5">
                  <c:v>Revisión por pares</c:v>
                </c:pt>
                <c:pt idx="6">
                  <c:v>Pruebas</c:v>
                </c:pt>
                <c:pt idx="7">
                  <c:v>Entrega</c:v>
                </c:pt>
                <c:pt idx="8">
                  <c:v>Cierre</c:v>
                </c:pt>
                <c:pt idx="9">
                  <c:v>Monitoreo</c:v>
                </c:pt>
              </c:strCache>
            </c:strRef>
          </c:cat>
          <c:val>
            <c:numRef>
              <c:f>'3.-Tendencias'!$B$3:$B$12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D-47D8-95D1-8C8DB18D8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47686831"/>
        <c:axId val="446659711"/>
      </c:barChart>
      <c:catAx>
        <c:axId val="44768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6659711"/>
        <c:crosses val="autoZero"/>
        <c:auto val="1"/>
        <c:lblAlgn val="ctr"/>
        <c:lblOffset val="100"/>
        <c:noMultiLvlLbl val="0"/>
      </c:catAx>
      <c:valAx>
        <c:axId val="4466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68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'3.-Tendencias'!$L$2</c:f>
              <c:strCache>
                <c:ptCount val="1"/>
                <c:pt idx="0">
                  <c:v>Hallazgos</c:v>
                </c:pt>
              </c:strCache>
            </c:strRef>
          </c:tx>
          <c:spPr>
            <a:pattFill prst="ltUpDiag">
              <a:fgClr>
                <a:schemeClr val="dk1">
                  <a:tint val="88500"/>
                </a:schemeClr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'3.-Tendencias'!$K$3:$K$7</c:f>
              <c:strCache>
                <c:ptCount val="5"/>
                <c:pt idx="0">
                  <c:v>Auditoría de procedimientos</c:v>
                </c:pt>
                <c:pt idx="1">
                  <c:v>Evaluación de procedimientos </c:v>
                </c:pt>
                <c:pt idx="2">
                  <c:v>Gestión de capacitación</c:v>
                </c:pt>
                <c:pt idx="3">
                  <c:v>Gestión de negocio</c:v>
                </c:pt>
                <c:pt idx="4">
                  <c:v>Gestión de mejoras</c:v>
                </c:pt>
              </c:strCache>
            </c:strRef>
          </c:cat>
          <c:val>
            <c:numRef>
              <c:f>'3.-Tendencias'!$L$3:$L$7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0-44E1-A9FB-F5A23FEB1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006103551"/>
        <c:axId val="442445775"/>
      </c:barChart>
      <c:catAx>
        <c:axId val="200610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dk1">
                <a:tint val="88500"/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2445775"/>
        <c:crosses val="autoZero"/>
        <c:auto val="1"/>
        <c:lblAlgn val="ctr"/>
        <c:lblOffset val="100"/>
        <c:noMultiLvlLbl val="0"/>
      </c:catAx>
      <c:valAx>
        <c:axId val="44244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610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163286</xdr:colOff>
      <xdr:row>23</xdr:row>
      <xdr:rowOff>44133</xdr:rowOff>
    </xdr:from>
    <xdr:to>
      <xdr:col>3</xdr:col>
      <xdr:colOff>1362665</xdr:colOff>
      <xdr:row>36</xdr:row>
      <xdr:rowOff>122463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DB291C-DB46-EFA5-8E10-CD5B6A92F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110652</xdr:colOff>
      <xdr:row>22</xdr:row>
      <xdr:rowOff>171226</xdr:rowOff>
    </xdr:from>
    <xdr:to>
      <xdr:col>8</xdr:col>
      <xdr:colOff>762000</xdr:colOff>
      <xdr:row>36</xdr:row>
      <xdr:rowOff>13608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9B3BF2A-DA03-02FE-B147-712D9C3AD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1795069</xdr:colOff>
      <xdr:row>22</xdr:row>
      <xdr:rowOff>162997</xdr:rowOff>
    </xdr:from>
    <xdr:to>
      <xdr:col>14</xdr:col>
      <xdr:colOff>1264662</xdr:colOff>
      <xdr:row>38</xdr:row>
      <xdr:rowOff>112972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D4EFB96-08A4-7982-BE0E-7399E408F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812619</xdr:colOff>
      <xdr:row>9</xdr:row>
      <xdr:rowOff>105863</xdr:rowOff>
    </xdr:from>
    <xdr:to>
      <xdr:col>21</xdr:col>
      <xdr:colOff>126275</xdr:colOff>
      <xdr:row>25</xdr:row>
      <xdr:rowOff>20682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449C772-D62B-27CF-F144-E35452153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650557</xdr:colOff>
      <xdr:row>8</xdr:row>
      <xdr:rowOff>148590</xdr:rowOff>
    </xdr:from>
    <xdr:to>
      <xdr:col>8</xdr:col>
      <xdr:colOff>74295</xdr:colOff>
      <xdr:row>21</xdr:row>
      <xdr:rowOff>124777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F31BAF-F714-8962-CDE3-591FF3F28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39333</xdr:colOff>
      <xdr:row>8</xdr:row>
      <xdr:rowOff>37429</xdr:rowOff>
    </xdr:from>
    <xdr:to>
      <xdr:col>13</xdr:col>
      <xdr:colOff>207422</xdr:colOff>
      <xdr:row>21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C46CAB-FE63-6EAA-5BE4-4013CCA48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97DA-193A-4AE4-97D8-34B516910623}">
  <dimension ref="A1:D15"/>
  <sheetViews>
    <sheetView showGridLines="0" workbookViewId="0">
      <selection activeCell="C17" sqref="C17"/>
    </sheetView>
  </sheetViews>
  <sheetFormatPr defaultColWidth="11.42578125" defaultRowHeight="30.75" customHeight="1"/>
  <cols>
    <col min="1" max="1" width="20.28515625" style="4" bestFit="1" customWidth="1"/>
    <col min="2" max="2" width="23.5703125" style="4" customWidth="1"/>
    <col min="3" max="3" width="47.42578125" style="4" customWidth="1"/>
    <col min="4" max="4" width="26.5703125" style="4" customWidth="1"/>
    <col min="5" max="16384" width="11.42578125" style="4"/>
  </cols>
  <sheetData>
    <row r="1" spans="1:4" ht="15" customHeight="1">
      <c r="A1" s="38" t="s">
        <v>0</v>
      </c>
      <c r="B1" s="38"/>
    </row>
    <row r="2" spans="1:4" ht="55.5" customHeight="1">
      <c r="A2" s="38"/>
      <c r="B2" s="38"/>
    </row>
    <row r="3" spans="1:4" ht="30.75" customHeight="1">
      <c r="A3" s="41" t="s">
        <v>1</v>
      </c>
      <c r="B3" s="41"/>
    </row>
    <row r="4" spans="1:4" ht="15.75" customHeight="1"/>
    <row r="5" spans="1:4" ht="15"/>
    <row r="6" spans="1:4" ht="18.75">
      <c r="A6" s="39" t="s">
        <v>2</v>
      </c>
      <c r="B6" s="39"/>
      <c r="C6" s="39"/>
      <c r="D6" s="39"/>
    </row>
    <row r="7" spans="1:4" ht="15"/>
    <row r="8" spans="1:4" ht="18.75">
      <c r="A8" s="35" t="s">
        <v>3</v>
      </c>
      <c r="B8" s="35" t="s">
        <v>4</v>
      </c>
      <c r="C8" s="35" t="s">
        <v>5</v>
      </c>
      <c r="D8" s="35" t="s">
        <v>6</v>
      </c>
    </row>
    <row r="9" spans="1:4" ht="32.25" customHeight="1">
      <c r="A9" s="37" t="s">
        <v>7</v>
      </c>
      <c r="B9" s="37" t="s">
        <v>8</v>
      </c>
      <c r="C9" s="37" t="s">
        <v>9</v>
      </c>
      <c r="D9" s="37" t="s">
        <v>10</v>
      </c>
    </row>
    <row r="10" spans="1:4" ht="32.25" customHeight="1">
      <c r="A10" s="37"/>
      <c r="B10" s="37"/>
      <c r="C10" s="36"/>
      <c r="D10" s="37"/>
    </row>
    <row r="11" spans="1:4" ht="32.25" customHeight="1">
      <c r="A11" s="37"/>
      <c r="B11" s="37"/>
      <c r="C11" s="36"/>
      <c r="D11" s="37"/>
    </row>
    <row r="12" spans="1:4" ht="32.25" customHeight="1">
      <c r="A12" s="37"/>
      <c r="B12" s="37"/>
      <c r="C12" s="36"/>
      <c r="D12" s="37"/>
    </row>
    <row r="13" spans="1:4" ht="32.25" customHeight="1"/>
    <row r="14" spans="1:4" ht="15.75">
      <c r="A14" s="40" t="s">
        <v>11</v>
      </c>
      <c r="B14" s="40"/>
      <c r="C14" s="40"/>
      <c r="D14" s="40"/>
    </row>
    <row r="15" spans="1:4" ht="30.75" customHeight="1">
      <c r="A15" s="4" t="s">
        <v>12</v>
      </c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245C-1ECF-4A85-8090-D58F4610CBE4}">
  <sheetPr>
    <pageSetUpPr fitToPage="1"/>
  </sheetPr>
  <dimension ref="A1:K27"/>
  <sheetViews>
    <sheetView showGridLines="0" tabSelected="1" zoomScale="80" zoomScaleNormal="80" workbookViewId="0">
      <selection activeCell="D6" sqref="D6"/>
    </sheetView>
  </sheetViews>
  <sheetFormatPr defaultColWidth="10.85546875" defaultRowHeight="15"/>
  <cols>
    <col min="1" max="1" width="13.7109375" customWidth="1"/>
    <col min="2" max="2" width="21.28515625" customWidth="1"/>
    <col min="3" max="3" width="22.7109375" bestFit="1" customWidth="1"/>
    <col min="4" max="4" width="25.140625" customWidth="1"/>
    <col min="5" max="5" width="40" customWidth="1"/>
    <col min="6" max="6" width="28" customWidth="1"/>
    <col min="7" max="7" width="36.7109375" customWidth="1"/>
    <col min="8" max="8" width="22.7109375" customWidth="1"/>
    <col min="9" max="10" width="16.5703125" customWidth="1"/>
    <col min="11" max="11" width="21" customWidth="1"/>
  </cols>
  <sheetData>
    <row r="1" spans="1:11" ht="21">
      <c r="A1" s="42" t="s">
        <v>13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31.5">
      <c r="A2" s="6" t="s">
        <v>14</v>
      </c>
      <c r="B2" s="7" t="s">
        <v>15</v>
      </c>
      <c r="C2" s="7" t="s">
        <v>16</v>
      </c>
      <c r="D2" s="31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8" t="s">
        <v>22</v>
      </c>
      <c r="J2" s="8" t="s">
        <v>23</v>
      </c>
      <c r="K2" s="6" t="s">
        <v>24</v>
      </c>
    </row>
    <row r="3" spans="1:11" ht="30" customHeight="1">
      <c r="A3" s="5">
        <v>1</v>
      </c>
      <c r="B3" s="9">
        <v>44938</v>
      </c>
      <c r="C3" s="10" t="s">
        <v>25</v>
      </c>
      <c r="D3" s="33" t="s">
        <v>26</v>
      </c>
      <c r="E3" s="11"/>
      <c r="F3" s="34" t="s">
        <v>27</v>
      </c>
      <c r="G3" s="12"/>
      <c r="H3" s="11" t="s">
        <v>28</v>
      </c>
      <c r="I3" s="13">
        <v>44959</v>
      </c>
      <c r="J3" s="13">
        <v>44959</v>
      </c>
      <c r="K3" s="33" t="s">
        <v>29</v>
      </c>
    </row>
    <row r="4" spans="1:11" ht="30" customHeight="1">
      <c r="A4" s="5">
        <v>2</v>
      </c>
      <c r="B4" s="1"/>
      <c r="C4" s="1"/>
      <c r="D4" s="33" t="s">
        <v>30</v>
      </c>
      <c r="E4" s="1"/>
      <c r="F4" s="34" t="s">
        <v>31</v>
      </c>
      <c r="G4" s="1"/>
      <c r="H4" s="1"/>
      <c r="I4" s="1"/>
      <c r="J4" s="1"/>
      <c r="K4" s="33" t="s">
        <v>29</v>
      </c>
    </row>
    <row r="5" spans="1:11" ht="30" customHeight="1">
      <c r="A5" s="5">
        <v>3</v>
      </c>
      <c r="B5" s="1"/>
      <c r="C5" s="1"/>
      <c r="D5" s="33" t="s">
        <v>32</v>
      </c>
      <c r="E5" s="1"/>
      <c r="F5" s="34" t="s">
        <v>33</v>
      </c>
      <c r="G5" s="1"/>
      <c r="H5" s="1"/>
      <c r="I5" s="1"/>
      <c r="J5" s="1"/>
      <c r="K5" s="33" t="s">
        <v>29</v>
      </c>
    </row>
    <row r="6" spans="1:11" ht="30" customHeight="1">
      <c r="A6" s="5">
        <v>4</v>
      </c>
      <c r="B6" s="1"/>
      <c r="C6" s="1"/>
      <c r="D6" s="33" t="s">
        <v>34</v>
      </c>
      <c r="E6" s="1"/>
      <c r="F6" s="34" t="s">
        <v>27</v>
      </c>
      <c r="G6" s="1"/>
      <c r="H6" s="1"/>
      <c r="I6" s="1"/>
      <c r="J6" s="1"/>
      <c r="K6" s="33" t="s">
        <v>29</v>
      </c>
    </row>
    <row r="7" spans="1:11" ht="30" customHeight="1">
      <c r="A7" s="5">
        <v>5</v>
      </c>
      <c r="B7" s="1"/>
      <c r="C7" s="1"/>
      <c r="D7" s="33" t="s">
        <v>35</v>
      </c>
      <c r="E7" s="1"/>
      <c r="F7" s="34" t="s">
        <v>27</v>
      </c>
      <c r="G7" s="1"/>
      <c r="H7" s="1"/>
      <c r="I7" s="1"/>
      <c r="J7" s="1"/>
      <c r="K7" s="33" t="s">
        <v>29</v>
      </c>
    </row>
    <row r="8" spans="1:11" ht="30" customHeight="1">
      <c r="A8" s="5">
        <v>6</v>
      </c>
      <c r="B8" s="1"/>
      <c r="C8" s="1"/>
      <c r="D8" s="33" t="s">
        <v>36</v>
      </c>
      <c r="E8" s="1"/>
      <c r="F8" s="34" t="s">
        <v>37</v>
      </c>
      <c r="G8" s="1"/>
      <c r="H8" s="1"/>
      <c r="I8" s="1"/>
      <c r="J8" s="1"/>
      <c r="K8" s="33" t="s">
        <v>29</v>
      </c>
    </row>
    <row r="9" spans="1:11" ht="30" customHeight="1">
      <c r="A9" s="5">
        <v>7</v>
      </c>
      <c r="B9" s="1"/>
      <c r="C9" s="1"/>
      <c r="D9" s="33" t="s">
        <v>38</v>
      </c>
      <c r="E9" s="1"/>
      <c r="F9" s="34" t="s">
        <v>33</v>
      </c>
      <c r="G9" s="1"/>
      <c r="H9" s="1"/>
      <c r="I9" s="1"/>
      <c r="J9" s="1"/>
      <c r="K9" s="33" t="s">
        <v>29</v>
      </c>
    </row>
    <row r="10" spans="1:11" ht="30" customHeight="1">
      <c r="A10" s="5">
        <v>8</v>
      </c>
      <c r="B10" s="1"/>
      <c r="C10" s="1"/>
      <c r="D10" s="33" t="s">
        <v>39</v>
      </c>
      <c r="E10" s="1"/>
      <c r="F10" s="34" t="s">
        <v>40</v>
      </c>
      <c r="G10" s="1"/>
      <c r="H10" s="1"/>
      <c r="I10" s="1"/>
      <c r="J10" s="1"/>
      <c r="K10" s="33" t="s">
        <v>29</v>
      </c>
    </row>
    <row r="11" spans="1:11" ht="30" customHeight="1">
      <c r="A11" s="5">
        <v>9</v>
      </c>
      <c r="B11" s="1"/>
      <c r="C11" s="1"/>
      <c r="D11" s="33" t="s">
        <v>41</v>
      </c>
      <c r="E11" s="1"/>
      <c r="F11" s="34" t="s">
        <v>42</v>
      </c>
      <c r="G11" s="1"/>
      <c r="H11" s="1"/>
      <c r="I11" s="1"/>
      <c r="J11" s="1"/>
      <c r="K11" s="33" t="s">
        <v>29</v>
      </c>
    </row>
    <row r="12" spans="1:11" ht="30" customHeight="1">
      <c r="A12" s="5">
        <v>10</v>
      </c>
      <c r="B12" s="1"/>
      <c r="C12" s="1"/>
      <c r="D12" s="33" t="s">
        <v>43</v>
      </c>
      <c r="E12" s="1"/>
      <c r="F12" s="34" t="s">
        <v>42</v>
      </c>
      <c r="G12" s="1"/>
      <c r="H12" s="1"/>
      <c r="I12" s="1"/>
      <c r="J12" s="1"/>
      <c r="K12" s="33" t="s">
        <v>29</v>
      </c>
    </row>
    <row r="13" spans="1:11" ht="30" customHeight="1">
      <c r="A13" s="5">
        <v>11</v>
      </c>
      <c r="B13" s="1"/>
      <c r="C13" s="1"/>
      <c r="D13" s="33" t="s">
        <v>38</v>
      </c>
      <c r="E13" s="1"/>
      <c r="F13" s="34" t="s">
        <v>40</v>
      </c>
      <c r="G13" s="1"/>
      <c r="H13" s="1"/>
      <c r="I13" s="1"/>
      <c r="J13" s="1"/>
      <c r="K13" s="33" t="s">
        <v>29</v>
      </c>
    </row>
    <row r="14" spans="1:11" ht="30" customHeight="1">
      <c r="A14" s="5">
        <v>12</v>
      </c>
      <c r="B14" s="1"/>
      <c r="C14" s="1"/>
      <c r="D14" s="33" t="s">
        <v>35</v>
      </c>
      <c r="E14" s="1"/>
      <c r="F14" s="34" t="s">
        <v>27</v>
      </c>
      <c r="G14" s="1"/>
      <c r="H14" s="1"/>
      <c r="I14" s="1"/>
      <c r="J14" s="1"/>
      <c r="K14" s="33" t="s">
        <v>29</v>
      </c>
    </row>
    <row r="15" spans="1:11" ht="30" customHeight="1">
      <c r="A15" s="5">
        <v>13</v>
      </c>
      <c r="B15" s="1"/>
      <c r="C15" s="1"/>
      <c r="D15" s="33" t="s">
        <v>34</v>
      </c>
      <c r="E15" s="1"/>
      <c r="F15" s="34" t="s">
        <v>33</v>
      </c>
      <c r="G15" s="1"/>
      <c r="H15" s="1"/>
      <c r="I15" s="1"/>
      <c r="J15" s="1"/>
      <c r="K15" s="33" t="s">
        <v>29</v>
      </c>
    </row>
    <row r="16" spans="1:11" ht="30" customHeight="1">
      <c r="A16" s="5">
        <v>14</v>
      </c>
      <c r="B16" s="1"/>
      <c r="C16" s="1"/>
      <c r="D16" s="33" t="s">
        <v>36</v>
      </c>
      <c r="E16" s="1"/>
      <c r="F16" s="34" t="s">
        <v>33</v>
      </c>
      <c r="G16" s="1"/>
      <c r="H16" s="1"/>
      <c r="I16" s="1"/>
      <c r="J16" s="1"/>
      <c r="K16" s="33" t="s">
        <v>29</v>
      </c>
    </row>
    <row r="17" spans="1:11" ht="30" customHeight="1">
      <c r="A17" s="5">
        <v>15</v>
      </c>
      <c r="B17" s="1"/>
      <c r="C17" s="1"/>
      <c r="D17" s="33" t="s">
        <v>39</v>
      </c>
      <c r="E17" s="1"/>
      <c r="F17" s="34" t="s">
        <v>33</v>
      </c>
      <c r="G17" s="1"/>
      <c r="H17" s="1"/>
      <c r="I17" s="1"/>
      <c r="J17" s="1"/>
      <c r="K17" s="33" t="s">
        <v>29</v>
      </c>
    </row>
    <row r="18" spans="1:11" ht="30" customHeight="1">
      <c r="A18" s="5">
        <v>16</v>
      </c>
      <c r="B18" s="1"/>
      <c r="C18" s="1"/>
      <c r="D18" s="33" t="s">
        <v>41</v>
      </c>
      <c r="E18" s="1"/>
      <c r="F18" s="34" t="s">
        <v>42</v>
      </c>
      <c r="G18" s="1"/>
      <c r="H18" s="1"/>
      <c r="I18" s="1"/>
      <c r="J18" s="1"/>
      <c r="K18" s="33" t="s">
        <v>44</v>
      </c>
    </row>
    <row r="19" spans="1:11" ht="30" customHeight="1">
      <c r="A19" s="5">
        <v>17</v>
      </c>
      <c r="B19" s="1"/>
      <c r="C19" s="1"/>
      <c r="D19" s="33" t="s">
        <v>43</v>
      </c>
      <c r="E19" s="1"/>
      <c r="F19" s="34" t="s">
        <v>37</v>
      </c>
      <c r="G19" s="1"/>
      <c r="H19" s="1"/>
      <c r="I19" s="1"/>
      <c r="J19" s="1"/>
      <c r="K19" s="33" t="s">
        <v>44</v>
      </c>
    </row>
    <row r="20" spans="1:11" ht="30" customHeight="1">
      <c r="A20" s="5">
        <v>18</v>
      </c>
      <c r="B20" s="1"/>
      <c r="C20" s="1"/>
      <c r="D20" s="33" t="s">
        <v>30</v>
      </c>
      <c r="E20" s="1"/>
      <c r="F20" s="34" t="s">
        <v>27</v>
      </c>
      <c r="G20" s="1"/>
      <c r="H20" s="1"/>
      <c r="I20" s="1"/>
      <c r="J20" s="1"/>
      <c r="K20" s="33" t="s">
        <v>44</v>
      </c>
    </row>
    <row r="21" spans="1:11" ht="30" customHeight="1">
      <c r="A21" s="5">
        <v>19</v>
      </c>
      <c r="B21" s="1"/>
      <c r="C21" s="1"/>
      <c r="D21" s="33" t="s">
        <v>26</v>
      </c>
      <c r="E21" s="1"/>
      <c r="F21" s="34" t="s">
        <v>42</v>
      </c>
      <c r="G21" s="1"/>
      <c r="H21" s="1"/>
      <c r="I21" s="1"/>
      <c r="J21" s="1"/>
      <c r="K21" s="33" t="s">
        <v>44</v>
      </c>
    </row>
    <row r="22" spans="1:11" ht="30" customHeight="1">
      <c r="A22" s="5">
        <v>20</v>
      </c>
      <c r="B22" s="1"/>
      <c r="C22" s="1"/>
      <c r="D22" s="33" t="s">
        <v>32</v>
      </c>
      <c r="E22" s="1"/>
      <c r="F22" s="34" t="s">
        <v>27</v>
      </c>
      <c r="G22" s="1"/>
      <c r="H22" s="1"/>
      <c r="I22" s="1"/>
      <c r="J22" s="1"/>
      <c r="K22" s="33" t="s">
        <v>44</v>
      </c>
    </row>
    <row r="23" spans="1:11" ht="30" customHeight="1">
      <c r="A23" s="5">
        <v>21</v>
      </c>
      <c r="B23" s="1"/>
      <c r="C23" s="1"/>
      <c r="D23" s="33" t="s">
        <v>43</v>
      </c>
      <c r="E23" s="1"/>
      <c r="F23" s="34" t="s">
        <v>42</v>
      </c>
      <c r="G23" s="1"/>
      <c r="H23" s="1"/>
      <c r="I23" s="1"/>
      <c r="J23" s="1"/>
      <c r="K23" s="33" t="s">
        <v>44</v>
      </c>
    </row>
    <row r="24" spans="1:11" ht="30" customHeight="1">
      <c r="A24" s="5">
        <v>22</v>
      </c>
      <c r="B24" s="1"/>
      <c r="C24" s="1"/>
      <c r="D24" s="33" t="s">
        <v>39</v>
      </c>
      <c r="E24" s="1"/>
      <c r="F24" s="34" t="s">
        <v>37</v>
      </c>
      <c r="G24" s="1"/>
      <c r="H24" s="1"/>
      <c r="I24" s="1"/>
      <c r="J24" s="1"/>
      <c r="K24" s="33" t="s">
        <v>44</v>
      </c>
    </row>
    <row r="25" spans="1:11" ht="30" customHeight="1">
      <c r="A25" s="5">
        <v>23</v>
      </c>
      <c r="B25" s="1"/>
      <c r="C25" s="1"/>
      <c r="D25" s="33" t="s">
        <v>32</v>
      </c>
      <c r="E25" s="1"/>
      <c r="F25" s="34" t="s">
        <v>42</v>
      </c>
      <c r="G25" s="1"/>
      <c r="H25" s="1"/>
      <c r="I25" s="1"/>
      <c r="J25" s="1"/>
      <c r="K25" s="33" t="s">
        <v>44</v>
      </c>
    </row>
    <row r="26" spans="1:11" ht="30" customHeight="1">
      <c r="A26" s="5">
        <v>24</v>
      </c>
      <c r="B26" s="1"/>
      <c r="C26" s="1"/>
      <c r="D26" s="33" t="s">
        <v>39</v>
      </c>
      <c r="E26" s="1"/>
      <c r="F26" s="34" t="s">
        <v>27</v>
      </c>
      <c r="G26" s="1"/>
      <c r="H26" s="1"/>
      <c r="I26" s="1"/>
      <c r="J26" s="1"/>
      <c r="K26" s="33" t="s">
        <v>45</v>
      </c>
    </row>
    <row r="27" spans="1:11" ht="30" customHeight="1">
      <c r="A27" s="5">
        <v>25</v>
      </c>
      <c r="B27" s="1"/>
      <c r="C27" s="1"/>
      <c r="D27" s="33" t="s">
        <v>36</v>
      </c>
      <c r="E27" s="1"/>
      <c r="F27" s="34" t="s">
        <v>33</v>
      </c>
      <c r="G27" s="1"/>
      <c r="H27" s="1"/>
      <c r="I27" s="1"/>
      <c r="J27" s="1"/>
      <c r="K27" s="33" t="s">
        <v>45</v>
      </c>
    </row>
  </sheetData>
  <autoFilter ref="A2:K27" xr:uid="{B3FF245C-1ECF-4A85-8090-D58F4610CBE4}"/>
  <mergeCells count="1">
    <mergeCell ref="A1:K1"/>
  </mergeCells>
  <pageMargins left="0.7" right="0.7" top="0.75" bottom="0.75" header="0.3" footer="0.3"/>
  <pageSetup scale="46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04DC254-F487-40CB-99BA-3D235C2C5DD2}">
          <x14:formula1>
            <xm:f>Listas!$D$3:$D$5</xm:f>
          </x14:formula1>
          <xm:sqref>K3:K27</xm:sqref>
        </x14:dataValidation>
        <x14:dataValidation type="list" allowBlank="1" showInputMessage="1" showErrorMessage="1" xr:uid="{C81E111F-A464-4E3E-B9A2-66A3B88F4922}">
          <x14:formula1>
            <xm:f>Listas!$A$3:$A$8</xm:f>
          </x14:formula1>
          <xm:sqref>F3:F27</xm:sqref>
        </x14:dataValidation>
        <x14:dataValidation type="list" allowBlank="1" showInputMessage="1" showErrorMessage="1" xr:uid="{049B816F-2E09-4417-A514-3785AFDB7173}">
          <x14:formula1>
            <xm:f>Listas!$B$3:$B$12</xm:f>
          </x14:formula1>
          <xm:sqref>D3:D27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2CE9-D153-43E1-92D5-29C738C3575E}">
  <sheetPr>
    <pageSetUpPr fitToPage="1"/>
  </sheetPr>
  <dimension ref="A1:J27"/>
  <sheetViews>
    <sheetView showGridLines="0" zoomScale="85" zoomScaleNormal="85" workbookViewId="0">
      <selection activeCell="E4" sqref="E4:E6"/>
    </sheetView>
  </sheetViews>
  <sheetFormatPr defaultColWidth="11.42578125" defaultRowHeight="15"/>
  <cols>
    <col min="1" max="1" width="8.85546875" customWidth="1"/>
    <col min="2" max="2" width="21.28515625" customWidth="1"/>
    <col min="3" max="3" width="29.7109375" customWidth="1"/>
    <col min="4" max="4" width="40" customWidth="1"/>
    <col min="5" max="5" width="28" customWidth="1"/>
    <col min="6" max="6" width="36.7109375" customWidth="1"/>
    <col min="7" max="7" width="22.7109375" customWidth="1"/>
    <col min="8" max="9" width="16.5703125" customWidth="1"/>
    <col min="10" max="10" width="21" customWidth="1"/>
  </cols>
  <sheetData>
    <row r="1" spans="1:10" ht="21">
      <c r="A1" s="43" t="s">
        <v>46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31.5">
      <c r="A2" s="6" t="s">
        <v>14</v>
      </c>
      <c r="B2" s="7" t="s">
        <v>15</v>
      </c>
      <c r="C2" s="31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8" t="s">
        <v>22</v>
      </c>
      <c r="I2" s="8" t="s">
        <v>23</v>
      </c>
      <c r="J2" s="6" t="s">
        <v>24</v>
      </c>
    </row>
    <row r="3" spans="1:10" ht="30" customHeight="1">
      <c r="A3" s="5">
        <v>1</v>
      </c>
      <c r="B3" s="1"/>
      <c r="C3" s="20" t="s">
        <v>47</v>
      </c>
      <c r="D3" s="14"/>
      <c r="E3" s="15" t="s">
        <v>27</v>
      </c>
      <c r="F3" s="16"/>
      <c r="G3" s="17"/>
      <c r="H3" s="14"/>
      <c r="I3" s="14"/>
      <c r="J3" s="18" t="s">
        <v>29</v>
      </c>
    </row>
    <row r="4" spans="1:10" ht="30" customHeight="1">
      <c r="A4" s="5">
        <v>2</v>
      </c>
      <c r="B4" s="19"/>
      <c r="C4" s="20" t="s">
        <v>48</v>
      </c>
      <c r="D4" s="19"/>
      <c r="E4" s="15" t="s">
        <v>33</v>
      </c>
      <c r="F4" s="19"/>
      <c r="G4" s="2"/>
      <c r="H4" s="19"/>
      <c r="I4" s="19"/>
      <c r="J4" s="18" t="s">
        <v>29</v>
      </c>
    </row>
    <row r="5" spans="1:10" ht="44.45" customHeight="1">
      <c r="A5" s="5">
        <v>3</v>
      </c>
      <c r="B5" s="19"/>
      <c r="C5" s="20" t="s">
        <v>49</v>
      </c>
      <c r="D5" s="19"/>
      <c r="E5" s="15" t="s">
        <v>27</v>
      </c>
      <c r="F5" s="19"/>
      <c r="G5" s="2"/>
      <c r="H5" s="19"/>
      <c r="I5" s="19"/>
      <c r="J5" s="18" t="s">
        <v>29</v>
      </c>
    </row>
    <row r="6" spans="1:10" ht="30" customHeight="1">
      <c r="A6" s="5">
        <v>4</v>
      </c>
      <c r="B6" s="19"/>
      <c r="C6" s="20" t="s">
        <v>49</v>
      </c>
      <c r="D6" s="19"/>
      <c r="E6" s="15" t="s">
        <v>27</v>
      </c>
      <c r="F6" s="19"/>
      <c r="G6" s="2"/>
      <c r="H6" s="19"/>
      <c r="I6" s="19"/>
      <c r="J6" s="18" t="s">
        <v>29</v>
      </c>
    </row>
    <row r="7" spans="1:10" ht="30" customHeight="1">
      <c r="A7" s="5">
        <v>5</v>
      </c>
      <c r="B7" s="19"/>
      <c r="C7" s="20" t="s">
        <v>50</v>
      </c>
      <c r="D7" s="19"/>
      <c r="E7" s="15" t="s">
        <v>33</v>
      </c>
      <c r="F7" s="19"/>
      <c r="G7" s="2"/>
      <c r="H7" s="19"/>
      <c r="I7" s="19"/>
      <c r="J7" s="18" t="s">
        <v>29</v>
      </c>
    </row>
    <row r="8" spans="1:10" ht="30" customHeight="1">
      <c r="A8" s="5">
        <v>6</v>
      </c>
      <c r="B8" s="19"/>
      <c r="C8" s="20" t="s">
        <v>47</v>
      </c>
      <c r="D8" s="19"/>
      <c r="E8" s="15" t="s">
        <v>31</v>
      </c>
      <c r="F8" s="19"/>
      <c r="G8" s="2"/>
      <c r="H8" s="19"/>
      <c r="I8" s="19"/>
      <c r="J8" s="18" t="s">
        <v>29</v>
      </c>
    </row>
    <row r="9" spans="1:10" ht="30" customHeight="1">
      <c r="A9" s="5">
        <v>7</v>
      </c>
      <c r="B9" s="19"/>
      <c r="C9" s="20" t="s">
        <v>48</v>
      </c>
      <c r="D9" s="19"/>
      <c r="E9" s="15" t="s">
        <v>40</v>
      </c>
      <c r="F9" s="19"/>
      <c r="G9" s="2"/>
      <c r="H9" s="19"/>
      <c r="I9" s="19"/>
      <c r="J9" s="18" t="s">
        <v>29</v>
      </c>
    </row>
    <row r="10" spans="1:10" ht="30" customHeight="1">
      <c r="A10" s="5">
        <v>8</v>
      </c>
      <c r="B10" s="19"/>
      <c r="C10" s="20" t="s">
        <v>51</v>
      </c>
      <c r="D10" s="19"/>
      <c r="E10" s="15" t="s">
        <v>33</v>
      </c>
      <c r="F10" s="19"/>
      <c r="G10" s="2"/>
      <c r="H10" s="19"/>
      <c r="I10" s="19"/>
      <c r="J10" s="18" t="s">
        <v>29</v>
      </c>
    </row>
    <row r="11" spans="1:10" ht="30" customHeight="1">
      <c r="A11" s="5">
        <v>9</v>
      </c>
      <c r="B11" s="19"/>
      <c r="C11" s="20" t="s">
        <v>47</v>
      </c>
      <c r="D11" s="19"/>
      <c r="E11" s="15" t="s">
        <v>31</v>
      </c>
      <c r="F11" s="19"/>
      <c r="G11" s="2"/>
      <c r="H11" s="19"/>
      <c r="I11" s="19"/>
      <c r="J11" s="18" t="s">
        <v>29</v>
      </c>
    </row>
    <row r="12" spans="1:10" ht="30" customHeight="1">
      <c r="A12" s="5">
        <v>10</v>
      </c>
      <c r="B12" s="19"/>
      <c r="C12" s="20" t="s">
        <v>50</v>
      </c>
      <c r="D12" s="19"/>
      <c r="E12" s="15" t="s">
        <v>27</v>
      </c>
      <c r="F12" s="19"/>
      <c r="G12" s="2"/>
      <c r="H12" s="19"/>
      <c r="I12" s="19"/>
      <c r="J12" s="18" t="s">
        <v>29</v>
      </c>
    </row>
    <row r="13" spans="1:10" ht="30" customHeight="1">
      <c r="A13" s="5">
        <v>11</v>
      </c>
      <c r="B13" s="19"/>
      <c r="C13" s="20" t="s">
        <v>47</v>
      </c>
      <c r="D13" s="19"/>
      <c r="E13" s="15" t="s">
        <v>27</v>
      </c>
      <c r="F13" s="19"/>
      <c r="G13" s="2"/>
      <c r="H13" s="19"/>
      <c r="I13" s="19"/>
      <c r="J13" s="18" t="s">
        <v>29</v>
      </c>
    </row>
    <row r="14" spans="1:10" ht="30" customHeight="1">
      <c r="A14" s="5">
        <v>12</v>
      </c>
      <c r="B14" s="19"/>
      <c r="C14" s="20" t="s">
        <v>48</v>
      </c>
      <c r="D14" s="19"/>
      <c r="E14" s="15" t="s">
        <v>31</v>
      </c>
      <c r="F14" s="19"/>
      <c r="G14" s="2"/>
      <c r="H14" s="19"/>
      <c r="I14" s="19"/>
      <c r="J14" s="18" t="s">
        <v>29</v>
      </c>
    </row>
    <row r="15" spans="1:10" ht="30" customHeight="1">
      <c r="A15" s="5">
        <v>13</v>
      </c>
      <c r="B15" s="19"/>
      <c r="C15" s="20" t="s">
        <v>51</v>
      </c>
      <c r="D15" s="19"/>
      <c r="E15" s="15" t="s">
        <v>31</v>
      </c>
      <c r="F15" s="19"/>
      <c r="G15" s="2"/>
      <c r="H15" s="19"/>
      <c r="I15" s="19"/>
      <c r="J15" s="18" t="s">
        <v>29</v>
      </c>
    </row>
    <row r="16" spans="1:10" ht="30" customHeight="1">
      <c r="A16" s="5">
        <v>14</v>
      </c>
      <c r="B16" s="19"/>
      <c r="C16" s="20" t="s">
        <v>51</v>
      </c>
      <c r="D16" s="19"/>
      <c r="E16" s="15" t="s">
        <v>31</v>
      </c>
      <c r="F16" s="19"/>
      <c r="G16" s="2"/>
      <c r="H16" s="19"/>
      <c r="I16" s="19"/>
      <c r="J16" s="18" t="s">
        <v>29</v>
      </c>
    </row>
    <row r="17" spans="1:10" ht="30" customHeight="1">
      <c r="A17" s="5">
        <v>15</v>
      </c>
      <c r="B17" s="19"/>
      <c r="C17" s="20" t="s">
        <v>50</v>
      </c>
      <c r="D17" s="19"/>
      <c r="E17" s="15" t="s">
        <v>31</v>
      </c>
      <c r="F17" s="19"/>
      <c r="G17" s="2"/>
      <c r="H17" s="19"/>
      <c r="I17" s="19"/>
      <c r="J17" s="18" t="s">
        <v>44</v>
      </c>
    </row>
    <row r="18" spans="1:10" ht="30" customHeight="1">
      <c r="A18" s="5">
        <v>16</v>
      </c>
      <c r="B18" s="19"/>
      <c r="C18" s="20" t="s">
        <v>47</v>
      </c>
      <c r="D18" s="19"/>
      <c r="E18" s="15" t="s">
        <v>27</v>
      </c>
      <c r="F18" s="19"/>
      <c r="G18" s="2"/>
      <c r="H18" s="19"/>
      <c r="I18" s="19"/>
      <c r="J18" s="18" t="s">
        <v>44</v>
      </c>
    </row>
    <row r="19" spans="1:10" ht="30" customHeight="1">
      <c r="A19" s="5">
        <v>17</v>
      </c>
      <c r="B19" s="19"/>
      <c r="C19" s="20" t="s">
        <v>48</v>
      </c>
      <c r="D19" s="19"/>
      <c r="E19" s="15" t="s">
        <v>42</v>
      </c>
      <c r="F19" s="19"/>
      <c r="G19" s="2"/>
      <c r="H19" s="19"/>
      <c r="I19" s="19"/>
      <c r="J19" s="18" t="s">
        <v>44</v>
      </c>
    </row>
    <row r="20" spans="1:10" ht="30" customHeight="1">
      <c r="A20" s="5">
        <v>18</v>
      </c>
      <c r="B20" s="19"/>
      <c r="C20" s="20" t="s">
        <v>51</v>
      </c>
      <c r="D20" s="19"/>
      <c r="E20" s="15" t="s">
        <v>27</v>
      </c>
      <c r="F20" s="19"/>
      <c r="G20" s="2"/>
      <c r="H20" s="19"/>
      <c r="I20" s="19"/>
      <c r="J20" s="18" t="s">
        <v>44</v>
      </c>
    </row>
    <row r="21" spans="1:10" ht="30" customHeight="1">
      <c r="A21" s="5">
        <v>19</v>
      </c>
      <c r="B21" s="19"/>
      <c r="C21" s="20" t="s">
        <v>48</v>
      </c>
      <c r="D21" s="19"/>
      <c r="E21" s="15" t="s">
        <v>33</v>
      </c>
      <c r="F21" s="19"/>
      <c r="G21" s="2"/>
      <c r="H21" s="19"/>
      <c r="I21" s="19"/>
      <c r="J21" s="18" t="s">
        <v>44</v>
      </c>
    </row>
    <row r="22" spans="1:10" ht="30" customHeight="1">
      <c r="A22" s="5">
        <v>20</v>
      </c>
      <c r="B22" s="19"/>
      <c r="C22" s="20" t="s">
        <v>50</v>
      </c>
      <c r="D22" s="19"/>
      <c r="E22" s="15" t="s">
        <v>31</v>
      </c>
      <c r="F22" s="19"/>
      <c r="G22" s="2"/>
      <c r="H22" s="19"/>
      <c r="I22" s="19"/>
      <c r="J22" s="18" t="s">
        <v>44</v>
      </c>
    </row>
    <row r="23" spans="1:10" ht="30" customHeight="1">
      <c r="A23" s="5">
        <v>21</v>
      </c>
      <c r="B23" s="19"/>
      <c r="C23" s="20" t="s">
        <v>47</v>
      </c>
      <c r="D23" s="19"/>
      <c r="E23" s="15" t="s">
        <v>40</v>
      </c>
      <c r="F23" s="19"/>
      <c r="G23" s="2"/>
      <c r="H23" s="19"/>
      <c r="I23" s="19"/>
      <c r="J23" s="18" t="s">
        <v>44</v>
      </c>
    </row>
    <row r="24" spans="1:10" ht="30" customHeight="1">
      <c r="A24" s="5">
        <v>22</v>
      </c>
      <c r="B24" s="19"/>
      <c r="C24" s="20" t="s">
        <v>48</v>
      </c>
      <c r="D24" s="19"/>
      <c r="E24" s="15" t="s">
        <v>33</v>
      </c>
      <c r="F24" s="19"/>
      <c r="G24" s="2"/>
      <c r="H24" s="19"/>
      <c r="I24" s="19"/>
      <c r="J24" s="18" t="s">
        <v>44</v>
      </c>
    </row>
    <row r="25" spans="1:10" ht="30" customHeight="1">
      <c r="A25" s="5">
        <v>23</v>
      </c>
      <c r="B25" s="19"/>
      <c r="C25" s="20" t="s">
        <v>51</v>
      </c>
      <c r="D25" s="19"/>
      <c r="E25" s="15" t="s">
        <v>42</v>
      </c>
      <c r="F25" s="19"/>
      <c r="G25" s="2"/>
      <c r="H25" s="19"/>
      <c r="I25" s="19"/>
      <c r="J25" s="18" t="s">
        <v>45</v>
      </c>
    </row>
    <row r="26" spans="1:10" ht="30" customHeight="1">
      <c r="A26" s="5">
        <v>24</v>
      </c>
      <c r="B26" s="19"/>
      <c r="C26" s="20" t="s">
        <v>49</v>
      </c>
      <c r="D26" s="19"/>
      <c r="E26" s="15" t="s">
        <v>37</v>
      </c>
      <c r="F26" s="19"/>
      <c r="G26" s="2"/>
      <c r="H26" s="19"/>
      <c r="I26" s="19"/>
      <c r="J26" s="18" t="s">
        <v>45</v>
      </c>
    </row>
    <row r="27" spans="1:10" ht="30" customHeight="1">
      <c r="A27" s="5">
        <v>25</v>
      </c>
      <c r="B27" s="19"/>
      <c r="C27" s="20" t="s">
        <v>50</v>
      </c>
      <c r="D27" s="19"/>
      <c r="E27" s="15" t="s">
        <v>27</v>
      </c>
      <c r="F27" s="19"/>
      <c r="G27" s="2"/>
      <c r="H27" s="19"/>
      <c r="I27" s="19"/>
      <c r="J27" s="18" t="s">
        <v>45</v>
      </c>
    </row>
  </sheetData>
  <autoFilter ref="A2:J27" xr:uid="{74762CE9-D153-43E1-92D5-29C738C3575E}"/>
  <mergeCells count="1">
    <mergeCell ref="A1:J1"/>
  </mergeCells>
  <pageMargins left="0.7" right="0.7" top="0.75" bottom="0.75" header="0.3" footer="0.3"/>
  <pageSetup paperSize="9" scale="54" orientation="landscape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9B5CE-510D-4D30-A145-79F82A2585D3}">
          <x14:formula1>
            <xm:f>Listas!$G$3:$G$7</xm:f>
          </x14:formula1>
          <xm:sqref>C3:C27</xm:sqref>
        </x14:dataValidation>
        <x14:dataValidation type="list" allowBlank="1" showInputMessage="1" showErrorMessage="1" xr:uid="{5147F20A-FCFA-458D-9C12-A7C3530F7E09}">
          <x14:formula1>
            <xm:f>Listas!$D$3:$D$5</xm:f>
          </x14:formula1>
          <xm:sqref>J3:J27</xm:sqref>
        </x14:dataValidation>
        <x14:dataValidation type="list" allowBlank="1" showInputMessage="1" showErrorMessage="1" xr:uid="{3625F354-8C2F-4873-AC84-FF7741ED9CA3}">
          <x14:formula1>
            <xm:f>Listas!$A$3:$A$8</xm:f>
          </x14:formula1>
          <xm:sqref>E3:E27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F674-0C5F-4FA6-81CF-05C99CB95E3E}">
  <sheetPr>
    <pageSetUpPr fitToPage="1"/>
  </sheetPr>
  <dimension ref="A1:U16"/>
  <sheetViews>
    <sheetView showGridLines="0" zoomScale="70" zoomScaleNormal="70" workbookViewId="0">
      <selection activeCell="H45" sqref="H45"/>
    </sheetView>
  </sheetViews>
  <sheetFormatPr defaultColWidth="8.85546875" defaultRowHeight="15"/>
  <cols>
    <col min="1" max="1" width="23" customWidth="1"/>
    <col min="2" max="3" width="11.28515625" customWidth="1"/>
    <col min="4" max="4" width="24.42578125" customWidth="1"/>
    <col min="5" max="5" width="12.5703125" customWidth="1"/>
    <col min="6" max="6" width="11.28515625" customWidth="1"/>
    <col min="7" max="7" width="21.42578125" customWidth="1"/>
    <col min="8" max="8" width="12.85546875" customWidth="1"/>
    <col min="9" max="9" width="24.85546875" customWidth="1"/>
    <col min="11" max="11" width="54.140625" customWidth="1"/>
    <col min="12" max="12" width="21.85546875" customWidth="1"/>
    <col min="13" max="13" width="8" customWidth="1"/>
    <col min="14" max="14" width="4.85546875" customWidth="1"/>
    <col min="15" max="15" width="24.5703125" customWidth="1"/>
    <col min="16" max="16" width="11.85546875" customWidth="1"/>
    <col min="18" max="18" width="18.85546875" customWidth="1"/>
    <col min="19" max="19" width="12" customWidth="1"/>
    <col min="20" max="20" width="7.7109375" customWidth="1"/>
    <col min="21" max="21" width="17.5703125" customWidth="1"/>
  </cols>
  <sheetData>
    <row r="1" spans="1:21" ht="18.75">
      <c r="A1" s="44" t="s">
        <v>52</v>
      </c>
      <c r="B1" s="44"/>
      <c r="C1" s="44"/>
      <c r="D1" s="44"/>
      <c r="E1" s="44"/>
      <c r="F1" s="44"/>
      <c r="G1" s="44"/>
      <c r="H1" s="44"/>
      <c r="K1" s="44" t="s">
        <v>53</v>
      </c>
      <c r="L1" s="44"/>
      <c r="M1" s="44"/>
      <c r="N1" s="44"/>
      <c r="O1" s="44"/>
      <c r="P1" s="44"/>
      <c r="Q1" s="44"/>
      <c r="R1" s="44"/>
      <c r="S1" s="44"/>
    </row>
    <row r="2" spans="1:21">
      <c r="A2" s="27" t="s">
        <v>54</v>
      </c>
      <c r="B2" s="27" t="s">
        <v>55</v>
      </c>
      <c r="C2" s="28"/>
      <c r="D2" s="27" t="s">
        <v>56</v>
      </c>
      <c r="E2" s="27" t="s">
        <v>55</v>
      </c>
      <c r="G2" s="27" t="s">
        <v>24</v>
      </c>
      <c r="H2" s="27" t="s">
        <v>55</v>
      </c>
      <c r="K2" s="27" t="s">
        <v>57</v>
      </c>
      <c r="L2" s="27" t="s">
        <v>55</v>
      </c>
      <c r="M2" s="28"/>
      <c r="O2" s="27" t="s">
        <v>56</v>
      </c>
      <c r="P2" s="27" t="s">
        <v>55</v>
      </c>
      <c r="R2" s="27" t="s">
        <v>24</v>
      </c>
      <c r="S2" s="27" t="s">
        <v>55</v>
      </c>
    </row>
    <row r="3" spans="1:21">
      <c r="A3" s="25" t="s">
        <v>34</v>
      </c>
      <c r="B3" s="2">
        <f>COUNTIF('1.-Auditoría Proyectos'!D3:D27,'3.-Tendencias'!A3)</f>
        <v>2</v>
      </c>
      <c r="C3" s="29"/>
      <c r="D3" s="30" t="s">
        <v>27</v>
      </c>
      <c r="E3" s="2">
        <f>COUNTIF('1.-Auditoría Proyectos'!F3:F27,'3.-Tendencias'!D3)</f>
        <v>7</v>
      </c>
      <c r="G3" s="25" t="s">
        <v>44</v>
      </c>
      <c r="H3" s="2">
        <f>COUNTIF('1.-Auditoría Proyectos'!K3:K27,'3.-Tendencias'!G3)</f>
        <v>8</v>
      </c>
      <c r="K3" s="32" t="s">
        <v>47</v>
      </c>
      <c r="L3" s="2">
        <f>COUNTIF('2.-Auditorías Organizacionales'!C3:C27,'3.-Tendencias'!K3)</f>
        <v>6</v>
      </c>
      <c r="M3" s="29"/>
      <c r="O3" s="30" t="s">
        <v>27</v>
      </c>
      <c r="P3" s="2">
        <f>COUNTIF('2.-Auditorías Organizacionales'!E3:E27,'3.-Tendencias'!O3)</f>
        <v>8</v>
      </c>
      <c r="R3" s="25" t="s">
        <v>44</v>
      </c>
      <c r="S3" s="2">
        <f>COUNTIF('2.-Auditorías Organizacionales'!J3:J27,'3.-Tendencias'!R3)</f>
        <v>8</v>
      </c>
    </row>
    <row r="4" spans="1:21">
      <c r="A4" s="25" t="s">
        <v>35</v>
      </c>
      <c r="B4" s="2">
        <f>COUNTIF('1.-Auditoría Proyectos'!D4:D28,'3.-Tendencias'!A4)</f>
        <v>2</v>
      </c>
      <c r="C4" s="29"/>
      <c r="D4" s="30" t="s">
        <v>37</v>
      </c>
      <c r="E4" s="2">
        <f>COUNTIF('1.-Auditoría Proyectos'!F3:F27,'3.-Tendencias'!D4)</f>
        <v>3</v>
      </c>
      <c r="G4" s="25" t="s">
        <v>29</v>
      </c>
      <c r="H4" s="2">
        <f>COUNTIF('1.-Auditoría Proyectos'!K4:K28,'3.-Tendencias'!G4)</f>
        <v>14</v>
      </c>
      <c r="K4" s="32" t="s">
        <v>48</v>
      </c>
      <c r="L4" s="2">
        <f>COUNTIF('2.-Auditorías Organizacionales'!C4:C28,'3.-Tendencias'!K4)</f>
        <v>6</v>
      </c>
      <c r="M4" s="29"/>
      <c r="O4" s="30" t="s">
        <v>37</v>
      </c>
      <c r="P4" s="2">
        <f>COUNTIF('2.-Auditorías Organizacionales'!E4:E28,'3.-Tendencias'!O4)</f>
        <v>1</v>
      </c>
      <c r="R4" s="25" t="s">
        <v>29</v>
      </c>
      <c r="S4" s="2">
        <f>COUNTIF('2.-Auditorías Organizacionales'!J3:J27,'3.-Tendencias'!R4)</f>
        <v>14</v>
      </c>
    </row>
    <row r="5" spans="1:21">
      <c r="A5" s="25" t="s">
        <v>36</v>
      </c>
      <c r="B5" s="2">
        <f>COUNTIF('1.-Auditoría Proyectos'!D3:D27,'3.-Tendencias'!A5)</f>
        <v>3</v>
      </c>
      <c r="C5" s="29"/>
      <c r="D5" s="30" t="s">
        <v>42</v>
      </c>
      <c r="E5" s="2">
        <f>COUNTIF('1.-Auditoría Proyectos'!F5:F29,'3.-Tendencias'!D5)</f>
        <v>6</v>
      </c>
      <c r="G5" s="25" t="s">
        <v>45</v>
      </c>
      <c r="H5" s="2">
        <f>COUNTIF('1.-Auditoría Proyectos'!K5:K29,'3.-Tendencias'!G5)</f>
        <v>2</v>
      </c>
      <c r="K5" s="32" t="s">
        <v>51</v>
      </c>
      <c r="L5" s="2">
        <f>COUNTIF('2.-Auditorías Organizacionales'!C5:C29,'3.-Tendencias'!K5)</f>
        <v>5</v>
      </c>
      <c r="M5" s="29"/>
      <c r="O5" s="30" t="s">
        <v>42</v>
      </c>
      <c r="P5" s="2">
        <f>COUNTIF('2.-Auditorías Organizacionales'!E5:E29,'3.-Tendencias'!O5)</f>
        <v>2</v>
      </c>
      <c r="R5" s="25" t="s">
        <v>45</v>
      </c>
      <c r="S5" s="2">
        <f>COUNTIF('2.-Auditorías Organizacionales'!J5:J29,'3.-Tendencias'!R5)</f>
        <v>3</v>
      </c>
    </row>
    <row r="6" spans="1:21">
      <c r="A6" s="25" t="s">
        <v>38</v>
      </c>
      <c r="B6" s="2">
        <f>COUNTIF('1.-Auditoría Proyectos'!D6:D30,'3.-Tendencias'!A6)</f>
        <v>2</v>
      </c>
      <c r="C6" s="29"/>
      <c r="D6" s="30" t="s">
        <v>40</v>
      </c>
      <c r="E6" s="2">
        <f>COUNTIF('1.-Auditoría Proyectos'!F3:F27,'3.-Tendencias'!D6)</f>
        <v>2</v>
      </c>
      <c r="K6" s="32" t="s">
        <v>49</v>
      </c>
      <c r="L6" s="2">
        <f>COUNTIF('2.-Auditorías Organizacionales'!C6:C30,'3.-Tendencias'!K6)</f>
        <v>2</v>
      </c>
      <c r="M6" s="29"/>
      <c r="O6" s="30" t="s">
        <v>40</v>
      </c>
      <c r="P6" s="2">
        <f>COUNTIF('2.-Auditorías Organizacionales'!E6:E30,'3.-Tendencias'!O6)</f>
        <v>2</v>
      </c>
    </row>
    <row r="7" spans="1:21">
      <c r="A7" s="25" t="s">
        <v>39</v>
      </c>
      <c r="B7" s="2">
        <f>COUNTIF('1.-Auditoría Proyectos'!D7:D31,'3.-Tendencias'!A7)</f>
        <v>4</v>
      </c>
      <c r="C7" s="29"/>
      <c r="D7" s="30" t="s">
        <v>33</v>
      </c>
      <c r="E7" s="2">
        <f>COUNTIF('1.-Auditoría Proyectos'!F7:F31,'3.-Tendencias'!D7)</f>
        <v>5</v>
      </c>
      <c r="K7" s="32" t="s">
        <v>50</v>
      </c>
      <c r="L7" s="2">
        <f>COUNTIF('2.-Auditorías Organizacionales'!C3:C27,'3.-Tendencias'!K7)</f>
        <v>5</v>
      </c>
      <c r="M7" s="29"/>
      <c r="O7" s="30" t="s">
        <v>33</v>
      </c>
      <c r="P7" s="2">
        <f>COUNTIF('2.-Auditorías Organizacionales'!E3:E27,'3.-Tendencias'!O7)</f>
        <v>5</v>
      </c>
    </row>
    <row r="8" spans="1:21">
      <c r="A8" s="25" t="s">
        <v>41</v>
      </c>
      <c r="B8" s="2">
        <f>COUNTIF('1.-Auditoría Proyectos'!D8:D32,'3.-Tendencias'!A8)</f>
        <v>2</v>
      </c>
      <c r="C8" s="29"/>
      <c r="D8" s="30" t="s">
        <v>31</v>
      </c>
      <c r="E8" s="2">
        <f>COUNTIF('1.-Auditoría Proyectos'!F3:F27,'3.-Tendencias'!D8)</f>
        <v>1</v>
      </c>
      <c r="M8" s="29"/>
      <c r="O8" s="30" t="s">
        <v>31</v>
      </c>
      <c r="P8" s="2">
        <f>COUNTIF('2.-Auditorías Organizacionales'!E8:E32,'3.-Tendencias'!O8)</f>
        <v>7</v>
      </c>
    </row>
    <row r="9" spans="1:21">
      <c r="A9" s="25" t="s">
        <v>43</v>
      </c>
      <c r="B9" s="2">
        <f>COUNTIF('1.-Auditoría Proyectos'!D3:D27,'3.-Tendencias'!A9)</f>
        <v>3</v>
      </c>
      <c r="C9" s="29"/>
      <c r="M9" s="29"/>
    </row>
    <row r="10" spans="1:21">
      <c r="A10" s="25" t="s">
        <v>30</v>
      </c>
      <c r="B10" s="2">
        <f>COUNTIF('1.-Auditoría Proyectos'!D3:D27,'3.-Tendencias'!A10)</f>
        <v>2</v>
      </c>
      <c r="C10" s="29"/>
      <c r="M10" s="29"/>
    </row>
    <row r="11" spans="1:21">
      <c r="A11" s="25" t="s">
        <v>26</v>
      </c>
      <c r="B11" s="2">
        <f>COUNTIF('1.-Auditoría Proyectos'!D3:D27,'3.-Tendencias'!A11)</f>
        <v>2</v>
      </c>
      <c r="C11" s="29"/>
      <c r="M11" s="29"/>
    </row>
    <row r="12" spans="1:21">
      <c r="A12" s="25" t="s">
        <v>32</v>
      </c>
      <c r="B12" s="2">
        <f>COUNTIF('1.-Auditoría Proyectos'!D20:D44,'3.-Tendencias'!A12)</f>
        <v>2</v>
      </c>
      <c r="C12" s="29"/>
      <c r="M12" s="29"/>
    </row>
    <row r="16" spans="1:21">
      <c r="U16" t="s">
        <v>58</v>
      </c>
    </row>
  </sheetData>
  <mergeCells count="2">
    <mergeCell ref="A1:H1"/>
    <mergeCell ref="K1:S1"/>
  </mergeCells>
  <phoneticPr fontId="16" type="noConversion"/>
  <pageMargins left="0.7" right="0.7" top="0.75" bottom="0.75" header="0.3" footer="0.3"/>
  <pageSetup paperSize="9" scale="31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511B-F1FF-4C03-8219-0E584D0AE6E3}">
  <dimension ref="A1:G12"/>
  <sheetViews>
    <sheetView showGridLines="0" topLeftCell="A3" zoomScale="115" zoomScaleNormal="115" workbookViewId="0">
      <selection activeCell="E12" sqref="E12"/>
    </sheetView>
  </sheetViews>
  <sheetFormatPr defaultColWidth="10.85546875" defaultRowHeight="15"/>
  <cols>
    <col min="1" max="1" width="22.5703125" customWidth="1"/>
    <col min="2" max="2" width="26" customWidth="1"/>
    <col min="4" max="4" width="17.7109375" bestFit="1" customWidth="1"/>
    <col min="7" max="7" width="31.5703125" customWidth="1"/>
    <col min="9" max="9" width="24.140625" customWidth="1"/>
  </cols>
  <sheetData>
    <row r="1" spans="1:7" ht="15.75" thickBot="1"/>
    <row r="2" spans="1:7" ht="15.75" thickBot="1">
      <c r="A2" s="22" t="s">
        <v>59</v>
      </c>
      <c r="B2" s="24" t="s">
        <v>60</v>
      </c>
      <c r="D2" s="22" t="s">
        <v>24</v>
      </c>
      <c r="G2" s="23" t="s">
        <v>61</v>
      </c>
    </row>
    <row r="3" spans="1:7" ht="16.350000000000001" customHeight="1">
      <c r="A3" s="3" t="s">
        <v>27</v>
      </c>
      <c r="B3" s="19" t="s">
        <v>34</v>
      </c>
      <c r="D3" s="3" t="s">
        <v>29</v>
      </c>
      <c r="G3" s="19" t="s">
        <v>47</v>
      </c>
    </row>
    <row r="4" spans="1:7" ht="29.45" customHeight="1">
      <c r="A4" s="2" t="s">
        <v>37</v>
      </c>
      <c r="B4" s="19" t="s">
        <v>35</v>
      </c>
      <c r="D4" s="2" t="s">
        <v>44</v>
      </c>
      <c r="G4" s="21" t="s">
        <v>48</v>
      </c>
    </row>
    <row r="5" spans="1:7">
      <c r="A5" s="2" t="s">
        <v>42</v>
      </c>
      <c r="B5" s="19" t="s">
        <v>36</v>
      </c>
      <c r="D5" s="2" t="s">
        <v>45</v>
      </c>
      <c r="G5" s="19" t="s">
        <v>51</v>
      </c>
    </row>
    <row r="6" spans="1:7">
      <c r="A6" s="2" t="s">
        <v>40</v>
      </c>
      <c r="B6" s="19" t="s">
        <v>38</v>
      </c>
      <c r="G6" s="19" t="s">
        <v>49</v>
      </c>
    </row>
    <row r="7" spans="1:7">
      <c r="A7" s="2" t="s">
        <v>33</v>
      </c>
      <c r="B7" s="19" t="s">
        <v>39</v>
      </c>
      <c r="G7" s="19" t="s">
        <v>50</v>
      </c>
    </row>
    <row r="8" spans="1:7">
      <c r="A8" s="2" t="s">
        <v>31</v>
      </c>
      <c r="B8" s="19" t="s">
        <v>41</v>
      </c>
    </row>
    <row r="9" spans="1:7">
      <c r="B9" s="19" t="s">
        <v>43</v>
      </c>
    </row>
    <row r="10" spans="1:7">
      <c r="B10" s="26" t="s">
        <v>30</v>
      </c>
    </row>
    <row r="11" spans="1:7">
      <c r="B11" s="19" t="s">
        <v>26</v>
      </c>
    </row>
    <row r="12" spans="1:7">
      <c r="B12" s="19" t="s">
        <v>32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f1020bcf-9500-4749-8c84-b23cf1385772" xsi:nil="true"/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e317a7924b2544239d4f057d999310a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7d42326814b3c435e052ee9b8530a2a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9FDE6D-3104-4CFD-AD68-3983ACD761EF}"/>
</file>

<file path=customXml/itemProps2.xml><?xml version="1.0" encoding="utf-8"?>
<ds:datastoreItem xmlns:ds="http://schemas.openxmlformats.org/officeDocument/2006/customXml" ds:itemID="{3F27E56E-65F6-4957-A029-8DA7C662C0A5}"/>
</file>

<file path=customXml/itemProps3.xml><?xml version="1.0" encoding="utf-8"?>
<ds:datastoreItem xmlns:ds="http://schemas.openxmlformats.org/officeDocument/2006/customXml" ds:itemID="{3F7D8CD1-94E8-4090-A8A0-D4A8FF960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miguel.lopezhernandez@4js.com</cp:lastModifiedBy>
  <cp:revision/>
  <dcterms:created xsi:type="dcterms:W3CDTF">2019-10-01T16:54:03Z</dcterms:created>
  <dcterms:modified xsi:type="dcterms:W3CDTF">2026-03-17T14:40:33Z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