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my.sharepoint.com/personal/mota_innevo_com/Documents/Clientes/4JS/Shared/Capacitación organizacional/"/>
    </mc:Choice>
  </mc:AlternateContent>
  <xr:revisionPtr revIDLastSave="3039" documentId="8_{CBAD655B-F37D-4322-9671-F83F5C259D0C}" xr6:coauthVersionLast="47" xr6:coauthVersionMax="47" xr10:uidLastSave="{F84AC2D9-02D2-47EE-BF73-ABE2DA3707BE}"/>
  <bookViews>
    <workbookView xWindow="3090" yWindow="10810" windowWidth="22380" windowHeight="13980" activeTab="1" xr2:uid="{8C05E6EB-193B-40A3-A336-542E04753947}"/>
  </bookViews>
  <sheets>
    <sheet name="Información del documento" sheetId="1" r:id="rId1"/>
    <sheet name="1.-Progama capacitación" sheetId="3" r:id="rId2"/>
    <sheet name="2.-Desglose costos" sheetId="6" r:id="rId3"/>
    <sheet name="3.-Informe trimestral" sheetId="5" r:id="rId4"/>
    <sheet name="3.1.- Informe Cuatrimestral" sheetId="7" r:id="rId5"/>
    <sheet name="Listas" sheetId="4"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7" l="1"/>
  <c r="B8" i="7"/>
  <c r="G18" i="7"/>
  <c r="F18" i="7"/>
  <c r="C18" i="7"/>
  <c r="B18" i="7"/>
  <c r="G13" i="7"/>
  <c r="F13" i="7"/>
  <c r="C13" i="7"/>
  <c r="B13" i="7"/>
  <c r="G8" i="7"/>
  <c r="F8" i="7"/>
  <c r="I11" i="6"/>
  <c r="C11" i="6"/>
  <c r="F11" i="6"/>
  <c r="I20" i="6"/>
  <c r="F20" i="6"/>
  <c r="C20" i="6"/>
  <c r="G12" i="5" l="1"/>
  <c r="D16" i="5"/>
  <c r="C16" i="5"/>
  <c r="H20" i="5"/>
  <c r="G20" i="5"/>
  <c r="D20" i="5"/>
  <c r="C20" i="5"/>
  <c r="H16" i="5"/>
  <c r="G16" i="5"/>
  <c r="H12" i="5"/>
  <c r="H8" i="5"/>
  <c r="G8" i="5"/>
  <c r="D12" i="5"/>
  <c r="C12" i="5"/>
  <c r="D8" i="5"/>
  <c r="C8" i="5"/>
  <c r="F3" i="6" l="1"/>
  <c r="I3"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Documentación Innevo</author>
    <author>Tania López</author>
  </authors>
  <commentList>
    <comment ref="A2" authorId="0" shapeId="0" xr:uid="{9F66CC9A-86DC-4122-8447-AF7E319A4C16}">
      <text>
        <r>
          <rPr>
            <sz val="9"/>
            <color indexed="81"/>
            <rFont val="Tahoma"/>
            <family val="2"/>
          </rPr>
          <t>Seleccionar opción de lista desplegable
-Estratégica→ Nivel organizacional, tiene alcance a toda la empresa
Proyecto→ corto plazo, se involucra solo al personal de un proyecto especifico.</t>
        </r>
      </text>
    </comment>
    <comment ref="B2" authorId="0" shapeId="0" xr:uid="{996D4A6E-E719-43F5-872F-6A87F74E6EAF}">
      <text>
        <r>
          <rPr>
            <sz val="9"/>
            <color indexed="81"/>
            <rFont val="Tahoma"/>
            <family val="2"/>
          </rPr>
          <t>Plazo en que se debe de cumplir la capacitación del personal</t>
        </r>
      </text>
    </comment>
    <comment ref="D2" authorId="0" shapeId="0" xr:uid="{51E8EC57-F709-4D9F-831E-36B7C831EE10}">
      <text>
        <r>
          <rPr>
            <sz val="9"/>
            <color indexed="81"/>
            <rFont val="Tahoma"/>
            <family val="2"/>
          </rPr>
          <t>¿Qué se debe aprender en el curso? 
Son los objetivos que se espera alcanzar al finalizar la capacitación.</t>
        </r>
      </text>
    </comment>
    <comment ref="E2" authorId="0" shapeId="0" xr:uid="{453FDDAA-AF93-48AA-AD3A-36565E19109F}">
      <text>
        <r>
          <rPr>
            <sz val="9"/>
            <color indexed="81"/>
            <rFont val="Tahoma"/>
            <family val="2"/>
          </rPr>
          <t>Personas invitadas a la capacitación, registrar con número</t>
        </r>
      </text>
    </comment>
    <comment ref="F2" authorId="1" shapeId="0" xr:uid="{A1B9E3F5-C78E-44E4-9B81-9AE0F7877A2B}">
      <text>
        <r>
          <rPr>
            <sz val="9"/>
            <color indexed="81"/>
            <rFont val="Tahoma"/>
            <family val="2"/>
          </rPr>
          <t xml:space="preserve">Nombre de las personas que tiene que asistir a la capacitación
</t>
        </r>
      </text>
    </comment>
    <comment ref="H2" authorId="0" shapeId="0" xr:uid="{D12B7EB8-89A8-413D-BFDE-644B2CB889A4}">
      <text>
        <r>
          <rPr>
            <sz val="9"/>
            <color indexed="81"/>
            <rFont val="Tahoma"/>
            <family val="2"/>
          </rPr>
          <t>Nombre completo de capacitador</t>
        </r>
      </text>
    </comment>
    <comment ref="I2" authorId="0" shapeId="0" xr:uid="{676DA409-BB79-42CE-BB62-3954140F3D24}">
      <text>
        <r>
          <rPr>
            <sz val="9"/>
            <color indexed="81"/>
            <rFont val="Tahoma"/>
            <family val="2"/>
          </rPr>
          <t>Temas que se verán o se espera que se vean durante el curso para cumplir con el objetivo</t>
        </r>
      </text>
    </comment>
    <comment ref="J2" authorId="0" shapeId="0" xr:uid="{6580F787-7765-441D-8098-EF0DEEBCE0F7}">
      <text>
        <r>
          <rPr>
            <sz val="9"/>
            <color indexed="81"/>
            <rFont val="Tahoma"/>
            <family val="2"/>
          </rPr>
          <t xml:space="preserve">Registrar el número de horas totales de la capacitación </t>
        </r>
      </text>
    </comment>
    <comment ref="K2" authorId="0" shapeId="0" xr:uid="{CBF98E38-0E9C-425E-9FE1-EA7A418CA85F}">
      <text>
        <r>
          <rPr>
            <sz val="9"/>
            <color indexed="81"/>
            <rFont val="Tahoma"/>
            <family val="2"/>
          </rPr>
          <t>Elementos necesarios para la capacitación cómo herramientas o infraestructura</t>
        </r>
      </text>
    </comment>
    <comment ref="L2" authorId="0" shapeId="0" xr:uid="{1DA9B1F9-2C5F-4C81-AE65-2CB4E92C771D}">
      <text>
        <r>
          <rPr>
            <sz val="9"/>
            <color indexed="81"/>
            <rFont val="Tahoma"/>
            <family val="2"/>
          </rPr>
          <t>Definir la moneda que se utilizara</t>
        </r>
      </text>
    </comment>
    <comment ref="M2" authorId="0" shapeId="0" xr:uid="{0FA61D91-C496-4D7D-97D9-5DD280F53B55}">
      <text>
        <r>
          <rPr>
            <sz val="9"/>
            <color indexed="81"/>
            <rFont val="Tahoma"/>
            <family val="2"/>
          </rPr>
          <t>Presencial→ El personal se encuentra físicamente en la capacitación 
Virtual→ Se recibe la capacitación por medio de videoconferencias, plataformas, Webinar, etc.
Hibrido→ Una combinación entre presencial e hibrido</t>
        </r>
      </text>
    </comment>
    <comment ref="N2" authorId="0" shapeId="0" xr:uid="{5721F934-FCB6-4F77-8443-65A36C34455A}">
      <text>
        <r>
          <rPr>
            <sz val="9"/>
            <color indexed="81"/>
            <rFont val="Tahoma"/>
            <family val="2"/>
          </rPr>
          <t>Determinar el material que se requiere</t>
        </r>
      </text>
    </comment>
    <comment ref="O2" authorId="0" shapeId="0" xr:uid="{38B9E347-2087-4DE9-B28D-9EFC2BDED094}">
      <text>
        <r>
          <rPr>
            <sz val="9"/>
            <color indexed="81"/>
            <rFont val="Tahoma"/>
            <family val="2"/>
          </rPr>
          <t>Ubicación donde se tomará la capacitación, ya sea dentro de las instalaciones de la organización, ubicaciones externas, enlaces o vínculos, etc.</t>
        </r>
      </text>
    </comment>
    <comment ref="P2" authorId="0" shapeId="0" xr:uid="{5DC8D7AE-5567-404A-AE80-0B2279A2CF40}">
      <text>
        <r>
          <rPr>
            <sz val="9"/>
            <color indexed="81"/>
            <rFont val="Tahoma"/>
            <family val="2"/>
          </rPr>
          <t>Registrar fechas planeadas, en caso de tener este registro en un documento aparte, insertar el enlace al documento.</t>
        </r>
      </text>
    </comment>
    <comment ref="S2" authorId="0" shapeId="0" xr:uid="{40203FAC-047C-4C93-A6BF-C2FA58F21F5F}">
      <text>
        <r>
          <rPr>
            <sz val="9"/>
            <color indexed="81"/>
            <rFont val="Tahoma"/>
            <family val="2"/>
          </rPr>
          <t>Estado en que se encuentra la capacitación</t>
        </r>
      </text>
    </comment>
    <comment ref="T2" authorId="0" shapeId="0" xr:uid="{3D289EEE-6A76-4945-9802-C9B8AF3090EA}">
      <text>
        <r>
          <rPr>
            <sz val="9"/>
            <color indexed="81"/>
            <rFont val="Tahoma"/>
            <family val="2"/>
          </rPr>
          <t>Explicar el estado seleccionado, en caso de ser replanificada agregar la comparativa entre la fecha planeada y la nueva</t>
        </r>
      </text>
    </comment>
    <comment ref="U2" authorId="0" shapeId="0" xr:uid="{A8EBB72D-2BB7-4060-AD17-ED76D29D246F}">
      <text>
        <r>
          <rPr>
            <sz val="9"/>
            <color indexed="81"/>
            <rFont val="Tahoma"/>
            <family val="2"/>
          </rPr>
          <t>Personas que acudirán a la capacitación</t>
        </r>
      </text>
    </comment>
    <comment ref="V2" authorId="0" shapeId="0" xr:uid="{8E833E56-BFC8-4C8C-96FD-6AE74C6671BD}">
      <text>
        <r>
          <rPr>
            <sz val="9"/>
            <color indexed="81"/>
            <rFont val="Tahoma"/>
            <family val="2"/>
          </rPr>
          <t>Número real de asistentes a la capacitación</t>
        </r>
      </text>
    </comment>
    <comment ref="W2" authorId="0" shapeId="0" xr:uid="{4D0694EC-A4EB-41D8-BA64-1BF88135C28B}">
      <text>
        <r>
          <rPr>
            <sz val="9"/>
            <color indexed="81"/>
            <rFont val="Tahoma"/>
            <family val="2"/>
          </rPr>
          <t>Ruta o enlace a los resultados de las evaluaciones sobre la capacitación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Documentación Innevo</author>
  </authors>
  <commentList>
    <comment ref="C3" authorId="0" shapeId="0" xr:uid="{D5006D57-F690-4DD2-B24E-9054CEA1F12F}">
      <text>
        <r>
          <rPr>
            <sz val="9"/>
            <color indexed="81"/>
            <rFont val="Tahoma"/>
            <family val="2"/>
          </rPr>
          <t xml:space="preserve">Cantidad total de presupuesto asignada para capacitar al personal </t>
        </r>
      </text>
    </comment>
    <comment ref="F3" authorId="0" shapeId="0" xr:uid="{683FE075-C1CD-4AE2-9C6B-AA49A432FECB}">
      <text>
        <r>
          <rPr>
            <sz val="9"/>
            <color indexed="81"/>
            <rFont val="Tahoma"/>
            <family val="2"/>
          </rPr>
          <t xml:space="preserve">Sumatoria de costos totales de capacitaciones. 
</t>
        </r>
        <r>
          <rPr>
            <b/>
            <i/>
            <sz val="8"/>
            <color indexed="81"/>
            <rFont val="Tahoma"/>
            <family val="2"/>
          </rPr>
          <t>Nota: si se agregan más tablas el resultado total debe agregarse a la formula de sumatorias en esta celda.</t>
        </r>
      </text>
    </comment>
    <comment ref="I3" authorId="0" shapeId="0" xr:uid="{8ED833A3-9F18-4EE2-BD7D-7680B5D10B05}">
      <text>
        <r>
          <rPr>
            <sz val="9"/>
            <color indexed="81"/>
            <rFont val="Tahoma"/>
            <family val="2"/>
          </rPr>
          <t>Este presupuesto es el que nos queda disponible, ya que la formula es una resta entre:
Presupuesto asignado - costos de capacitación.</t>
        </r>
      </text>
    </comment>
    <comment ref="B5" authorId="0" shapeId="0" xr:uid="{BD72C21D-836E-4A96-9C7A-58DB1944E05E}">
      <text>
        <r>
          <rPr>
            <sz val="9"/>
            <color indexed="81"/>
            <rFont val="Tahoma"/>
            <family val="2"/>
          </rPr>
          <t xml:space="preserve">Cada tabla es para una capacitación especifica </t>
        </r>
      </text>
    </comment>
    <comment ref="B7" authorId="0" shapeId="0" xr:uid="{D9EA3BE8-5A14-40C8-857D-16749C68091E}">
      <text>
        <r>
          <rPr>
            <sz val="9"/>
            <color indexed="81"/>
            <rFont val="Tahoma"/>
            <family val="2"/>
          </rPr>
          <t>Modificar, quitar, agregar los conceptos necesarios para la capacitación tomada</t>
        </r>
      </text>
    </comment>
    <comment ref="C11" authorId="0" shapeId="0" xr:uid="{7312D358-D061-494C-84CD-CBC7818C31F7}">
      <text>
        <r>
          <rPr>
            <sz val="9"/>
            <color indexed="81"/>
            <rFont val="Tahoma"/>
            <family val="2"/>
          </rPr>
          <t>Sumatoria de costos</t>
        </r>
      </text>
    </comment>
  </commentList>
</comments>
</file>

<file path=xl/sharedStrings.xml><?xml version="1.0" encoding="utf-8"?>
<sst xmlns="http://schemas.openxmlformats.org/spreadsheetml/2006/main" count="243" uniqueCount="114">
  <si>
    <t>Logo de la empresa</t>
  </si>
  <si>
    <t>Historial de versiones</t>
  </si>
  <si>
    <t>Fecha</t>
  </si>
  <si>
    <t>Versión</t>
  </si>
  <si>
    <t>Descripción</t>
  </si>
  <si>
    <t>Autor</t>
  </si>
  <si>
    <t>1.0</t>
  </si>
  <si>
    <t>Creación de la plantilla</t>
  </si>
  <si>
    <t>Detalles</t>
  </si>
  <si>
    <t>Logística</t>
  </si>
  <si>
    <t>Ejecutada en la fecha planeada</t>
  </si>
  <si>
    <t>Seguimiento</t>
  </si>
  <si>
    <t>Capacitación</t>
  </si>
  <si>
    <t>Plazo</t>
  </si>
  <si>
    <t>Nombre de la capacitación</t>
  </si>
  <si>
    <t>Objetivos</t>
  </si>
  <si>
    <t>Quórum planeado</t>
  </si>
  <si>
    <t>Tipo</t>
  </si>
  <si>
    <t>Capacitador</t>
  </si>
  <si>
    <t>Temario</t>
  </si>
  <si>
    <t>Duración</t>
  </si>
  <si>
    <t>Recursos</t>
  </si>
  <si>
    <t>Costo</t>
  </si>
  <si>
    <t>Formato</t>
  </si>
  <si>
    <t>Materiales</t>
  </si>
  <si>
    <t>Lugar</t>
  </si>
  <si>
    <t>Fecha planeada</t>
  </si>
  <si>
    <t>Sí</t>
  </si>
  <si>
    <t>No</t>
  </si>
  <si>
    <t>Estado</t>
  </si>
  <si>
    <t>Observaciones</t>
  </si>
  <si>
    <t>Asistentes</t>
  </si>
  <si>
    <t>Quórum real</t>
  </si>
  <si>
    <t>Evaluaciones</t>
  </si>
  <si>
    <t>Estratégica</t>
  </si>
  <si>
    <t>Replanificada</t>
  </si>
  <si>
    <t>www.laorg-sharepoint/capacitación/Resultados</t>
  </si>
  <si>
    <t>Presupuesto asignado:</t>
  </si>
  <si>
    <t>Costos de capacitación</t>
  </si>
  <si>
    <t>Presupuesto actual:</t>
  </si>
  <si>
    <t xml:space="preserve">Concepto </t>
  </si>
  <si>
    <t>$</t>
  </si>
  <si>
    <t>Total</t>
  </si>
  <si>
    <t>Capacitaciones planeadas contra las realizadas</t>
  </si>
  <si>
    <t>Proyecto</t>
  </si>
  <si>
    <t>Mes</t>
  </si>
  <si>
    <t>Capacitaciones planeadas</t>
  </si>
  <si>
    <t>Capacitaciones realizadas</t>
  </si>
  <si>
    <t>Enero</t>
  </si>
  <si>
    <t>Febrero</t>
  </si>
  <si>
    <t>Marzo</t>
  </si>
  <si>
    <t>1er trimestre</t>
  </si>
  <si>
    <t>Abril</t>
  </si>
  <si>
    <t>Mayo</t>
  </si>
  <si>
    <t>Junio</t>
  </si>
  <si>
    <t>2do trimestre</t>
  </si>
  <si>
    <t>Julio</t>
  </si>
  <si>
    <t>Agosto</t>
  </si>
  <si>
    <t>Septiembre</t>
  </si>
  <si>
    <t>3er trimestre</t>
  </si>
  <si>
    <t>Octubre</t>
  </si>
  <si>
    <t>Noviembre</t>
  </si>
  <si>
    <t>Diciembre</t>
  </si>
  <si>
    <t>4to trimestre</t>
  </si>
  <si>
    <t>Tipo de curso</t>
  </si>
  <si>
    <t>Interna</t>
  </si>
  <si>
    <t>Presencial</t>
  </si>
  <si>
    <t>Cancelada</t>
  </si>
  <si>
    <t>Externa</t>
  </si>
  <si>
    <t>Remoto</t>
  </si>
  <si>
    <t>Realizada</t>
  </si>
  <si>
    <t>Proveedor</t>
  </si>
  <si>
    <t>Hibrido</t>
  </si>
  <si>
    <t>Alcance a nivel organizacional</t>
  </si>
  <si>
    <t>1 año</t>
  </si>
  <si>
    <t>80 horas</t>
  </si>
  <si>
    <t xml:space="preserve">*Sala de conferencias 
*Laptop de personal 
*Puntualidad.
</t>
  </si>
  <si>
    <t>Sala de conferencias</t>
  </si>
  <si>
    <t>Cada martes a partir del 07/02/2023 al 20/06/2023</t>
  </si>
  <si>
    <t>X</t>
  </si>
  <si>
    <t>Se pospuso un mes por motivos de reestructuración de personal en la organización. Las próximas fechas serán 07/03/2023 al  18/03/2023</t>
  </si>
  <si>
    <t>1- Sebastián Castro Figueroa
2- Francisco Jiménez Smith
3- Alicia Robledo Orozco</t>
  </si>
  <si>
    <t>Nombre de la capacitación.</t>
  </si>
  <si>
    <t>Nota: Modificar todo el texto que este en gris y eliminar este comentario cuando se utilice el documento</t>
  </si>
  <si>
    <t>Si se tiene un sistema de gestión de versiones eliminar está hoja.</t>
  </si>
  <si>
    <t>William Sánchez Prado</t>
  </si>
  <si>
    <t>Gestión de proyectos</t>
  </si>
  <si>
    <t>Instructor</t>
  </si>
  <si>
    <t>Materiales de capacitación</t>
  </si>
  <si>
    <t>Renta sala de juntas</t>
  </si>
  <si>
    <t>Coffe Break</t>
  </si>
  <si>
    <t>1er cuatrimestre</t>
  </si>
  <si>
    <t>2do cuatrimestre</t>
  </si>
  <si>
    <t>3er cuatrimestre</t>
  </si>
  <si>
    <t>Número de la versión v.v</t>
  </si>
  <si>
    <t>dd/mm/aaaa</t>
  </si>
  <si>
    <t>Descripción de los cambios realizados en el documento</t>
  </si>
  <si>
    <t>Nombre y apellido</t>
  </si>
  <si>
    <t>*Ciclo de vida del proyecto
*Alcance del proyecto
*Planificación y programación
*Gestión de recursos
*Gestión de la cálida 
*Ética y responsabilidad social.</t>
  </si>
  <si>
    <t>*Desarrollar habilidades de liderazgo
*Planificación y organización 
*Minimizar riesgos y costos</t>
  </si>
  <si>
    <t xml:space="preserve">Presupuesto total </t>
  </si>
  <si>
    <t>Ejemplo, eliminar y realizar registros reales</t>
  </si>
  <si>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cuatrimestres, pero pueden modificarse de acuerdo a la necesidad de la organización.</t>
  </si>
  <si>
    <t xml:space="preserve">Nota: son ejemplos y los conceptos, pueden agregarse o eliminarse </t>
  </si>
  <si>
    <r>
      <rPr>
        <b/>
        <sz val="9"/>
        <color theme="1" tint="0.34998626667073579"/>
        <rFont val="Calibri"/>
        <family val="2"/>
      </rPr>
      <t>Documento informativo</t>
    </r>
    <r>
      <rPr>
        <sz val="9"/>
        <color theme="1" tint="0.34998626667073579"/>
        <rFont val="Calibri"/>
        <family val="2"/>
      </rPr>
      <t xml:space="preserve">:
www.company-sharepoint/doc1
</t>
    </r>
    <r>
      <rPr>
        <b/>
        <sz val="9"/>
        <color theme="1" tint="0.34998626667073579"/>
        <rFont val="Calibri"/>
        <family val="2"/>
      </rPr>
      <t>Repositorio de formatos</t>
    </r>
    <r>
      <rPr>
        <sz val="9"/>
        <color theme="1" tint="0.34998626667073579"/>
        <rFont val="Calibri"/>
        <family val="2"/>
      </rPr>
      <t>:
www.company-sharepoint/carpetacap/ft1</t>
    </r>
  </si>
  <si>
    <t>Instrucciones: solo se requiere registrar las celdas en blanco, colocando los periodos, las cantidad de capacitaciones planeadas y las realizadas, cada tabla es para un aspecto en concreto, las Estratégicas son aquellas planeadas para la organización en general, mientras que las de Proyecto son especificas para proyectos. 
Estas tablas están divididas en trimestres, pero pueden modificarse de acuerdo a la necesidad de la organización.</t>
  </si>
  <si>
    <t>Personas que deben asistir</t>
  </si>
  <si>
    <t>1. Sebastián Castro Figueroa
2. Francisco Jiménez Smith
3. Alicia Robledo Orozco</t>
  </si>
  <si>
    <t>CFDI 3.3</t>
  </si>
  <si>
    <t>Proceso de registro de Empresas/personas fìsicas
Conexiòn a sistema de SAT</t>
  </si>
  <si>
    <t>2 meses</t>
  </si>
  <si>
    <t>Juan Pèrez
Diego Sànchez</t>
  </si>
  <si>
    <t>Diseño de pruebas</t>
  </si>
  <si>
    <t>Sebastiàn Torres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</si>
</sst>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quot;$&quot;* #,##0.00_-;_-&quot;$&quot;* &quot;-&quot;??_-;_-@_-"/>
    <numFmt numFmtId="165" formatCode="_-[$$-80A]* #,##0.00_-;\-[$$-80A]* #,##0.00_-;_-[$$-80A]* &quot;-&quot;??_-;_-@_-"/>
    <numFmt numFmtId="166" formatCode="_-[$$-409]* #,##0.00_ ;_-[$$-409]* \-#,##0.00\ ;_-[$$-409]* &quot;-&quot;??_ ;_-@_ "/>
    <numFmt numFmtId="167" formatCode="&quot;$&quot;#,##0.00"/>
  </numFmts>
  <fonts count="27" x14ac:knownFonts="1">
    <font>
      <sz val="11"/>
      <color theme="1"/>
      <name val="Calibri"/>
      <family val="2"/>
      <scheme val="minor"/>
    </font>
    <font>
      <sz val="11"/>
      <color theme="1"/>
      <name val="Calibri"/>
      <family val="2"/>
      <scheme val="minor"/>
    </font>
    <font>
      <sz val="12"/>
      <name val="Calibri"/>
      <family val="2"/>
    </font>
    <font>
      <b/>
      <sz val="14"/>
      <color theme="1"/>
      <name val="Calibri"/>
      <family val="2"/>
      <scheme val="minor"/>
    </font>
    <font>
      <sz val="8"/>
      <name val="Calibri"/>
      <family val="2"/>
      <scheme val="minor"/>
    </font>
    <font>
      <sz val="11"/>
      <color theme="1"/>
      <name val="Calibri"/>
      <family val="2"/>
    </font>
    <font>
      <sz val="12"/>
      <color theme="1"/>
      <name val="Calibri"/>
      <family val="2"/>
    </font>
    <font>
      <b/>
      <sz val="11"/>
      <color theme="1"/>
      <name val="Calibri"/>
      <family val="2"/>
    </font>
    <font>
      <b/>
      <sz val="12"/>
      <color theme="1"/>
      <name val="Calibri"/>
      <family val="2"/>
    </font>
    <font>
      <b/>
      <sz val="14"/>
      <color theme="0"/>
      <name val="Calibri"/>
      <family val="2"/>
    </font>
    <font>
      <i/>
      <sz val="11"/>
      <color theme="1" tint="0.34998626667073579"/>
      <name val="Calibri"/>
      <family val="2"/>
    </font>
    <font>
      <sz val="9"/>
      <color indexed="81"/>
      <name val="Tahoma"/>
      <family val="2"/>
    </font>
    <font>
      <b/>
      <sz val="12"/>
      <color rgb="FF000000"/>
      <name val="Calibri"/>
      <family val="2"/>
    </font>
    <font>
      <b/>
      <i/>
      <sz val="9"/>
      <color theme="1"/>
      <name val="Calibri"/>
      <family val="2"/>
    </font>
    <font>
      <i/>
      <sz val="12"/>
      <color theme="1" tint="0.249977111117893"/>
      <name val="Calibri"/>
      <family val="2"/>
    </font>
    <font>
      <b/>
      <i/>
      <sz val="8"/>
      <color indexed="81"/>
      <name val="Tahoma"/>
      <family val="2"/>
    </font>
    <font>
      <b/>
      <sz val="16"/>
      <color theme="0"/>
      <name val="Calibri"/>
      <family val="2"/>
    </font>
    <font>
      <b/>
      <sz val="12"/>
      <name val="Calibri"/>
      <family val="2"/>
    </font>
    <font>
      <b/>
      <sz val="11"/>
      <name val="Calibri"/>
      <family val="2"/>
    </font>
    <font>
      <sz val="9"/>
      <color theme="1"/>
      <name val="Tahoma"/>
      <family val="2"/>
    </font>
    <font>
      <b/>
      <i/>
      <sz val="9"/>
      <color theme="1"/>
      <name val="Calibri"/>
      <family val="2"/>
      <scheme val="minor"/>
    </font>
    <font>
      <b/>
      <sz val="16"/>
      <color rgb="FFFFFFFF"/>
      <name val="Calibri"/>
      <family val="2"/>
    </font>
    <font>
      <sz val="9"/>
      <color theme="1" tint="0.34998626667073579"/>
      <name val="Calibri"/>
      <family val="2"/>
    </font>
    <font>
      <b/>
      <sz val="9"/>
      <color theme="1" tint="0.34998626667073579"/>
      <name val="Calibri"/>
      <family val="2"/>
    </font>
    <font>
      <i/>
      <sz val="10"/>
      <color theme="1" tint="0.34998626667073579"/>
      <name val="Calibri"/>
      <family val="2"/>
    </font>
    <font>
      <sz val="11"/>
      <color theme="1" tint="0.34998626667073579"/>
      <name val="Calibri"/>
      <family val="2"/>
    </font>
    <font>
      <i/>
      <sz val="11"/>
      <color theme="1" tint="0.34998626667073579"/>
      <name val="Calibri"/>
      <family val="2"/>
      <scheme val="minor"/>
    </font>
  </fonts>
  <fills count="6">
    <fill>
      <patternFill patternType="none"/>
    </fill>
    <fill>
      <patternFill patternType="gray125"/>
    </fill>
    <fill>
      <patternFill patternType="solid">
        <fgColor theme="1" tint="0.249977111117893"/>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medium">
        <color indexed="64"/>
      </right>
      <top/>
      <bottom/>
      <diagonal/>
    </border>
    <border>
      <left/>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164" fontId="1" fillId="0" borderId="0" applyFont="0" applyFill="0" applyBorder="0" applyAlignment="0" applyProtection="0"/>
  </cellStyleXfs>
  <cellXfs count="92">
    <xf numFmtId="0" fontId="0" fillId="0" borderId="0" xfId="0"/>
    <xf numFmtId="0" fontId="0" fillId="0" borderId="0" xfId="0" applyAlignment="1">
      <alignment horizontal="center"/>
    </xf>
    <xf numFmtId="0" fontId="5" fillId="0" borderId="1" xfId="0" applyFont="1" applyBorder="1" applyAlignment="1">
      <alignment vertical="center"/>
    </xf>
    <xf numFmtId="0" fontId="5" fillId="0" borderId="1" xfId="0" applyFont="1" applyBorder="1"/>
    <xf numFmtId="0" fontId="5" fillId="0" borderId="1" xfId="0" applyFont="1" applyBorder="1" applyAlignment="1">
      <alignment horizontal="center" vertical="center"/>
    </xf>
    <xf numFmtId="0" fontId="5" fillId="0" borderId="1" xfId="0" applyFont="1" applyBorder="1" applyAlignment="1">
      <alignment horizontal="center"/>
    </xf>
    <xf numFmtId="0" fontId="5" fillId="0" borderId="11" xfId="0" applyFont="1" applyBorder="1"/>
    <xf numFmtId="0" fontId="5" fillId="0" borderId="11" xfId="0" applyFont="1" applyBorder="1" applyAlignment="1">
      <alignment horizontal="center"/>
    </xf>
    <xf numFmtId="0" fontId="5" fillId="0" borderId="2" xfId="0" applyFont="1" applyBorder="1"/>
    <xf numFmtId="0" fontId="5" fillId="0" borderId="2" xfId="0" applyFont="1" applyBorder="1" applyAlignment="1">
      <alignment horizontal="center"/>
    </xf>
    <xf numFmtId="0" fontId="5" fillId="0" borderId="0" xfId="0" applyFont="1"/>
    <xf numFmtId="0" fontId="5" fillId="0" borderId="2" xfId="0" applyFont="1" applyBorder="1" applyAlignment="1">
      <alignment horizontal="left"/>
    </xf>
    <xf numFmtId="0" fontId="5" fillId="0" borderId="1" xfId="0" applyFont="1" applyBorder="1" applyAlignment="1">
      <alignment vertical="top"/>
    </xf>
    <xf numFmtId="0" fontId="5" fillId="0" borderId="1" xfId="0" applyFont="1" applyBorder="1" applyAlignment="1">
      <alignment horizontal="left"/>
    </xf>
    <xf numFmtId="165" fontId="5" fillId="0" borderId="1" xfId="1" applyNumberFormat="1" applyFont="1" applyBorder="1"/>
    <xf numFmtId="164" fontId="5" fillId="0" borderId="1" xfId="1" applyFont="1" applyBorder="1"/>
    <xf numFmtId="0" fontId="5" fillId="0" borderId="1" xfId="0" applyFont="1" applyBorder="1" applyAlignment="1">
      <alignment vertical="center" wrapText="1"/>
    </xf>
    <xf numFmtId="0" fontId="5" fillId="0" borderId="1" xfId="0" applyFont="1" applyBorder="1" applyAlignment="1">
      <alignment wrapText="1"/>
    </xf>
    <xf numFmtId="14" fontId="5" fillId="0" borderId="1" xfId="0" applyNumberFormat="1" applyFont="1" applyBorder="1"/>
    <xf numFmtId="0" fontId="6" fillId="0" borderId="0" xfId="0" applyFont="1"/>
    <xf numFmtId="1" fontId="0" fillId="0" borderId="0" xfId="0" applyNumberFormat="1"/>
    <xf numFmtId="0" fontId="5" fillId="0" borderId="1" xfId="0" applyFont="1" applyBorder="1" applyAlignment="1">
      <alignment horizontal="center" vertical="center" wrapText="1"/>
    </xf>
    <xf numFmtId="0" fontId="7" fillId="3" borderId="3" xfId="0" applyFont="1" applyFill="1" applyBorder="1" applyAlignment="1">
      <alignment horizontal="left"/>
    </xf>
    <xf numFmtId="0" fontId="7" fillId="3" borderId="13" xfId="0" applyFont="1" applyFill="1" applyBorder="1" applyAlignment="1">
      <alignment horizontal="left"/>
    </xf>
    <xf numFmtId="0" fontId="7" fillId="3" borderId="3" xfId="0" applyFont="1" applyFill="1" applyBorder="1"/>
    <xf numFmtId="0" fontId="5" fillId="0" borderId="14" xfId="0" applyFont="1" applyBorder="1"/>
    <xf numFmtId="0" fontId="5" fillId="0" borderId="8" xfId="0" applyFont="1" applyBorder="1"/>
    <xf numFmtId="0" fontId="5" fillId="0" borderId="14" xfId="0" applyFont="1" applyBorder="1" applyAlignment="1">
      <alignment vertical="center"/>
    </xf>
    <xf numFmtId="0" fontId="5" fillId="0" borderId="8" xfId="0" applyFont="1" applyBorder="1" applyAlignment="1">
      <alignment vertical="center" wrapText="1"/>
    </xf>
    <xf numFmtId="166" fontId="5" fillId="0" borderId="1" xfId="0" applyNumberFormat="1" applyFont="1" applyBorder="1"/>
    <xf numFmtId="166" fontId="5" fillId="0" borderId="1" xfId="1" applyNumberFormat="1" applyFont="1" applyBorder="1" applyAlignment="1">
      <alignment vertical="center"/>
    </xf>
    <xf numFmtId="0" fontId="5" fillId="0" borderId="19" xfId="0" applyFont="1" applyBorder="1"/>
    <xf numFmtId="0" fontId="10" fillId="0" borderId="1" xfId="0" applyFont="1" applyBorder="1"/>
    <xf numFmtId="0" fontId="10" fillId="0" borderId="1" xfId="0" applyFont="1" applyBorder="1" applyAlignment="1">
      <alignment vertical="top" wrapText="1"/>
    </xf>
    <xf numFmtId="0" fontId="13" fillId="0" borderId="0" xfId="0" applyFont="1"/>
    <xf numFmtId="0" fontId="9"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0" fillId="0" borderId="0" xfId="0" applyBorder="1"/>
    <xf numFmtId="0" fontId="12"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14" xfId="0" applyFont="1" applyFill="1" applyBorder="1" applyAlignment="1">
      <alignment horizontal="center" vertical="center"/>
    </xf>
    <xf numFmtId="0" fontId="12" fillId="4" borderId="18" xfId="0" applyFont="1" applyFill="1" applyBorder="1" applyAlignment="1">
      <alignment horizontal="center" vertical="center"/>
    </xf>
    <xf numFmtId="0" fontId="8" fillId="4" borderId="1" xfId="0" applyFont="1" applyFill="1" applyBorder="1" applyAlignment="1">
      <alignment horizontal="center"/>
    </xf>
    <xf numFmtId="0" fontId="7" fillId="4" borderId="1" xfId="0" applyFont="1" applyFill="1" applyBorder="1" applyAlignment="1">
      <alignment horizontal="center"/>
    </xf>
    <xf numFmtId="164" fontId="5" fillId="4" borderId="1" xfId="1" applyFont="1" applyFill="1" applyBorder="1" applyAlignment="1">
      <alignment horizontal="center"/>
    </xf>
    <xf numFmtId="0" fontId="14" fillId="0" borderId="1" xfId="0" applyFont="1" applyBorder="1" applyAlignment="1">
      <alignment horizontal="center" vertical="center" wrapText="1"/>
    </xf>
    <xf numFmtId="49" fontId="14" fillId="0" borderId="1" xfId="0" applyNumberFormat="1" applyFont="1" applyBorder="1" applyAlignment="1">
      <alignment horizontal="center" vertical="center" wrapText="1"/>
    </xf>
    <xf numFmtId="0" fontId="8" fillId="4" borderId="1" xfId="0" applyFont="1" applyFill="1" applyBorder="1" applyAlignment="1">
      <alignment horizontal="center" wrapText="1"/>
    </xf>
    <xf numFmtId="164" fontId="8" fillId="4" borderId="1" xfId="0" applyNumberFormat="1" applyFont="1" applyFill="1" applyBorder="1" applyAlignment="1">
      <alignment horizontal="center"/>
    </xf>
    <xf numFmtId="164" fontId="8" fillId="5" borderId="1" xfId="1" applyFont="1" applyFill="1" applyBorder="1" applyAlignment="1">
      <alignment horizontal="center"/>
    </xf>
    <xf numFmtId="0" fontId="5" fillId="4" borderId="5" xfId="0" applyFont="1" applyFill="1" applyBorder="1"/>
    <xf numFmtId="0" fontId="5" fillId="4" borderId="12" xfId="0" applyFont="1" applyFill="1" applyBorder="1" applyAlignment="1">
      <alignment horizontal="center"/>
    </xf>
    <xf numFmtId="0" fontId="5" fillId="4" borderId="6" xfId="0" applyFont="1" applyFill="1" applyBorder="1" applyAlignment="1">
      <alignment horizontal="center"/>
    </xf>
    <xf numFmtId="0" fontId="5" fillId="4" borderId="5" xfId="0" applyFont="1" applyFill="1" applyBorder="1" applyAlignment="1">
      <alignment horizontal="center"/>
    </xf>
    <xf numFmtId="0" fontId="5" fillId="4" borderId="4" xfId="0" applyFont="1" applyFill="1" applyBorder="1" applyAlignment="1">
      <alignment horizontal="center"/>
    </xf>
    <xf numFmtId="0" fontId="7"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8" fillId="4" borderId="1" xfId="0" applyFont="1" applyFill="1" applyBorder="1" applyAlignment="1">
      <alignment horizontal="center" vertical="center"/>
    </xf>
    <xf numFmtId="0" fontId="18" fillId="4" borderId="1" xfId="0" applyFont="1" applyFill="1" applyBorder="1" applyAlignment="1">
      <alignment horizontal="center" vertical="center" wrapText="1"/>
    </xf>
    <xf numFmtId="0" fontId="19" fillId="0" borderId="0" xfId="0" applyFont="1"/>
    <xf numFmtId="0" fontId="20" fillId="0" borderId="0" xfId="0" applyFont="1"/>
    <xf numFmtId="0" fontId="10" fillId="0" borderId="1" xfId="0" applyFont="1" applyBorder="1" applyAlignment="1">
      <alignment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167" fontId="10" fillId="0" borderId="1" xfId="1" applyNumberFormat="1" applyFont="1" applyBorder="1" applyAlignment="1">
      <alignment horizontal="center" vertical="center"/>
    </xf>
    <xf numFmtId="0" fontId="22"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xf>
    <xf numFmtId="0" fontId="10" fillId="0" borderId="8" xfId="0" applyFont="1" applyBorder="1" applyAlignment="1">
      <alignment horizontal="center" vertical="center" wrapText="1"/>
    </xf>
    <xf numFmtId="0" fontId="10"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alignment horizontal="center"/>
    </xf>
    <xf numFmtId="0" fontId="6" fillId="0" borderId="0" xfId="0" applyFont="1" applyAlignment="1">
      <alignment horizontal="left" vertical="center"/>
    </xf>
    <xf numFmtId="0" fontId="0" fillId="0" borderId="0" xfId="0" applyAlignment="1">
      <alignment horizontal="left" wrapText="1"/>
    </xf>
    <xf numFmtId="0" fontId="0" fillId="0" borderId="1" xfId="0" applyBorder="1" applyAlignment="1">
      <alignment horizontal="center" vertical="center" wrapText="1"/>
    </xf>
    <xf numFmtId="0" fontId="21" fillId="2" borderId="0" xfId="0" applyFont="1" applyFill="1" applyAlignment="1">
      <alignment horizontal="center" vertical="center"/>
    </xf>
    <xf numFmtId="0" fontId="16" fillId="2" borderId="15" xfId="0" applyFont="1" applyFill="1" applyBorder="1" applyAlignment="1">
      <alignment horizontal="center" vertical="center"/>
    </xf>
    <xf numFmtId="0" fontId="21" fillId="2" borderId="7" xfId="0" applyFont="1" applyFill="1" applyBorder="1" applyAlignment="1">
      <alignment horizontal="center" vertical="center" wrapText="1"/>
    </xf>
    <xf numFmtId="0" fontId="21" fillId="2" borderId="0" xfId="0" applyFont="1" applyFill="1" applyAlignment="1">
      <alignment horizontal="center" vertical="center" wrapText="1"/>
    </xf>
    <xf numFmtId="0" fontId="16" fillId="2" borderId="0" xfId="0" applyFont="1" applyFill="1" applyAlignment="1">
      <alignment horizontal="center" vertical="center"/>
    </xf>
    <xf numFmtId="0" fontId="16" fillId="2" borderId="16" xfId="0" applyFont="1" applyFill="1" applyBorder="1" applyAlignment="1">
      <alignment horizontal="center" vertical="center"/>
    </xf>
    <xf numFmtId="0" fontId="16" fillId="2" borderId="0" xfId="0" applyFont="1" applyFill="1" applyAlignment="1">
      <alignment horizontal="center"/>
    </xf>
    <xf numFmtId="0" fontId="8" fillId="4" borderId="1" xfId="0" applyFont="1" applyFill="1" applyBorder="1" applyAlignment="1">
      <alignment horizontal="center"/>
    </xf>
    <xf numFmtId="0" fontId="16" fillId="2" borderId="8" xfId="0" applyFont="1" applyFill="1" applyBorder="1" applyAlignment="1">
      <alignment horizontal="center" vertical="center"/>
    </xf>
    <xf numFmtId="0" fontId="16" fillId="2" borderId="9" xfId="0" applyFont="1" applyFill="1" applyBorder="1" applyAlignment="1">
      <alignment horizontal="center" vertical="center"/>
    </xf>
    <xf numFmtId="0" fontId="16" fillId="2" borderId="10" xfId="0" applyFont="1" applyFill="1" applyBorder="1" applyAlignment="1">
      <alignment horizontal="center" vertical="center"/>
    </xf>
    <xf numFmtId="0" fontId="17" fillId="4" borderId="1" xfId="0" applyFont="1" applyFill="1" applyBorder="1" applyAlignment="1">
      <alignment horizontal="center" vertical="center"/>
    </xf>
    <xf numFmtId="0" fontId="19" fillId="0" borderId="0" xfId="0" applyFont="1" applyAlignment="1">
      <alignment horizontal="lef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ibri"/>
                <a:ea typeface="+mn-ea"/>
                <a:cs typeface="+mn-cs"/>
              </a:defRPr>
            </a:pPr>
            <a:r>
              <a:rPr lang="es-MX"/>
              <a:t>Plan de capacitación 1er trimestre &lt;año&gt;</a:t>
            </a:r>
          </a:p>
        </c:rich>
      </c:tx>
      <c:layout>
        <c:manualLayout>
          <c:xMode val="edge"/>
          <c:yMode val="edge"/>
          <c:x val="0.11367344706911635"/>
          <c:y val="4.6296296296296294E-2"/>
        </c:manualLayout>
      </c:layout>
      <c:overlay val="0"/>
      <c:spPr>
        <a:noFill/>
        <a:ln>
          <a:noFill/>
        </a:ln>
        <a:effectLst/>
      </c:spPr>
      <c:txPr>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ibri"/>
              <a:ea typeface="+mn-ea"/>
              <a:cs typeface="+mn-cs"/>
            </a:defRPr>
          </a:pPr>
          <a:endParaRPr lang="en-US"/>
        </a:p>
      </c:txPr>
    </c:title>
    <c:autoTitleDeleted val="0"/>
    <c:plotArea>
      <c:layout/>
      <c:barChart>
        <c:barDir val="bar"/>
        <c:grouping val="clustered"/>
        <c:varyColors val="0"/>
        <c:ser>
          <c:idx val="0"/>
          <c:order val="0"/>
          <c:tx>
            <c:strRef>
              <c:f>'3.-Informe trimestral'!$F$3:$H$3</c:f>
              <c:strCache>
                <c:ptCount val="3"/>
                <c:pt idx="0">
                  <c:v>Proyecto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'3.-Informe trimestral'!$C$4:$D$4</c:f>
              <c:strCache>
                <c:ptCount val="2"/>
                <c:pt idx="0">
                  <c:v>Capacitaciones planeadas</c:v>
                </c:pt>
                <c:pt idx="1">
                  <c:v>Capacitaciones realizadas</c:v>
                </c:pt>
              </c:strCache>
            </c:strRef>
          </c:cat>
          <c:val>
            <c:numRef>
              <c:f>'3.-Informe trimestral'!$G$8:$H$8</c:f>
              <c:numCache>
                <c:formatCode>General</c:formatCode>
                <c:ptCount val="2"/>
                <c:pt idx="0">
                  <c:v>0</c:v>
                </c:pt>
                <c:pt idx="1">
                  <c:v>0</c:v>
                </c:pt>
              </c:numCache>
            </c:numRef>
          </c:val>
          <c:extLst>
            <c:ext xmlns:c16="http://schemas.microsoft.com/office/drawing/2014/chart" uri="{C3380CC4-5D6E-409C-BE32-E72D297353CC}">
              <c16:uniqueId val="{00000004-EB07-4A45-B10B-5271D4E1AA5B}"/>
            </c:ext>
          </c:extLst>
        </c:ser>
        <c:ser>
          <c:idx val="2"/>
          <c:order val="2"/>
          <c:tx>
            <c:strRef>
              <c:f>'3.-Informe trimestral'!$B$3</c:f>
              <c:strCache>
                <c:ptCount val="1"/>
                <c:pt idx="0">
                  <c:v>Estratégica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8029-4343-A3EA-10E9728DEB93}"/>
              </c:ext>
            </c:extLst>
          </c:dPt>
          <c:dPt>
            <c:idx val="1"/>
            <c:invertIfNegative val="0"/>
            <c:bubble3D val="0"/>
            <c:extLst>
              <c:ext xmlns:c16="http://schemas.microsoft.com/office/drawing/2014/chart" uri="{C3380CC4-5D6E-409C-BE32-E72D297353CC}">
                <c16:uniqueId val="{00000003-8029-4343-A3EA-10E9728DEB93}"/>
              </c:ext>
            </c:extLst>
          </c:dPt>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'3.-Informe trimestral'!$C$8:$D$8</c:f>
              <c:numCache>
                <c:formatCode>General</c:formatCode>
                <c:ptCount val="2"/>
                <c:pt idx="0">
                  <c:v>0</c:v>
                </c:pt>
                <c:pt idx="1">
                  <c:v>0</c:v>
                </c:pt>
              </c:numCache>
            </c:numRef>
          </c:val>
          <c:extLst>
            <c:ext xmlns:c16="http://schemas.microsoft.com/office/drawing/2014/chart" uri="{C3380CC4-5D6E-409C-BE32-E72D297353CC}">
              <c16:uniqueId val="{00000008-EB07-4A45-B10B-5271D4E1AA5B}"/>
            </c:ext>
          </c:extLst>
        </c:ser>
        <c:dLbls>
          <c:dLblPos val="outEnd"/>
          <c:showLegendKey val="0"/>
          <c:showVal val="1"/>
          <c:showCatName val="0"/>
          <c:showSerName val="0"/>
          <c:showPercent val="0"/>
          <c:showBubbleSize val="0"/>
        </c:dLbls>
        <c:gapWidth val="100"/>
        <c:axId val="1952391135"/>
        <c:axId val="77747167"/>
        <c:extLst>
          <c:ext xmlns:c15="http://schemas.microsoft.com/office/drawing/2012/chart" uri="{02D57815-91ED-43cb-92C2-25804820EDAC}">
            <c15:filteredBarSeries>
              <c15:ser>
                <c:idx val="1"/>
                <c:order val="1"/>
                <c:tx>
                  <c:strRef>
                    <c:extLst>
                      <c:ext uri="{02D57815-91ED-43cb-92C2-25804820EDAC}">
                        <c15:formulaRef>
                          <c15:sqref>'3.-Informe trimestral'!$G$4:$H$4</c15:sqref>
                        </c15:formulaRef>
                      </c:ext>
                    </c:extLst>
                    <c:strCache>
                      <c:ptCount val="2"/>
                      <c:pt idx="0">
                        <c:v>Capacitaciones planeadas</c:v>
                      </c:pt>
                      <c:pt idx="1">
                        <c:v>Capacitaciones realizadas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Caibri"/>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val>
                  <c:numRef>
                    <c:extLst>
                      <c:ext uri="{02D57815-91ED-43cb-92C2-25804820EDAC}">
                        <c15:formulaRef>
                          <c15:sqref>('3.-Informe trimestral'!$G$4:$H$4,'3.-Informe trimestral'!$G$8:$H$8)</c15:sqref>
                        </c15:formulaRef>
                      </c:ext>
                    </c:extLst>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EB07-4A45-B10B-5271D4E1AA5B}"/>
                  </c:ext>
                </c:extLst>
              </c15:ser>
            </c15:filteredBarSeries>
          </c:ext>
        </c:extLst>
      </c:barChart>
      <c:valAx>
        <c:axId val="77747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ibri"/>
                <a:ea typeface="+mn-ea"/>
                <a:cs typeface="+mn-cs"/>
              </a:defRPr>
            </a:pPr>
            <a:endParaRPr lang="en-US"/>
          </a:p>
        </c:txPr>
        <c:crossAx val="1952391135"/>
        <c:crosses val="autoZero"/>
        <c:crossBetween val="between"/>
      </c:valAx>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ibri"/>
                <a:ea typeface="+mn-ea"/>
                <a:cs typeface="+mn-cs"/>
              </a:defRPr>
            </a:pPr>
            <a:endParaRPr lang="en-US"/>
          </a:p>
        </c:txPr>
        <c:crossAx val="77747167"/>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50" b="0" i="0" u="none" strike="noStrike" kern="1200" baseline="0">
                <a:solidFill>
                  <a:schemeClr val="lt1">
                    <a:lumMod val="85000"/>
                  </a:schemeClr>
                </a:solidFill>
                <a:latin typeface="Caibri"/>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latin typeface="Ca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r>
              <a:rPr lang="es-MX"/>
              <a:t>Plan de capacitación 2do trimestre &lt;año&gt;</a:t>
            </a:r>
          </a:p>
        </c:rich>
      </c:tx>
      <c:layout>
        <c:manualLayout>
          <c:xMode val="edge"/>
          <c:yMode val="edge"/>
          <c:x val="0.11367344706911635"/>
          <c:y val="4.6296296296296294E-2"/>
        </c:manualLayout>
      </c:layout>
      <c:overlay val="0"/>
      <c:spPr>
        <a:noFill/>
        <a:ln>
          <a:noFill/>
        </a:ln>
        <a:effectLst/>
      </c:spPr>
      <c:txPr>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endParaRPr lang="en-US"/>
        </a:p>
      </c:tx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'3.-Informe trimestral'!$C$4:$D$4</c:f>
              <c:strCache>
                <c:ptCount val="2"/>
                <c:pt idx="0">
                  <c:v>Capacitaciones planeadas</c:v>
                </c:pt>
                <c:pt idx="1">
                  <c:v>Capacitaciones realizadas</c:v>
                </c:pt>
              </c:strCache>
            </c:strRef>
          </c:cat>
          <c:val>
            <c:numRef>
              <c:f>'3.-Informe trimestral'!$G$12:$H$12</c:f>
              <c:numCache>
                <c:formatCode>General</c:formatCode>
                <c:ptCount val="2"/>
                <c:pt idx="0">
                  <c:v>0</c:v>
                </c:pt>
                <c:pt idx="1">
                  <c:v>0</c:v>
                </c:pt>
              </c:numCache>
            </c:numRef>
          </c:val>
          <c:extLst>
            <c:ext xmlns:c16="http://schemas.microsoft.com/office/drawing/2014/chart" uri="{C3380CC4-5D6E-409C-BE32-E72D297353CC}">
              <c16:uniqueId val="{00000004-F50B-4E8B-9297-1DC9D1B3BA93}"/>
            </c:ext>
          </c:extLst>
        </c:ser>
        <c:ser>
          <c:idx val="2"/>
          <c:order val="1"/>
          <c:tx>
            <c:strRef>
              <c:f>'3.-Informe trimestral'!$B$3</c:f>
              <c:strCache>
                <c:ptCount val="1"/>
                <c:pt idx="0">
                  <c:v>Estratégica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'3.-Informe trimestral'!$C$12:$D$12</c:f>
              <c:numCache>
                <c:formatCode>General</c:formatCode>
                <c:ptCount val="2"/>
                <c:pt idx="0">
                  <c:v>0</c:v>
                </c:pt>
                <c:pt idx="1">
                  <c:v>0</c:v>
                </c:pt>
              </c:numCache>
            </c:numRef>
          </c:val>
          <c:extLst>
            <c:ext xmlns:c16="http://schemas.microsoft.com/office/drawing/2014/chart" uri="{C3380CC4-5D6E-409C-BE32-E72D297353CC}">
              <c16:uniqueId val="{00000005-F50B-4E8B-9297-1DC9D1B3BA93}"/>
            </c:ext>
          </c:extLst>
        </c:ser>
        <c:dLbls>
          <c:dLblPos val="outEnd"/>
          <c:showLegendKey val="0"/>
          <c:showVal val="1"/>
          <c:showCatName val="0"/>
          <c:showSerName val="0"/>
          <c:showPercent val="0"/>
          <c:showBubbleSize val="0"/>
        </c:dLbls>
        <c:gapWidth val="100"/>
        <c:axId val="1952391135"/>
        <c:axId val="77747167"/>
        <c:extLst/>
      </c:barChart>
      <c:valAx>
        <c:axId val="77747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r>
              <a:rPr lang="es-MX"/>
              <a:t>Plan de capacitación 3er trimestre &lt;año&gt;</a:t>
            </a:r>
          </a:p>
        </c:rich>
      </c:tx>
      <c:layout>
        <c:manualLayout>
          <c:xMode val="edge"/>
          <c:yMode val="edge"/>
          <c:x val="0.11367344706911635"/>
          <c:y val="4.6296296296296294E-2"/>
        </c:manualLayout>
      </c:layout>
      <c:overlay val="0"/>
      <c:spPr>
        <a:noFill/>
        <a:ln>
          <a:noFill/>
        </a:ln>
        <a:effectLst/>
      </c:spPr>
      <c:txPr>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endParaRPr lang="en-US"/>
        </a:p>
      </c:tx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'3.-Informe trimestral'!$C$4:$D$4</c:f>
              <c:strCache>
                <c:ptCount val="2"/>
                <c:pt idx="0">
                  <c:v>Capacitaciones planeadas</c:v>
                </c:pt>
                <c:pt idx="1">
                  <c:v>Capacitaciones realizadas</c:v>
                </c:pt>
              </c:strCache>
            </c:strRef>
          </c:cat>
          <c:val>
            <c:numRef>
              <c:f>'3.-Informe trimestral'!$G$16:$H$16</c:f>
              <c:numCache>
                <c:formatCode>General</c:formatCode>
                <c:ptCount val="2"/>
                <c:pt idx="0">
                  <c:v>0</c:v>
                </c:pt>
                <c:pt idx="1">
                  <c:v>0</c:v>
                </c:pt>
              </c:numCache>
            </c:numRef>
          </c:val>
          <c:extLst>
            <c:ext xmlns:c16="http://schemas.microsoft.com/office/drawing/2014/chart" uri="{C3380CC4-5D6E-409C-BE32-E72D297353CC}">
              <c16:uniqueId val="{00000000-80DB-4694-9646-637485D60AFC}"/>
            </c:ext>
          </c:extLst>
        </c:ser>
        <c:ser>
          <c:idx val="2"/>
          <c:order val="1"/>
          <c:tx>
            <c:strRef>
              <c:f>'3.-Informe trimestral'!$B$3</c:f>
              <c:strCache>
                <c:ptCount val="1"/>
                <c:pt idx="0">
                  <c:v>Estratégica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'3.-Informe trimestral'!$C$16:$D$16</c:f>
              <c:numCache>
                <c:formatCode>General</c:formatCode>
                <c:ptCount val="2"/>
                <c:pt idx="0">
                  <c:v>0</c:v>
                </c:pt>
                <c:pt idx="1">
                  <c:v>0</c:v>
                </c:pt>
              </c:numCache>
            </c:numRef>
          </c:val>
          <c:extLst>
            <c:ext xmlns:c16="http://schemas.microsoft.com/office/drawing/2014/chart" uri="{C3380CC4-5D6E-409C-BE32-E72D297353CC}">
              <c16:uniqueId val="{00000001-80DB-4694-9646-637485D60AFC}"/>
            </c:ext>
          </c:extLst>
        </c:ser>
        <c:dLbls>
          <c:dLblPos val="outEnd"/>
          <c:showLegendKey val="0"/>
          <c:showVal val="1"/>
          <c:showCatName val="0"/>
          <c:showSerName val="0"/>
          <c:showPercent val="0"/>
          <c:showBubbleSize val="0"/>
        </c:dLbls>
        <c:gapWidth val="100"/>
        <c:axId val="1952391135"/>
        <c:axId val="77747167"/>
        <c:extLst/>
      </c:barChart>
      <c:valAx>
        <c:axId val="77747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r>
              <a:rPr lang="es-MX"/>
              <a:t>Plan de capacitación 4to trimestre &lt;año&gt;</a:t>
            </a:r>
          </a:p>
        </c:rich>
      </c:tx>
      <c:layout>
        <c:manualLayout>
          <c:xMode val="edge"/>
          <c:yMode val="edge"/>
          <c:x val="0.11367344706911635"/>
          <c:y val="4.6296296296296294E-2"/>
        </c:manualLayout>
      </c:layout>
      <c:overlay val="0"/>
      <c:spPr>
        <a:noFill/>
        <a:ln>
          <a:noFill/>
        </a:ln>
        <a:effectLst/>
      </c:spPr>
      <c:txPr>
        <a:bodyPr rot="0" spcFirstLastPara="1" vertOverflow="ellipsis" vert="horz" wrap="square" anchor="ctr" anchorCtr="1"/>
        <a:lstStyle/>
        <a:p>
          <a:pPr algn="ct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Calibri" panose="020F0502020204030204" pitchFamily="34" charset="0"/>
              <a:ea typeface="+mn-ea"/>
              <a:cs typeface="Calibri" panose="020F0502020204030204" pitchFamily="34" charset="0"/>
            </a:defRPr>
          </a:pPr>
          <a:endParaRPr lang="en-US"/>
        </a:p>
      </c:txPr>
    </c:title>
    <c:autoTitleDeleted val="0"/>
    <c:plotArea>
      <c:layout/>
      <c:barChart>
        <c:barDir val="bar"/>
        <c:grouping val="clustered"/>
        <c:varyColors val="0"/>
        <c:ser>
          <c:idx val="0"/>
          <c:order val="0"/>
          <c:tx>
            <c:strRef>
              <c:f>'3.-Informe trimestral'!$F$3</c:f>
              <c:strCache>
                <c:ptCount val="1"/>
                <c:pt idx="0">
                  <c:v>Proyecto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'3.-Informe trimestral'!$C$4:$D$4</c:f>
              <c:strCache>
                <c:ptCount val="2"/>
                <c:pt idx="0">
                  <c:v>Capacitaciones planeadas</c:v>
                </c:pt>
                <c:pt idx="1">
                  <c:v>Capacitaciones realizadas</c:v>
                </c:pt>
              </c:strCache>
            </c:strRef>
          </c:cat>
          <c:val>
            <c:numRef>
              <c:f>'3.-Informe trimestral'!$G$20:$H$20</c:f>
              <c:numCache>
                <c:formatCode>General</c:formatCode>
                <c:ptCount val="2"/>
                <c:pt idx="0">
                  <c:v>0</c:v>
                </c:pt>
                <c:pt idx="1">
                  <c:v>0</c:v>
                </c:pt>
              </c:numCache>
            </c:numRef>
          </c:val>
          <c:extLst>
            <c:ext xmlns:c16="http://schemas.microsoft.com/office/drawing/2014/chart" uri="{C3380CC4-5D6E-409C-BE32-E72D297353CC}">
              <c16:uniqueId val="{00000000-F074-45A8-88B5-2094486127CE}"/>
            </c:ext>
          </c:extLst>
        </c:ser>
        <c:ser>
          <c:idx val="2"/>
          <c:order val="1"/>
          <c:tx>
            <c:strRef>
              <c:f>'3.-Informe trimestral'!$B$3</c:f>
              <c:strCache>
                <c:ptCount val="1"/>
                <c:pt idx="0">
                  <c:v>Estratégica</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'3.-Informe trimestral'!$C$20:$D$20</c:f>
              <c:numCache>
                <c:formatCode>General</c:formatCode>
                <c:ptCount val="2"/>
                <c:pt idx="0">
                  <c:v>0</c:v>
                </c:pt>
                <c:pt idx="1">
                  <c:v>0</c:v>
                </c:pt>
              </c:numCache>
            </c:numRef>
          </c:val>
          <c:extLst>
            <c:ext xmlns:c16="http://schemas.microsoft.com/office/drawing/2014/chart" uri="{C3380CC4-5D6E-409C-BE32-E72D297353CC}">
              <c16:uniqueId val="{00000001-F074-45A8-88B5-2094486127CE}"/>
            </c:ext>
          </c:extLst>
        </c:ser>
        <c:dLbls>
          <c:dLblPos val="outEnd"/>
          <c:showLegendKey val="0"/>
          <c:showVal val="1"/>
          <c:showCatName val="0"/>
          <c:showSerName val="0"/>
          <c:showPercent val="0"/>
          <c:showBubbleSize val="0"/>
        </c:dLbls>
        <c:gapWidth val="100"/>
        <c:axId val="1952391135"/>
        <c:axId val="77747167"/>
        <c:extLst/>
      </c:barChart>
      <c:valAx>
        <c:axId val="777471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1952391135"/>
        <c:crosses val="autoZero"/>
        <c:crossBetween val="between"/>
      </c:valAx>
      <c:catAx>
        <c:axId val="195239113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crossAx val="77747167"/>
        <c:crosses val="autoZero"/>
        <c:auto val="1"/>
        <c:lblAlgn val="ctr"/>
        <c:lblOffset val="100"/>
        <c:noMultiLvlLbl val="0"/>
      </c:cat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50" b="0" i="0" u="none" strike="noStrike" kern="1200" baseline="0">
                <a:solidFill>
                  <a:schemeClr val="lt1">
                    <a:lumMod val="85000"/>
                  </a:schemeClr>
                </a:solidFill>
                <a:latin typeface="Calibri" panose="020F0502020204030204" pitchFamily="34" charset="0"/>
                <a:ea typeface="+mn-ea"/>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MX"/>
              <a:t>Estratégica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'3.1.- Informe Cuatrimestral'!$B$2:$B$3</c:f>
              <c:strCache>
                <c:ptCount val="2"/>
                <c:pt idx="0">
                  <c:v>Estratégica</c:v>
                </c:pt>
                <c:pt idx="1">
                  <c:v>Capacitaciones planeadas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'3.1.- Informe Cuatrimestral'!$A$4:$A$18</c15:sqref>
                  </c15:fullRef>
                </c:ext>
              </c:extLst>
              <c:f>('3.1.- Informe Cuatrimestral'!$A$8,'3.1.- Informe Cuatrimestral'!$A$13,'3.1.- Informe Cuatrimestral'!$A$18)</c:f>
              <c:strCache>
                <c:ptCount val="3"/>
                <c:pt idx="0">
                  <c:v>1er cuatrimestre</c:v>
                </c:pt>
                <c:pt idx="1">
                  <c:v>2do cuatrimestre</c:v>
                </c:pt>
                <c:pt idx="2">
                  <c:v>3er cuatrimestre</c:v>
                </c:pt>
              </c:strCache>
            </c:strRef>
          </c:cat>
          <c:val>
            <c:numRef>
              <c:extLst>
                <c:ext xmlns:c15="http://schemas.microsoft.com/office/drawing/2012/chart" uri="{02D57815-91ED-43cb-92C2-25804820EDAC}">
                  <c15:fullRef>
                    <c15:sqref>'3.1.- Informe Cuatrimestral'!$B$4:$B$18</c15:sqref>
                  </c15:fullRef>
                </c:ext>
              </c:extLst>
              <c:f>('3.1.- Informe Cuatrimestral'!$B$8,'3.1.- Informe Cuatrimestral'!$B$13,'3.1.- Informe Cuatrimestral'!$B$18)</c:f>
              <c:numCache>
                <c:formatCode>General</c:formatCode>
                <c:ptCount val="3"/>
                <c:pt idx="0">
                  <c:v>2</c:v>
                </c:pt>
                <c:pt idx="1">
                  <c:v>4</c:v>
                </c:pt>
                <c:pt idx="2">
                  <c:v>5</c:v>
                </c:pt>
              </c:numCache>
            </c:numRef>
          </c:val>
          <c:extLst>
            <c:ext xmlns:c16="http://schemas.microsoft.com/office/drawing/2014/chart" uri="{C3380CC4-5D6E-409C-BE32-E72D297353CC}">
              <c16:uniqueId val="{00000000-E053-4D11-BF0F-5B4D42C4E0AD}"/>
            </c:ext>
          </c:extLst>
        </c:ser>
        <c:ser>
          <c:idx val="1"/>
          <c:order val="1"/>
          <c:tx>
            <c:strRef>
              <c:f>'3.1.- Informe Cuatrimestral'!$C$2:$C$3</c:f>
              <c:strCache>
                <c:ptCount val="2"/>
                <c:pt idx="0">
                  <c:v>Estratégica</c:v>
                </c:pt>
                <c:pt idx="1">
                  <c:v>Capacitaciones realizadas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'3.1.- Informe Cuatrimestral'!$A$4:$A$18</c15:sqref>
                  </c15:fullRef>
                </c:ext>
              </c:extLst>
              <c:f>('3.1.- Informe Cuatrimestral'!$A$8,'3.1.- Informe Cuatrimestral'!$A$13,'3.1.- Informe Cuatrimestral'!$A$18)</c:f>
              <c:strCache>
                <c:ptCount val="3"/>
                <c:pt idx="0">
                  <c:v>1er cuatrimestre</c:v>
                </c:pt>
                <c:pt idx="1">
                  <c:v>2do cuatrimestre</c:v>
                </c:pt>
                <c:pt idx="2">
                  <c:v>3er cuatrimestre</c:v>
                </c:pt>
              </c:strCache>
            </c:strRef>
          </c:cat>
          <c:val>
            <c:numRef>
              <c:extLst>
                <c:ext xmlns:c15="http://schemas.microsoft.com/office/drawing/2012/chart" uri="{02D57815-91ED-43cb-92C2-25804820EDAC}">
                  <c15:fullRef>
                    <c15:sqref>'3.1.- Informe Cuatrimestral'!$C$4:$C$18</c15:sqref>
                  </c15:fullRef>
                </c:ext>
              </c:extLst>
              <c:f>('3.1.- Informe Cuatrimestral'!$C$8,'3.1.- Informe Cuatrimestral'!$C$13,'3.1.- Informe Cuatrimestral'!$C$18)</c:f>
              <c:numCache>
                <c:formatCode>General</c:formatCode>
                <c:ptCount val="3"/>
                <c:pt idx="0">
                  <c:v>2</c:v>
                </c:pt>
                <c:pt idx="1">
                  <c:v>4</c:v>
                </c:pt>
                <c:pt idx="2">
                  <c:v>5</c:v>
                </c:pt>
              </c:numCache>
            </c:numRef>
          </c:val>
          <c:extLst>
            <c:ext xmlns:c16="http://schemas.microsoft.com/office/drawing/2014/chart" uri="{C3380CC4-5D6E-409C-BE32-E72D297353CC}">
              <c16:uniqueId val="{00000001-E053-4D11-BF0F-5B4D42C4E0AD}"/>
            </c:ext>
          </c:extLst>
        </c:ser>
        <c:dLbls>
          <c:dLblPos val="outEnd"/>
          <c:showLegendKey val="0"/>
          <c:showVal val="1"/>
          <c:showCatName val="0"/>
          <c:showSerName val="0"/>
          <c:showPercent val="0"/>
          <c:showBubbleSize val="0"/>
        </c:dLbls>
        <c:gapWidth val="115"/>
        <c:overlap val="-20"/>
        <c:axId val="1019719504"/>
        <c:axId val="538424112"/>
      </c:barChart>
      <c:catAx>
        <c:axId val="1019719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8424112"/>
        <c:crosses val="autoZero"/>
        <c:auto val="1"/>
        <c:lblAlgn val="ctr"/>
        <c:lblOffset val="100"/>
        <c:noMultiLvlLbl val="0"/>
      </c:catAx>
      <c:valAx>
        <c:axId val="53842411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71950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s-MX"/>
              <a:t>Proyecto</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'3.1.- Informe Cuatrimestral'!$F$2:$F$3</c:f>
              <c:strCache>
                <c:ptCount val="2"/>
                <c:pt idx="0">
                  <c:v>Proyecto</c:v>
                </c:pt>
                <c:pt idx="1">
                  <c:v>Capacitaciones planeadas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'3.1.- Informe Cuatrimestral'!$E$4:$E$18</c15:sqref>
                  </c15:fullRef>
                </c:ext>
              </c:extLst>
              <c:f>('3.1.- Informe Cuatrimestral'!$E$8,'3.1.- Informe Cuatrimestral'!$E$13,'3.1.- Informe Cuatrimestral'!$E$18)</c:f>
              <c:strCache>
                <c:ptCount val="3"/>
                <c:pt idx="0">
                  <c:v>1er cuatrimestre</c:v>
                </c:pt>
                <c:pt idx="1">
                  <c:v>2do cuatrimestre</c:v>
                </c:pt>
                <c:pt idx="2">
                  <c:v>3er cuatrimestre</c:v>
                </c:pt>
              </c:strCache>
            </c:strRef>
          </c:cat>
          <c:val>
            <c:numRef>
              <c:extLst>
                <c:ext xmlns:c15="http://schemas.microsoft.com/office/drawing/2012/chart" uri="{02D57815-91ED-43cb-92C2-25804820EDAC}">
                  <c15:fullRef>
                    <c15:sqref>'3.1.- Informe Cuatrimestral'!$F$4:$F$18</c15:sqref>
                  </c15:fullRef>
                </c:ext>
              </c:extLst>
              <c:f>('3.1.- Informe Cuatrimestral'!$F$8,'3.1.- Informe Cuatrimestral'!$F$13,'3.1.- Informe Cuatrimestral'!$F$18)</c:f>
              <c:numCache>
                <c:formatCode>General</c:formatCode>
                <c:ptCount val="3"/>
                <c:pt idx="0">
                  <c:v>6</c:v>
                </c:pt>
                <c:pt idx="1">
                  <c:v>8</c:v>
                </c:pt>
                <c:pt idx="2">
                  <c:v>2</c:v>
                </c:pt>
              </c:numCache>
            </c:numRef>
          </c:val>
          <c:extLst>
            <c:ext xmlns:c16="http://schemas.microsoft.com/office/drawing/2014/chart" uri="{C3380CC4-5D6E-409C-BE32-E72D297353CC}">
              <c16:uniqueId val="{00000000-6BC6-4DFB-99D9-A951C5112EF2}"/>
            </c:ext>
          </c:extLst>
        </c:ser>
        <c:ser>
          <c:idx val="1"/>
          <c:order val="1"/>
          <c:tx>
            <c:strRef>
              <c:f>'3.1.- Informe Cuatrimestral'!$G$2:$G$3</c:f>
              <c:strCache>
                <c:ptCount val="2"/>
                <c:pt idx="0">
                  <c:v>Proyecto</c:v>
                </c:pt>
                <c:pt idx="1">
                  <c:v>Capacitaciones realizadas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'3.1.- Informe Cuatrimestral'!$E$4:$E$18</c15:sqref>
                  </c15:fullRef>
                </c:ext>
              </c:extLst>
              <c:f>('3.1.- Informe Cuatrimestral'!$E$8,'3.1.- Informe Cuatrimestral'!$E$13,'3.1.- Informe Cuatrimestral'!$E$18)</c:f>
              <c:strCache>
                <c:ptCount val="3"/>
                <c:pt idx="0">
                  <c:v>1er cuatrimestre</c:v>
                </c:pt>
                <c:pt idx="1">
                  <c:v>2do cuatrimestre</c:v>
                </c:pt>
                <c:pt idx="2">
                  <c:v>3er cuatrimestre</c:v>
                </c:pt>
              </c:strCache>
            </c:strRef>
          </c:cat>
          <c:val>
            <c:numRef>
              <c:extLst>
                <c:ext xmlns:c15="http://schemas.microsoft.com/office/drawing/2012/chart" uri="{02D57815-91ED-43cb-92C2-25804820EDAC}">
                  <c15:fullRef>
                    <c15:sqref>'3.1.- Informe Cuatrimestral'!$G$4:$G$18</c15:sqref>
                  </c15:fullRef>
                </c:ext>
              </c:extLst>
              <c:f>('3.1.- Informe Cuatrimestral'!$G$8,'3.1.- Informe Cuatrimestral'!$G$13,'3.1.- Informe Cuatrimestral'!$G$18)</c:f>
              <c:numCache>
                <c:formatCode>General</c:formatCode>
                <c:ptCount val="3"/>
                <c:pt idx="0">
                  <c:v>5</c:v>
                </c:pt>
                <c:pt idx="1">
                  <c:v>8</c:v>
                </c:pt>
                <c:pt idx="2">
                  <c:v>2</c:v>
                </c:pt>
              </c:numCache>
            </c:numRef>
          </c:val>
          <c:extLst>
            <c:ext xmlns:c16="http://schemas.microsoft.com/office/drawing/2014/chart" uri="{C3380CC4-5D6E-409C-BE32-E72D297353CC}">
              <c16:uniqueId val="{00000001-6BC6-4DFB-99D9-A951C5112EF2}"/>
            </c:ext>
          </c:extLst>
        </c:ser>
        <c:dLbls>
          <c:dLblPos val="outEnd"/>
          <c:showLegendKey val="0"/>
          <c:showVal val="1"/>
          <c:showCatName val="0"/>
          <c:showSerName val="0"/>
          <c:showPercent val="0"/>
          <c:showBubbleSize val="0"/>
        </c:dLbls>
        <c:gapWidth val="115"/>
        <c:overlap val="-20"/>
        <c:axId val="1005482736"/>
        <c:axId val="542323712"/>
      </c:barChart>
      <c:catAx>
        <c:axId val="10054827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2323712"/>
        <c:crosses val="autoZero"/>
        <c:auto val="1"/>
        <c:lblAlgn val="ctr"/>
        <c:lblOffset val="100"/>
        <c:noMultiLvlLbl val="0"/>
      </c:catAx>
      <c:valAx>
        <c:axId val="542323712"/>
        <c:scaling>
          <c:orientation val="minMax"/>
        </c:scaling>
        <c:delete val="0"/>
        <c:axPos val="b"/>
        <c:majorGridlines>
          <c:spPr>
            <a:ln w="9525" cap="flat" cmpd="sng" algn="ctr">
              <a:solidFill>
                <a:schemeClr val="lt1">
                  <a:lumMod val="95000"/>
                  <a:alpha val="1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48273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428624</xdr:colOff>
      <xdr:row>2</xdr:row>
      <xdr:rowOff>33866</xdr:rowOff>
    </xdr:from>
    <xdr:to>
      <xdr:col>13</xdr:col>
      <xdr:colOff>253691</xdr:colOff>
      <xdr:row>15</xdr:row>
      <xdr:rowOff>147108</xdr:rowOff>
    </xdr:to>
    <xdr:graphicFrame macro="">
      <xdr:nvGraphicFramePr>
        <xdr:cNvPr id="6" name="Gráfico 5">
          <a:extLst>
            <a:ext uri="{FF2B5EF4-FFF2-40B4-BE49-F238E27FC236}">
              <a16:creationId xmlns:a16="http://schemas.microsoft.com/office/drawing/2014/main" id="{DB17FE87-7B57-48A7-868D-DAFEC815F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419097</xdr:colOff>
      <xdr:row>2</xdr:row>
      <xdr:rowOff>42333</xdr:rowOff>
    </xdr:from>
    <xdr:to>
      <xdr:col>20</xdr:col>
      <xdr:colOff>158750</xdr:colOff>
      <xdr:row>15</xdr:row>
      <xdr:rowOff>156700</xdr:rowOff>
    </xdr:to>
    <xdr:graphicFrame macro="">
      <xdr:nvGraphicFramePr>
        <xdr:cNvPr id="2" name="Gráfico 9">
          <a:extLst>
            <a:ext uri="{FF2B5EF4-FFF2-40B4-BE49-F238E27FC236}">
              <a16:creationId xmlns:a16="http://schemas.microsoft.com/office/drawing/2014/main" id="{FD88C56F-12FE-4A9B-9106-98B56390350E}"/>
            </a:ext>
            <a:ext uri="{147F2762-F138-4A5C-976F-8EAC2B608ADB}">
              <a16:predDERef xmlns:a16="http://schemas.microsoft.com/office/drawing/2014/main" pred="{DB17FE87-7B57-48A7-868D-DAFEC815F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418041</xdr:colOff>
      <xdr:row>16</xdr:row>
      <xdr:rowOff>125941</xdr:rowOff>
    </xdr:from>
    <xdr:to>
      <xdr:col>13</xdr:col>
      <xdr:colOff>222249</xdr:colOff>
      <xdr:row>31</xdr:row>
      <xdr:rowOff>134474</xdr:rowOff>
    </xdr:to>
    <xdr:graphicFrame macro="">
      <xdr:nvGraphicFramePr>
        <xdr:cNvPr id="11" name="Gráfico 10">
          <a:extLst>
            <a:ext uri="{FF2B5EF4-FFF2-40B4-BE49-F238E27FC236}">
              <a16:creationId xmlns:a16="http://schemas.microsoft.com/office/drawing/2014/main" id="{0657FEDE-348D-4C41-83D3-F12BDE06A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433917</xdr:colOff>
      <xdr:row>16</xdr:row>
      <xdr:rowOff>127001</xdr:rowOff>
    </xdr:from>
    <xdr:to>
      <xdr:col>20</xdr:col>
      <xdr:colOff>132292</xdr:colOff>
      <xdr:row>31</xdr:row>
      <xdr:rowOff>135534</xdr:rowOff>
    </xdr:to>
    <xdr:graphicFrame macro="">
      <xdr:nvGraphicFramePr>
        <xdr:cNvPr id="8" name="Gráfico 7">
          <a:extLst>
            <a:ext uri="{FF2B5EF4-FFF2-40B4-BE49-F238E27FC236}">
              <a16:creationId xmlns:a16="http://schemas.microsoft.com/office/drawing/2014/main" id="{F8CA9ABB-A8DC-4814-B057-17493596D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511491</xdr:colOff>
      <xdr:row>0</xdr:row>
      <xdr:rowOff>91440</xdr:rowOff>
    </xdr:from>
    <xdr:to>
      <xdr:col>13</xdr:col>
      <xdr:colOff>676275</xdr:colOff>
      <xdr:row>13</xdr:row>
      <xdr:rowOff>38100</xdr:rowOff>
    </xdr:to>
    <xdr:graphicFrame macro="">
      <xdr:nvGraphicFramePr>
        <xdr:cNvPr id="11" name="Gráfico 10">
          <a:extLst>
            <a:ext uri="{FF2B5EF4-FFF2-40B4-BE49-F238E27FC236}">
              <a16:creationId xmlns:a16="http://schemas.microsoft.com/office/drawing/2014/main" id="{D25786A0-BFD3-2767-9C60-0692E1910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516806</xdr:colOff>
      <xdr:row>13</xdr:row>
      <xdr:rowOff>168391</xdr:rowOff>
    </xdr:from>
    <xdr:to>
      <xdr:col>13</xdr:col>
      <xdr:colOff>674077</xdr:colOff>
      <xdr:row>30</xdr:row>
      <xdr:rowOff>7921</xdr:rowOff>
    </xdr:to>
    <xdr:graphicFrame macro="">
      <xdr:nvGraphicFramePr>
        <xdr:cNvPr id="12" name="Gráfico 11">
          <a:extLst>
            <a:ext uri="{FF2B5EF4-FFF2-40B4-BE49-F238E27FC236}">
              <a16:creationId xmlns:a16="http://schemas.microsoft.com/office/drawing/2014/main" id="{7AFC4780-E5B8-98B2-D869-D089B8D111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AC59-F755-4D3E-98CA-8C47AD07E9D2}">
  <dimension ref="A1:D14"/>
  <sheetViews>
    <sheetView showGridLines="0" zoomScaleNormal="100" workbookViewId="0">
      <selection activeCell="H12" sqref="H12"/>
    </sheetView>
  </sheetViews>
  <sheetFormatPr defaultColWidth="11.453125" defaultRowHeight="30.75" customHeight="1" x14ac:dyDescent="0.35"/>
  <cols>
    <col min="1" max="1" width="20.26953125" customWidth="1"/>
    <col min="2" max="2" width="23.453125" customWidth="1"/>
    <col min="3" max="3" width="47.453125" customWidth="1"/>
    <col min="4" max="4" width="26.453125" customWidth="1"/>
  </cols>
  <sheetData>
    <row r="1" spans="1:4" ht="14.5" x14ac:dyDescent="0.35">
      <c r="A1" s="74" t="s">
        <v>0</v>
      </c>
      <c r="B1" s="74"/>
      <c r="C1" s="38"/>
    </row>
    <row r="2" spans="1:4" ht="54.75" customHeight="1" x14ac:dyDescent="0.35">
      <c r="A2" s="74"/>
      <c r="B2" s="74"/>
      <c r="C2" s="38"/>
    </row>
    <row r="3" spans="1:4" ht="30.75" customHeight="1" x14ac:dyDescent="0.35">
      <c r="A3" s="78" t="s">
        <v>73</v>
      </c>
      <c r="B3" s="78"/>
    </row>
    <row r="4" spans="1:4" ht="14.5" x14ac:dyDescent="0.35"/>
    <row r="5" spans="1:4" ht="30.75" customHeight="1" x14ac:dyDescent="0.35">
      <c r="A5" s="77"/>
      <c r="B5" s="77"/>
      <c r="C5" s="77"/>
      <c r="D5" s="77"/>
    </row>
    <row r="6" spans="1:4" ht="18.5" x14ac:dyDescent="0.45">
      <c r="A6" s="75" t="s">
        <v>1</v>
      </c>
      <c r="B6" s="75"/>
      <c r="C6" s="75"/>
      <c r="D6" s="75"/>
    </row>
    <row r="7" spans="1:4" ht="14.5" x14ac:dyDescent="0.35"/>
    <row r="8" spans="1:4" ht="18.5" x14ac:dyDescent="0.35">
      <c r="A8" s="35" t="s">
        <v>2</v>
      </c>
      <c r="B8" s="35" t="s">
        <v>3</v>
      </c>
      <c r="C8" s="35" t="s">
        <v>4</v>
      </c>
      <c r="D8" s="35" t="s">
        <v>5</v>
      </c>
    </row>
    <row r="9" spans="1:4" ht="32.25" customHeight="1" x14ac:dyDescent="0.35">
      <c r="A9" s="48" t="s">
        <v>95</v>
      </c>
      <c r="B9" s="49" t="s">
        <v>6</v>
      </c>
      <c r="C9" s="48" t="s">
        <v>7</v>
      </c>
      <c r="D9" s="48" t="s">
        <v>97</v>
      </c>
    </row>
    <row r="10" spans="1:4" ht="32.25" customHeight="1" x14ac:dyDescent="0.35">
      <c r="A10" s="48"/>
      <c r="B10" s="49" t="s">
        <v>94</v>
      </c>
      <c r="C10" s="48" t="s">
        <v>96</v>
      </c>
      <c r="D10" s="48"/>
    </row>
    <row r="11" spans="1:4" ht="32.25" customHeight="1" x14ac:dyDescent="0.35">
      <c r="A11" s="36"/>
      <c r="B11" s="37"/>
      <c r="C11" s="36"/>
      <c r="D11" s="36"/>
    </row>
    <row r="12" spans="1:4" ht="32.25" customHeight="1" x14ac:dyDescent="0.35">
      <c r="A12" s="36"/>
      <c r="B12" s="37"/>
      <c r="C12" s="36"/>
      <c r="D12" s="36"/>
    </row>
    <row r="14" spans="1:4" ht="15.5" x14ac:dyDescent="0.35">
      <c r="A14" s="76" t="s">
        <v>84</v>
      </c>
      <c r="B14" s="76"/>
      <c r="C14" s="76"/>
      <c r="D14" s="76"/>
    </row>
  </sheetData>
  <mergeCells count="5">
    <mergeCell ref="A1:B2"/>
    <mergeCell ref="A6:D6"/>
    <mergeCell ref="A14:D14"/>
    <mergeCell ref="A5:D5"/>
    <mergeCell ref="A3:B3"/>
  </mergeCells>
  <pageMargins left="0.7" right="0.7" top="0.75" bottom="0.75" header="0.3" footer="0.3"/>
  <pageSetup orientation="portrait" r:id="rId1"/>
  <ignoredErrors>
    <ignoredError sqref="B9"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A1395-B3B4-428C-9364-8F0EF3387CA7}">
  <dimension ref="A1:X17"/>
  <sheetViews>
    <sheetView showGridLines="0" tabSelected="1" topLeftCell="O1" zoomScale="115" zoomScaleNormal="115" workbookViewId="0">
      <selection activeCell="W3" sqref="W3"/>
    </sheetView>
  </sheetViews>
  <sheetFormatPr defaultColWidth="11.453125" defaultRowHeight="14.5" x14ac:dyDescent="0.35"/>
  <cols>
    <col min="1" max="2" width="16.453125" style="10" customWidth="1"/>
    <col min="3" max="3" width="28" style="10" customWidth="1"/>
    <col min="4" max="4" width="37.54296875" style="10" customWidth="1"/>
    <col min="5" max="6" width="18.1796875" style="10" customWidth="1"/>
    <col min="7" max="7" width="15.1796875" style="10" customWidth="1"/>
    <col min="8" max="8" width="20.81640625" style="10" customWidth="1"/>
    <col min="9" max="9" width="47.7265625" style="10" customWidth="1"/>
    <col min="10" max="10" width="16.54296875" style="10" customWidth="1"/>
    <col min="11" max="11" width="29.453125" style="10" customWidth="1"/>
    <col min="12" max="12" width="14.453125" style="10" customWidth="1"/>
    <col min="13" max="14" width="23" style="10" customWidth="1"/>
    <col min="15" max="15" width="17" style="10" customWidth="1"/>
    <col min="16" max="16" width="23.453125" style="10" customWidth="1"/>
    <col min="17" max="17" width="8.453125" style="10" customWidth="1"/>
    <col min="18" max="18" width="8.7265625" style="10" customWidth="1"/>
    <col min="19" max="19" width="13.7265625" style="10" customWidth="1"/>
    <col min="20" max="20" width="24.54296875" style="10" customWidth="1"/>
    <col min="21" max="21" width="23.81640625" style="10" customWidth="1"/>
    <col min="22" max="22" width="14.7265625" style="10" customWidth="1"/>
    <col min="23" max="23" width="23.26953125" style="10" customWidth="1"/>
    <col min="24" max="24" width="36.1796875" style="10" customWidth="1"/>
    <col min="25" max="25" width="14.1796875" style="10" customWidth="1"/>
    <col min="26" max="26" width="39.26953125" style="10" customWidth="1"/>
    <col min="27" max="29" width="11.453125" style="10" customWidth="1"/>
    <col min="30" max="16384" width="11.453125" style="10"/>
  </cols>
  <sheetData>
    <row r="1" spans="1:24" ht="38.25" customHeight="1" x14ac:dyDescent="0.35">
      <c r="A1" s="84" t="s">
        <v>8</v>
      </c>
      <c r="B1" s="84"/>
      <c r="C1" s="84"/>
      <c r="D1" s="84"/>
      <c r="E1" s="84"/>
      <c r="F1" s="84"/>
      <c r="G1" s="84"/>
      <c r="H1" s="84"/>
      <c r="I1" s="84"/>
      <c r="J1" s="84"/>
      <c r="K1" s="84"/>
      <c r="L1" s="84"/>
      <c r="M1" s="79" t="s">
        <v>9</v>
      </c>
      <c r="N1" s="79"/>
      <c r="O1" s="80"/>
      <c r="P1" s="81" t="s">
        <v>10</v>
      </c>
      <c r="Q1" s="82"/>
      <c r="R1" s="82"/>
      <c r="S1" s="83" t="s">
        <v>11</v>
      </c>
      <c r="T1" s="83"/>
      <c r="U1" s="83"/>
      <c r="V1" s="83"/>
      <c r="W1" s="83"/>
      <c r="X1" s="19"/>
    </row>
    <row r="2" spans="1:24" s="19" customFormat="1" ht="31" x14ac:dyDescent="0.35">
      <c r="A2" s="39" t="s">
        <v>12</v>
      </c>
      <c r="B2" s="39" t="s">
        <v>13</v>
      </c>
      <c r="C2" s="40" t="s">
        <v>14</v>
      </c>
      <c r="D2" s="40" t="s">
        <v>15</v>
      </c>
      <c r="E2" s="39" t="s">
        <v>16</v>
      </c>
      <c r="F2" s="39" t="s">
        <v>106</v>
      </c>
      <c r="G2" s="40" t="s">
        <v>17</v>
      </c>
      <c r="H2" s="40" t="s">
        <v>18</v>
      </c>
      <c r="I2" s="40" t="s">
        <v>19</v>
      </c>
      <c r="J2" s="40" t="s">
        <v>20</v>
      </c>
      <c r="K2" s="40" t="s">
        <v>21</v>
      </c>
      <c r="L2" s="39" t="s">
        <v>22</v>
      </c>
      <c r="M2" s="41" t="s">
        <v>23</v>
      </c>
      <c r="N2" s="41" t="s">
        <v>24</v>
      </c>
      <c r="O2" s="41" t="s">
        <v>25</v>
      </c>
      <c r="P2" s="40" t="s">
        <v>26</v>
      </c>
      <c r="Q2" s="41" t="s">
        <v>27</v>
      </c>
      <c r="R2" s="41" t="s">
        <v>28</v>
      </c>
      <c r="S2" s="40" t="s">
        <v>29</v>
      </c>
      <c r="T2" s="40" t="s">
        <v>30</v>
      </c>
      <c r="U2" s="42" t="s">
        <v>31</v>
      </c>
      <c r="V2" s="43" t="s">
        <v>32</v>
      </c>
      <c r="W2" s="44" t="s">
        <v>33</v>
      </c>
      <c r="X2" s="10"/>
    </row>
    <row r="3" spans="1:24" ht="92.15" customHeight="1" x14ac:dyDescent="0.35">
      <c r="A3" s="64" t="s">
        <v>34</v>
      </c>
      <c r="B3" s="65" t="s">
        <v>74</v>
      </c>
      <c r="C3" s="66" t="s">
        <v>86</v>
      </c>
      <c r="D3" s="65" t="s">
        <v>99</v>
      </c>
      <c r="E3" s="66">
        <v>3</v>
      </c>
      <c r="F3" s="65" t="s">
        <v>107</v>
      </c>
      <c r="G3" s="66" t="s">
        <v>68</v>
      </c>
      <c r="H3" s="65" t="s">
        <v>85</v>
      </c>
      <c r="I3" s="65" t="s">
        <v>98</v>
      </c>
      <c r="J3" s="66" t="s">
        <v>75</v>
      </c>
      <c r="K3" s="65" t="s">
        <v>76</v>
      </c>
      <c r="L3" s="67">
        <v>72000</v>
      </c>
      <c r="M3" s="66" t="s">
        <v>66</v>
      </c>
      <c r="N3" s="68" t="s">
        <v>104</v>
      </c>
      <c r="O3" s="65" t="s">
        <v>77</v>
      </c>
      <c r="P3" s="69" t="s">
        <v>78</v>
      </c>
      <c r="Q3" s="70"/>
      <c r="R3" s="66" t="s">
        <v>79</v>
      </c>
      <c r="S3" s="70" t="s">
        <v>35</v>
      </c>
      <c r="T3" s="65" t="s">
        <v>80</v>
      </c>
      <c r="U3" s="71" t="s">
        <v>81</v>
      </c>
      <c r="V3" s="72">
        <v>3</v>
      </c>
      <c r="W3" s="73" t="s">
        <v>36</v>
      </c>
    </row>
    <row r="4" spans="1:24" ht="43.5" x14ac:dyDescent="0.35">
      <c r="A4" s="2" t="s">
        <v>44</v>
      </c>
      <c r="B4" s="21" t="s">
        <v>110</v>
      </c>
      <c r="C4" s="3" t="s">
        <v>108</v>
      </c>
      <c r="D4" s="16" t="s">
        <v>109</v>
      </c>
      <c r="E4" s="5"/>
      <c r="F4" s="5"/>
      <c r="G4" s="12"/>
      <c r="H4" s="3"/>
      <c r="I4" s="17"/>
      <c r="J4" s="3"/>
      <c r="K4" s="17"/>
      <c r="L4" s="29"/>
      <c r="M4" s="12"/>
      <c r="N4" s="12"/>
      <c r="O4" s="3"/>
      <c r="P4" s="18"/>
      <c r="Q4" s="4"/>
      <c r="R4" s="4"/>
      <c r="S4" s="4"/>
      <c r="T4" s="3"/>
      <c r="U4" s="26"/>
      <c r="V4" s="25"/>
      <c r="W4" s="31"/>
    </row>
    <row r="5" spans="1:24" ht="29" x14ac:dyDescent="0.35">
      <c r="A5" s="2" t="s">
        <v>34</v>
      </c>
      <c r="B5" s="2"/>
      <c r="C5" s="16" t="s">
        <v>112</v>
      </c>
      <c r="D5" s="16"/>
      <c r="E5" s="4"/>
      <c r="F5" s="21" t="s">
        <v>111</v>
      </c>
      <c r="G5" s="2"/>
      <c r="H5" s="2" t="s">
        <v>113</v>
      </c>
      <c r="I5" s="2"/>
      <c r="J5" s="2"/>
      <c r="K5" s="17"/>
      <c r="L5" s="30"/>
      <c r="M5" s="12"/>
      <c r="N5" s="12"/>
      <c r="O5" s="2"/>
      <c r="P5" s="18"/>
      <c r="Q5" s="4"/>
      <c r="R5" s="4"/>
      <c r="S5" s="4"/>
      <c r="T5" s="2"/>
      <c r="U5" s="28"/>
      <c r="V5" s="27"/>
      <c r="W5" s="27"/>
    </row>
    <row r="6" spans="1:24" x14ac:dyDescent="0.35">
      <c r="A6" s="3"/>
      <c r="B6" s="3"/>
      <c r="C6" s="3"/>
      <c r="D6" s="3"/>
      <c r="E6" s="3"/>
      <c r="F6" s="3"/>
      <c r="G6" s="12"/>
      <c r="H6" s="3"/>
      <c r="I6" s="3"/>
      <c r="J6" s="3"/>
      <c r="K6" s="3"/>
      <c r="L6" s="29"/>
      <c r="M6" s="12"/>
      <c r="N6" s="12"/>
      <c r="O6" s="3"/>
      <c r="P6" s="3"/>
      <c r="Q6" s="4"/>
      <c r="R6" s="4"/>
      <c r="S6" s="4"/>
      <c r="T6" s="3"/>
      <c r="U6" s="26"/>
      <c r="V6" s="25"/>
      <c r="W6" s="25"/>
    </row>
    <row r="7" spans="1:24" x14ac:dyDescent="0.35">
      <c r="A7" s="3"/>
      <c r="B7" s="3"/>
      <c r="C7" s="3"/>
      <c r="D7" s="3"/>
      <c r="E7" s="3"/>
      <c r="F7" s="3"/>
      <c r="G7" s="12"/>
      <c r="H7" s="3"/>
      <c r="I7" s="3"/>
      <c r="J7" s="3"/>
      <c r="K7" s="3"/>
      <c r="L7" s="29"/>
      <c r="M7" s="12"/>
      <c r="N7" s="12"/>
      <c r="O7" s="3"/>
      <c r="P7" s="3"/>
      <c r="Q7" s="4"/>
      <c r="R7" s="4"/>
      <c r="S7" s="4"/>
      <c r="T7" s="3"/>
      <c r="U7" s="26"/>
      <c r="V7" s="25"/>
      <c r="W7" s="25"/>
    </row>
    <row r="8" spans="1:24" x14ac:dyDescent="0.35">
      <c r="A8" s="3"/>
      <c r="B8" s="3"/>
      <c r="C8" s="3"/>
      <c r="D8" s="3"/>
      <c r="E8" s="3"/>
      <c r="F8" s="3"/>
      <c r="G8" s="12"/>
      <c r="H8" s="3"/>
      <c r="I8" s="3"/>
      <c r="J8" s="3"/>
      <c r="K8" s="3"/>
      <c r="L8" s="29"/>
      <c r="M8" s="12"/>
      <c r="N8" s="12"/>
      <c r="O8" s="3"/>
      <c r="P8" s="3"/>
      <c r="Q8" s="4"/>
      <c r="R8" s="4"/>
      <c r="S8" s="4"/>
      <c r="T8" s="3"/>
      <c r="U8" s="26"/>
      <c r="V8" s="25"/>
      <c r="W8" s="25"/>
    </row>
    <row r="9" spans="1:24" x14ac:dyDescent="0.35">
      <c r="A9" s="3"/>
      <c r="B9" s="3"/>
      <c r="C9" s="3"/>
      <c r="D9" s="3"/>
      <c r="E9" s="3"/>
      <c r="F9" s="3"/>
      <c r="G9" s="12"/>
      <c r="H9" s="3"/>
      <c r="I9" s="3"/>
      <c r="J9" s="3"/>
      <c r="K9" s="3"/>
      <c r="L9" s="29"/>
      <c r="M9" s="12"/>
      <c r="N9" s="12"/>
      <c r="O9" s="3"/>
      <c r="P9" s="3"/>
      <c r="Q9" s="4"/>
      <c r="R9" s="4"/>
      <c r="S9" s="4"/>
      <c r="T9" s="3"/>
      <c r="U9" s="26"/>
      <c r="V9" s="25"/>
      <c r="W9" s="25"/>
    </row>
    <row r="10" spans="1:24" x14ac:dyDescent="0.35">
      <c r="A10" s="3"/>
      <c r="B10" s="3"/>
      <c r="C10" s="3"/>
      <c r="D10" s="3"/>
      <c r="E10" s="3"/>
      <c r="F10" s="3"/>
      <c r="G10" s="12"/>
      <c r="H10" s="3"/>
      <c r="I10" s="3"/>
      <c r="J10" s="3"/>
      <c r="K10" s="3"/>
      <c r="L10" s="29"/>
      <c r="M10" s="12"/>
      <c r="N10" s="12"/>
      <c r="O10" s="3"/>
      <c r="P10" s="3"/>
      <c r="Q10" s="4"/>
      <c r="R10" s="4"/>
      <c r="S10" s="4"/>
      <c r="T10" s="3"/>
      <c r="U10" s="26"/>
      <c r="V10" s="25"/>
      <c r="W10" s="25"/>
    </row>
    <row r="11" spans="1:24" x14ac:dyDescent="0.35">
      <c r="A11" s="3"/>
      <c r="B11" s="3"/>
      <c r="C11" s="3"/>
      <c r="D11" s="3"/>
      <c r="E11" s="3"/>
      <c r="F11" s="3"/>
      <c r="G11" s="12"/>
      <c r="H11" s="3"/>
      <c r="I11" s="3"/>
      <c r="J11" s="3"/>
      <c r="K11" s="3"/>
      <c r="L11" s="29"/>
      <c r="M11" s="12"/>
      <c r="N11" s="12"/>
      <c r="O11" s="3"/>
      <c r="P11" s="3"/>
      <c r="Q11" s="4"/>
      <c r="R11" s="4"/>
      <c r="S11" s="4"/>
      <c r="T11" s="3"/>
      <c r="U11" s="26"/>
      <c r="V11" s="25"/>
      <c r="W11" s="25"/>
    </row>
    <row r="12" spans="1:24" x14ac:dyDescent="0.35">
      <c r="A12" s="3"/>
      <c r="B12" s="3"/>
      <c r="C12" s="3"/>
      <c r="D12" s="3"/>
      <c r="E12" s="3"/>
      <c r="F12" s="3"/>
      <c r="G12" s="12"/>
      <c r="H12" s="3"/>
      <c r="I12" s="3"/>
      <c r="J12" s="3"/>
      <c r="K12" s="3"/>
      <c r="L12" s="29"/>
      <c r="M12" s="12"/>
      <c r="N12" s="12"/>
      <c r="O12" s="3"/>
      <c r="P12" s="3"/>
      <c r="Q12" s="4"/>
      <c r="R12" s="4"/>
      <c r="S12" s="4"/>
      <c r="T12" s="3"/>
      <c r="U12" s="26"/>
      <c r="V12" s="25"/>
      <c r="W12" s="25"/>
    </row>
    <row r="13" spans="1:24" x14ac:dyDescent="0.35">
      <c r="A13" s="3"/>
      <c r="B13" s="3"/>
      <c r="C13" s="3"/>
      <c r="D13" s="3"/>
      <c r="E13" s="3"/>
      <c r="F13" s="3"/>
      <c r="G13" s="12"/>
      <c r="H13" s="3"/>
      <c r="I13" s="3"/>
      <c r="J13" s="3"/>
      <c r="K13" s="3"/>
      <c r="L13" s="29"/>
      <c r="M13" s="12"/>
      <c r="N13" s="12"/>
      <c r="O13" s="3"/>
      <c r="P13" s="3"/>
      <c r="Q13" s="4"/>
      <c r="R13" s="4"/>
      <c r="S13" s="4"/>
      <c r="T13" s="3"/>
      <c r="U13" s="26"/>
      <c r="V13" s="25"/>
      <c r="W13" s="25"/>
    </row>
    <row r="14" spans="1:24" x14ac:dyDescent="0.35">
      <c r="A14" s="3"/>
      <c r="B14" s="3"/>
      <c r="C14" s="3"/>
      <c r="D14" s="3"/>
      <c r="E14" s="3"/>
      <c r="F14" s="3"/>
      <c r="G14" s="12"/>
      <c r="H14" s="3"/>
      <c r="I14" s="3"/>
      <c r="J14" s="3"/>
      <c r="K14" s="3"/>
      <c r="L14" s="29"/>
      <c r="M14" s="12"/>
      <c r="N14" s="12"/>
      <c r="O14" s="3"/>
      <c r="P14" s="3"/>
      <c r="Q14" s="4"/>
      <c r="R14" s="4"/>
      <c r="S14" s="4"/>
      <c r="T14" s="3"/>
      <c r="U14" s="26"/>
      <c r="V14" s="25"/>
      <c r="W14" s="25"/>
    </row>
    <row r="17" spans="1:1" x14ac:dyDescent="0.35">
      <c r="A17" s="34" t="s">
        <v>83</v>
      </c>
    </row>
  </sheetData>
  <mergeCells count="4">
    <mergeCell ref="M1:O1"/>
    <mergeCell ref="P1:R1"/>
    <mergeCell ref="S1:W1"/>
    <mergeCell ref="A1:L1"/>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841393FF-AC00-43BA-91B8-0C37B38E12C7}">
          <x14:formula1>
            <xm:f>Listas!$D$3:$D$4</xm:f>
          </x14:formula1>
          <xm:sqref>G4:G14</xm:sqref>
        </x14:dataValidation>
        <x14:dataValidation type="list" allowBlank="1" showInputMessage="1" showErrorMessage="1" xr:uid="{CE13B9F1-E18E-4B11-901E-92BB5A3FB8EC}">
          <x14:formula1>
            <xm:f>Listas!$I$3:$I$5</xm:f>
          </x14:formula1>
          <xm:sqref>S3:S14</xm:sqref>
        </x14:dataValidation>
        <x14:dataValidation type="list" allowBlank="1" showInputMessage="1" showErrorMessage="1" xr:uid="{5B3C3F06-1591-40D3-95F3-7C92A00E82C5}">
          <x14:formula1>
            <xm:f>Listas!$A$3:$A$4</xm:f>
          </x14:formula1>
          <xm:sqref>A3:A14</xm:sqref>
        </x14:dataValidation>
        <x14:dataValidation type="list" allowBlank="1" showInputMessage="1" showErrorMessage="1" xr:uid="{2D65B802-01CD-44CA-A205-36E3CE9BC64C}">
          <x14:formula1>
            <xm:f>Listas!$F$3:$F$7</xm:f>
          </x14:formula1>
          <xm:sqref>G4:G14</xm:sqref>
        </x14:dataValidation>
        <x14:dataValidation type="list" allowBlank="1" showInputMessage="1" showErrorMessage="1" xr:uid="{6A63E9F6-2761-47AB-9939-0124DCC81D29}">
          <x14:formula1>
            <xm:f>Listas!$G$3:$G$5</xm:f>
          </x14:formula1>
          <xm:sqref>M4:M14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F368-BA5B-4FFE-931E-50E318002C60}">
  <dimension ref="B2:I22"/>
  <sheetViews>
    <sheetView showGridLines="0" zoomScale="130" zoomScaleNormal="130" workbookViewId="0">
      <selection activeCell="F26" sqref="F26"/>
    </sheetView>
  </sheetViews>
  <sheetFormatPr defaultColWidth="11.453125" defaultRowHeight="14.5" x14ac:dyDescent="0.35"/>
  <cols>
    <col min="1" max="1" width="2.7265625" style="10" customWidth="1"/>
    <col min="2" max="2" width="25" style="10" customWidth="1"/>
    <col min="3" max="3" width="11.453125" style="10"/>
    <col min="4" max="4" width="0.54296875" style="10" customWidth="1"/>
    <col min="5" max="5" width="25" style="10" customWidth="1"/>
    <col min="6" max="6" width="11.453125" style="10"/>
    <col min="7" max="7" width="0.453125" style="10" customWidth="1"/>
    <col min="8" max="8" width="25" style="10" customWidth="1"/>
    <col min="9" max="16384" width="11.453125" style="10"/>
  </cols>
  <sheetData>
    <row r="2" spans="2:9" ht="21" x14ac:dyDescent="0.5">
      <c r="B2" s="85" t="s">
        <v>100</v>
      </c>
      <c r="C2" s="85"/>
      <c r="D2" s="85"/>
      <c r="E2" s="85"/>
      <c r="F2" s="85"/>
      <c r="G2" s="85"/>
      <c r="H2" s="85"/>
      <c r="I2" s="85"/>
    </row>
    <row r="3" spans="2:9" ht="15.5" x14ac:dyDescent="0.35">
      <c r="B3" s="50" t="s">
        <v>37</v>
      </c>
      <c r="C3" s="52">
        <v>0</v>
      </c>
      <c r="E3" s="45" t="s">
        <v>38</v>
      </c>
      <c r="F3" s="51">
        <f>C11+F11+I11+C20+F20+I20</f>
        <v>0</v>
      </c>
      <c r="H3" s="50" t="s">
        <v>39</v>
      </c>
      <c r="I3" s="51">
        <f>+C3-F3</f>
        <v>0</v>
      </c>
    </row>
    <row r="5" spans="2:9" ht="15.5" x14ac:dyDescent="0.35">
      <c r="B5" s="86" t="s">
        <v>82</v>
      </c>
      <c r="C5" s="86"/>
      <c r="E5" s="86" t="s">
        <v>82</v>
      </c>
      <c r="F5" s="86"/>
      <c r="H5" s="86" t="s">
        <v>82</v>
      </c>
      <c r="I5" s="86"/>
    </row>
    <row r="6" spans="2:9" ht="15.5" x14ac:dyDescent="0.35">
      <c r="B6" s="45" t="s">
        <v>40</v>
      </c>
      <c r="C6" s="45" t="s">
        <v>22</v>
      </c>
      <c r="E6" s="45" t="s">
        <v>40</v>
      </c>
      <c r="F6" s="45" t="s">
        <v>22</v>
      </c>
      <c r="H6" s="45" t="s">
        <v>40</v>
      </c>
      <c r="I6" s="45" t="s">
        <v>22</v>
      </c>
    </row>
    <row r="7" spans="2:9" x14ac:dyDescent="0.35">
      <c r="B7" s="32" t="s">
        <v>87</v>
      </c>
      <c r="C7" s="14">
        <v>0</v>
      </c>
      <c r="E7" s="32" t="s">
        <v>87</v>
      </c>
      <c r="F7" s="15" t="s">
        <v>41</v>
      </c>
      <c r="H7" s="32" t="s">
        <v>87</v>
      </c>
      <c r="I7" s="15" t="s">
        <v>41</v>
      </c>
    </row>
    <row r="8" spans="2:9" ht="15.65" customHeight="1" x14ac:dyDescent="0.35">
      <c r="B8" s="33" t="s">
        <v>88</v>
      </c>
      <c r="C8" s="15" t="s">
        <v>41</v>
      </c>
      <c r="E8" s="33" t="s">
        <v>88</v>
      </c>
      <c r="F8" s="15" t="s">
        <v>41</v>
      </c>
      <c r="H8" s="33" t="s">
        <v>88</v>
      </c>
      <c r="I8" s="15" t="s">
        <v>41</v>
      </c>
    </row>
    <row r="9" spans="2:9" ht="16.399999999999999" customHeight="1" x14ac:dyDescent="0.35">
      <c r="B9" s="32" t="s">
        <v>89</v>
      </c>
      <c r="C9" s="15" t="s">
        <v>41</v>
      </c>
      <c r="E9" s="32" t="s">
        <v>89</v>
      </c>
      <c r="F9" s="15" t="s">
        <v>41</v>
      </c>
      <c r="H9" s="32" t="s">
        <v>89</v>
      </c>
      <c r="I9" s="15" t="s">
        <v>41</v>
      </c>
    </row>
    <row r="10" spans="2:9" ht="15.65" customHeight="1" x14ac:dyDescent="0.35">
      <c r="B10" s="32" t="s">
        <v>90</v>
      </c>
      <c r="C10" s="14" t="s">
        <v>41</v>
      </c>
      <c r="E10" s="32" t="s">
        <v>90</v>
      </c>
      <c r="F10" s="15" t="s">
        <v>41</v>
      </c>
      <c r="H10" s="32" t="s">
        <v>90</v>
      </c>
      <c r="I10" s="15" t="s">
        <v>41</v>
      </c>
    </row>
    <row r="11" spans="2:9" x14ac:dyDescent="0.35">
      <c r="B11" s="46" t="s">
        <v>42</v>
      </c>
      <c r="C11" s="47">
        <f>SUM(C7:C10)</f>
        <v>0</v>
      </c>
      <c r="E11" s="46" t="s">
        <v>42</v>
      </c>
      <c r="F11" s="47">
        <f>SUM(F7:F10)</f>
        <v>0</v>
      </c>
      <c r="H11" s="46" t="s">
        <v>42</v>
      </c>
      <c r="I11" s="47">
        <f>SUM(I7:I10)</f>
        <v>0</v>
      </c>
    </row>
    <row r="14" spans="2:9" ht="15.5" x14ac:dyDescent="0.35">
      <c r="B14" s="86" t="s">
        <v>82</v>
      </c>
      <c r="C14" s="86"/>
      <c r="E14" s="86" t="s">
        <v>82</v>
      </c>
      <c r="F14" s="86"/>
      <c r="H14" s="86" t="s">
        <v>82</v>
      </c>
      <c r="I14" s="86"/>
    </row>
    <row r="15" spans="2:9" ht="15.5" x14ac:dyDescent="0.35">
      <c r="B15" s="45" t="s">
        <v>40</v>
      </c>
      <c r="C15" s="45" t="s">
        <v>22</v>
      </c>
      <c r="E15" s="45" t="s">
        <v>40</v>
      </c>
      <c r="F15" s="45" t="s">
        <v>22</v>
      </c>
      <c r="H15" s="45" t="s">
        <v>40</v>
      </c>
      <c r="I15" s="45" t="s">
        <v>22</v>
      </c>
    </row>
    <row r="16" spans="2:9" x14ac:dyDescent="0.35">
      <c r="B16" s="32" t="s">
        <v>87</v>
      </c>
      <c r="C16" s="15" t="s">
        <v>41</v>
      </c>
      <c r="E16" s="32" t="s">
        <v>87</v>
      </c>
      <c r="F16" s="15" t="s">
        <v>41</v>
      </c>
      <c r="H16" s="32" t="s">
        <v>87</v>
      </c>
      <c r="I16" s="15" t="s">
        <v>41</v>
      </c>
    </row>
    <row r="17" spans="2:9" x14ac:dyDescent="0.35">
      <c r="B17" s="33" t="s">
        <v>88</v>
      </c>
      <c r="C17" s="15" t="s">
        <v>41</v>
      </c>
      <c r="E17" s="33" t="s">
        <v>88</v>
      </c>
      <c r="F17" s="15" t="s">
        <v>41</v>
      </c>
      <c r="H17" s="33" t="s">
        <v>88</v>
      </c>
      <c r="I17" s="15" t="s">
        <v>41</v>
      </c>
    </row>
    <row r="18" spans="2:9" x14ac:dyDescent="0.35">
      <c r="B18" s="32" t="s">
        <v>89</v>
      </c>
      <c r="C18" s="15" t="s">
        <v>41</v>
      </c>
      <c r="E18" s="32" t="s">
        <v>89</v>
      </c>
      <c r="F18" s="15" t="s">
        <v>41</v>
      </c>
      <c r="H18" s="32" t="s">
        <v>89</v>
      </c>
      <c r="I18" s="15" t="s">
        <v>41</v>
      </c>
    </row>
    <row r="19" spans="2:9" x14ac:dyDescent="0.35">
      <c r="B19" s="32" t="s">
        <v>90</v>
      </c>
      <c r="C19" s="15" t="s">
        <v>41</v>
      </c>
      <c r="E19" s="32" t="s">
        <v>90</v>
      </c>
      <c r="F19" s="15" t="s">
        <v>41</v>
      </c>
      <c r="H19" s="32" t="s">
        <v>90</v>
      </c>
      <c r="I19" s="15" t="s">
        <v>41</v>
      </c>
    </row>
    <row r="20" spans="2:9" x14ac:dyDescent="0.35">
      <c r="B20" s="46" t="s">
        <v>42</v>
      </c>
      <c r="C20" s="47">
        <f>SUM(C16:C19)</f>
        <v>0</v>
      </c>
      <c r="E20" s="46" t="s">
        <v>42</v>
      </c>
      <c r="F20" s="47">
        <f>SUM(F16:F19)</f>
        <v>0</v>
      </c>
      <c r="H20" s="46" t="s">
        <v>42</v>
      </c>
      <c r="I20" s="47">
        <f>SUM(I16:I19)</f>
        <v>0</v>
      </c>
    </row>
    <row r="22" spans="2:9" x14ac:dyDescent="0.35">
      <c r="B22" s="34" t="s">
        <v>103</v>
      </c>
    </row>
  </sheetData>
  <mergeCells count="7">
    <mergeCell ref="B2:I2"/>
    <mergeCell ref="B5:C5"/>
    <mergeCell ref="E5:F5"/>
    <mergeCell ref="H5:I5"/>
    <mergeCell ref="B14:C14"/>
    <mergeCell ref="E14:F14"/>
    <mergeCell ref="H14:I14"/>
  </mergeCells>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C5AD-2708-44AA-A60A-CEA3923F638C}">
  <dimension ref="B2:L31"/>
  <sheetViews>
    <sheetView showGridLines="0" zoomScale="85" zoomScaleNormal="85" workbookViewId="0">
      <selection activeCell="N37" sqref="N37"/>
    </sheetView>
  </sheetViews>
  <sheetFormatPr defaultColWidth="11.453125" defaultRowHeight="14.5" x14ac:dyDescent="0.35"/>
  <cols>
    <col min="1" max="1" width="3.26953125" customWidth="1"/>
    <col min="2" max="2" width="12.453125" customWidth="1"/>
    <col min="3" max="4" width="16" customWidth="1"/>
    <col min="5" max="5" width="5.1796875" customWidth="1"/>
    <col min="6" max="6" width="13" customWidth="1"/>
    <col min="7" max="8" width="16" customWidth="1"/>
    <col min="9" max="9" width="26.453125" customWidth="1"/>
    <col min="10" max="10" width="16.453125" customWidth="1"/>
    <col min="11" max="11" width="12.453125"/>
  </cols>
  <sheetData>
    <row r="2" spans="2:9" ht="21" x14ac:dyDescent="0.35">
      <c r="B2" s="87" t="s">
        <v>43</v>
      </c>
      <c r="C2" s="88"/>
      <c r="D2" s="88"/>
      <c r="E2" s="88"/>
      <c r="F2" s="88"/>
      <c r="G2" s="88"/>
      <c r="H2" s="89"/>
      <c r="I2" s="1"/>
    </row>
    <row r="3" spans="2:9" ht="15.5" x14ac:dyDescent="0.35">
      <c r="B3" s="90" t="s">
        <v>34</v>
      </c>
      <c r="C3" s="90"/>
      <c r="D3" s="90"/>
      <c r="F3" s="90" t="s">
        <v>44</v>
      </c>
      <c r="G3" s="90"/>
      <c r="H3" s="90"/>
    </row>
    <row r="4" spans="2:9" ht="29" x14ac:dyDescent="0.35">
      <c r="B4" s="58" t="s">
        <v>45</v>
      </c>
      <c r="C4" s="59" t="s">
        <v>46</v>
      </c>
      <c r="D4" s="59" t="s">
        <v>47</v>
      </c>
      <c r="F4" s="58" t="s">
        <v>45</v>
      </c>
      <c r="G4" s="59" t="s">
        <v>46</v>
      </c>
      <c r="H4" s="59" t="s">
        <v>47</v>
      </c>
    </row>
    <row r="5" spans="2:9" x14ac:dyDescent="0.35">
      <c r="B5" s="3" t="s">
        <v>48</v>
      </c>
      <c r="C5" s="4"/>
      <c r="D5" s="4"/>
      <c r="F5" s="3" t="s">
        <v>48</v>
      </c>
      <c r="G5" s="4"/>
      <c r="H5" s="4"/>
    </row>
    <row r="6" spans="2:9" x14ac:dyDescent="0.35">
      <c r="B6" s="3" t="s">
        <v>49</v>
      </c>
      <c r="C6" s="5"/>
      <c r="D6" s="5"/>
      <c r="F6" s="3" t="s">
        <v>49</v>
      </c>
      <c r="G6" s="5"/>
      <c r="H6" s="5"/>
    </row>
    <row r="7" spans="2:9" ht="15" thickBot="1" x14ac:dyDescent="0.4">
      <c r="B7" s="6" t="s">
        <v>50</v>
      </c>
      <c r="C7" s="7"/>
      <c r="D7" s="7"/>
      <c r="F7" s="6" t="s">
        <v>50</v>
      </c>
      <c r="G7" s="7"/>
      <c r="H7" s="7"/>
    </row>
    <row r="8" spans="2:9" ht="15" thickBot="1" x14ac:dyDescent="0.4">
      <c r="B8" s="53" t="s">
        <v>51</v>
      </c>
      <c r="C8" s="54">
        <f>SUM(C5:C7)</f>
        <v>0</v>
      </c>
      <c r="D8" s="55">
        <f>SUM(D5:D7)</f>
        <v>0</v>
      </c>
      <c r="F8" s="53" t="s">
        <v>51</v>
      </c>
      <c r="G8" s="54">
        <f>SUM(G5:G7)</f>
        <v>0</v>
      </c>
      <c r="H8" s="55">
        <f>SUM(H5:H7)</f>
        <v>0</v>
      </c>
    </row>
    <row r="9" spans="2:9" x14ac:dyDescent="0.35">
      <c r="B9" s="8" t="s">
        <v>52</v>
      </c>
      <c r="C9" s="9"/>
      <c r="D9" s="9"/>
      <c r="F9" s="8" t="s">
        <v>52</v>
      </c>
      <c r="G9" s="9"/>
      <c r="H9" s="9"/>
    </row>
    <row r="10" spans="2:9" x14ac:dyDescent="0.35">
      <c r="B10" s="3" t="s">
        <v>53</v>
      </c>
      <c r="C10" s="5"/>
      <c r="D10" s="5"/>
      <c r="F10" s="3" t="s">
        <v>53</v>
      </c>
      <c r="G10" s="5"/>
      <c r="H10" s="5"/>
    </row>
    <row r="11" spans="2:9" ht="15" thickBot="1" x14ac:dyDescent="0.4">
      <c r="B11" s="6" t="s">
        <v>54</v>
      </c>
      <c r="C11" s="7"/>
      <c r="D11" s="7"/>
      <c r="F11" s="6" t="s">
        <v>54</v>
      </c>
      <c r="G11" s="7"/>
      <c r="H11" s="7"/>
    </row>
    <row r="12" spans="2:9" ht="15" thickBot="1" x14ac:dyDescent="0.4">
      <c r="B12" s="53" t="s">
        <v>55</v>
      </c>
      <c r="C12" s="54">
        <f>SUM(C9:C11)</f>
        <v>0</v>
      </c>
      <c r="D12" s="55">
        <f>SUM(D9:D11)</f>
        <v>0</v>
      </c>
      <c r="F12" s="53" t="s">
        <v>55</v>
      </c>
      <c r="G12" s="54">
        <f>SUM(G9:G11)</f>
        <v>0</v>
      </c>
      <c r="H12" s="55">
        <f>SUM(H9:H11)</f>
        <v>0</v>
      </c>
    </row>
    <row r="13" spans="2:9" x14ac:dyDescent="0.35">
      <c r="B13" s="8" t="s">
        <v>56</v>
      </c>
      <c r="C13" s="9"/>
      <c r="D13" s="9"/>
      <c r="F13" s="8" t="s">
        <v>56</v>
      </c>
      <c r="G13" s="9"/>
      <c r="H13" s="9"/>
    </row>
    <row r="14" spans="2:9" x14ac:dyDescent="0.35">
      <c r="B14" s="3" t="s">
        <v>57</v>
      </c>
      <c r="C14" s="5"/>
      <c r="D14" s="5"/>
      <c r="F14" s="3" t="s">
        <v>57</v>
      </c>
      <c r="G14" s="5"/>
      <c r="H14" s="5"/>
    </row>
    <row r="15" spans="2:9" ht="15" thickBot="1" x14ac:dyDescent="0.4">
      <c r="B15" s="6" t="s">
        <v>58</v>
      </c>
      <c r="C15" s="7"/>
      <c r="D15" s="7"/>
      <c r="F15" s="6" t="s">
        <v>58</v>
      </c>
      <c r="G15" s="7"/>
      <c r="H15" s="7"/>
    </row>
    <row r="16" spans="2:9" ht="15" thickBot="1" x14ac:dyDescent="0.4">
      <c r="B16" s="53" t="s">
        <v>59</v>
      </c>
      <c r="C16" s="54">
        <f>SUM(C13:C15)</f>
        <v>0</v>
      </c>
      <c r="D16" s="55">
        <f>SUM(D13:D15)</f>
        <v>0</v>
      </c>
      <c r="F16" s="53" t="s">
        <v>59</v>
      </c>
      <c r="G16" s="54">
        <f>SUM(G13:G15)</f>
        <v>0</v>
      </c>
      <c r="H16" s="55">
        <f>SUM(H13:H15)</f>
        <v>0</v>
      </c>
    </row>
    <row r="17" spans="2:12" x14ac:dyDescent="0.35">
      <c r="B17" s="8" t="s">
        <v>60</v>
      </c>
      <c r="C17" s="9"/>
      <c r="D17" s="9"/>
      <c r="F17" s="8" t="s">
        <v>60</v>
      </c>
      <c r="G17" s="9"/>
      <c r="H17" s="9"/>
    </row>
    <row r="18" spans="2:12" x14ac:dyDescent="0.35">
      <c r="B18" s="3" t="s">
        <v>61</v>
      </c>
      <c r="C18" s="5"/>
      <c r="D18" s="5"/>
      <c r="F18" s="3" t="s">
        <v>61</v>
      </c>
      <c r="G18" s="5"/>
      <c r="H18" s="5"/>
    </row>
    <row r="19" spans="2:12" ht="15" thickBot="1" x14ac:dyDescent="0.4">
      <c r="B19" s="6" t="s">
        <v>62</v>
      </c>
      <c r="C19" s="7"/>
      <c r="D19" s="7"/>
      <c r="F19" s="6" t="s">
        <v>62</v>
      </c>
      <c r="G19" s="7"/>
      <c r="H19" s="7"/>
    </row>
    <row r="20" spans="2:12" ht="15" thickBot="1" x14ac:dyDescent="0.4">
      <c r="B20" s="56" t="s">
        <v>63</v>
      </c>
      <c r="C20" s="54">
        <f>SUM(C17:C19)</f>
        <v>0</v>
      </c>
      <c r="D20" s="57">
        <f>SUM(D17:D19)</f>
        <v>0</v>
      </c>
      <c r="F20" s="56" t="s">
        <v>63</v>
      </c>
      <c r="G20" s="54">
        <f>SUM(G17:G19)</f>
        <v>0</v>
      </c>
      <c r="H20" s="55">
        <f>SUM(H17:H19)</f>
        <v>0</v>
      </c>
    </row>
    <row r="23" spans="2:12" x14ac:dyDescent="0.35">
      <c r="B23" s="91" t="s">
        <v>105</v>
      </c>
      <c r="C23" s="91"/>
      <c r="D23" s="91"/>
      <c r="E23" s="91"/>
      <c r="F23" s="91"/>
      <c r="G23" s="91"/>
      <c r="H23" s="91"/>
    </row>
    <row r="24" spans="2:12" x14ac:dyDescent="0.35">
      <c r="B24" s="91"/>
      <c r="C24" s="91"/>
      <c r="D24" s="91"/>
      <c r="E24" s="91"/>
      <c r="F24" s="91"/>
      <c r="G24" s="91"/>
      <c r="H24" s="91"/>
    </row>
    <row r="25" spans="2:12" x14ac:dyDescent="0.35">
      <c r="B25" s="91"/>
      <c r="C25" s="91"/>
      <c r="D25" s="91"/>
      <c r="E25" s="91"/>
      <c r="F25" s="91"/>
      <c r="G25" s="91"/>
      <c r="H25" s="91"/>
    </row>
    <row r="26" spans="2:12" x14ac:dyDescent="0.35">
      <c r="B26" s="91"/>
      <c r="C26" s="91"/>
      <c r="D26" s="91"/>
      <c r="E26" s="91"/>
      <c r="F26" s="91"/>
      <c r="G26" s="91"/>
      <c r="H26" s="91"/>
    </row>
    <row r="27" spans="2:12" x14ac:dyDescent="0.35">
      <c r="B27" s="91"/>
      <c r="C27" s="91"/>
      <c r="D27" s="91"/>
      <c r="E27" s="91"/>
      <c r="F27" s="91"/>
      <c r="G27" s="91"/>
      <c r="H27" s="91"/>
    </row>
    <row r="28" spans="2:12" x14ac:dyDescent="0.35">
      <c r="B28" s="91"/>
      <c r="C28" s="91"/>
      <c r="D28" s="91"/>
      <c r="E28" s="91"/>
      <c r="F28" s="91"/>
      <c r="G28" s="91"/>
      <c r="H28" s="91"/>
    </row>
    <row r="30" spans="2:12" x14ac:dyDescent="0.35">
      <c r="D30" s="1"/>
      <c r="L30" s="20"/>
    </row>
    <row r="31" spans="2:12" x14ac:dyDescent="0.35">
      <c r="D31" s="1"/>
    </row>
  </sheetData>
  <mergeCells count="4">
    <mergeCell ref="B2:H2"/>
    <mergeCell ref="B3:D3"/>
    <mergeCell ref="F3:H3"/>
    <mergeCell ref="B23:H28"/>
  </mergeCells>
  <phoneticPr fontId="4" type="noConversion"/>
  <pageMargins left="0.7" right="0.7" top="0.75" bottom="0.75" header="0.3" footer="0.3"/>
  <ignoredErrors>
    <ignoredError sqref="C20:D20" formulaRange="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FC1C-E66D-49F0-BBAA-9FD639D3DDE5}">
  <dimension ref="A1:K39"/>
  <sheetViews>
    <sheetView showGridLines="0" zoomScale="115" zoomScaleNormal="115" workbookViewId="0">
      <selection activeCell="A25" sqref="A25:G30"/>
    </sheetView>
  </sheetViews>
  <sheetFormatPr defaultColWidth="10.81640625" defaultRowHeight="14.5" x14ac:dyDescent="0.35"/>
  <cols>
    <col min="2" max="2" width="13.7265625" customWidth="1"/>
    <col min="3" max="3" width="13.54296875" customWidth="1"/>
    <col min="6" max="6" width="13.54296875" customWidth="1"/>
    <col min="7" max="7" width="14.81640625" customWidth="1"/>
  </cols>
  <sheetData>
    <row r="1" spans="1:8" ht="21" x14ac:dyDescent="0.35">
      <c r="A1" s="87" t="s">
        <v>43</v>
      </c>
      <c r="B1" s="88"/>
      <c r="C1" s="88"/>
      <c r="D1" s="88"/>
      <c r="E1" s="88"/>
      <c r="F1" s="88"/>
      <c r="G1" s="89"/>
      <c r="H1" s="1"/>
    </row>
    <row r="2" spans="1:8" ht="15.5" x14ac:dyDescent="0.35">
      <c r="A2" s="90" t="s">
        <v>34</v>
      </c>
      <c r="B2" s="90"/>
      <c r="C2" s="90"/>
      <c r="E2" s="90" t="s">
        <v>44</v>
      </c>
      <c r="F2" s="90"/>
      <c r="G2" s="90"/>
    </row>
    <row r="3" spans="1:8" ht="30" customHeight="1" x14ac:dyDescent="0.35">
      <c r="A3" s="60" t="s">
        <v>45</v>
      </c>
      <c r="B3" s="61" t="s">
        <v>46</v>
      </c>
      <c r="C3" s="61" t="s">
        <v>47</v>
      </c>
      <c r="E3" s="60" t="s">
        <v>45</v>
      </c>
      <c r="F3" s="61" t="s">
        <v>46</v>
      </c>
      <c r="G3" s="61" t="s">
        <v>47</v>
      </c>
    </row>
    <row r="4" spans="1:8" x14ac:dyDescent="0.35">
      <c r="A4" s="3" t="s">
        <v>48</v>
      </c>
      <c r="B4" s="4">
        <v>1</v>
      </c>
      <c r="C4" s="4">
        <v>1</v>
      </c>
      <c r="E4" s="3" t="s">
        <v>48</v>
      </c>
      <c r="F4" s="4">
        <v>3</v>
      </c>
      <c r="G4" s="4">
        <v>2</v>
      </c>
    </row>
    <row r="5" spans="1:8" x14ac:dyDescent="0.35">
      <c r="A5" s="3" t="s">
        <v>49</v>
      </c>
      <c r="B5" s="5">
        <v>0</v>
      </c>
      <c r="C5" s="5">
        <v>0</v>
      </c>
      <c r="E5" s="3" t="s">
        <v>49</v>
      </c>
      <c r="F5" s="5">
        <v>3</v>
      </c>
      <c r="G5" s="5">
        <v>3</v>
      </c>
    </row>
    <row r="6" spans="1:8" x14ac:dyDescent="0.35">
      <c r="A6" s="3" t="s">
        <v>50</v>
      </c>
      <c r="B6" s="5">
        <v>0</v>
      </c>
      <c r="C6" s="5">
        <v>0</v>
      </c>
      <c r="E6" s="3" t="s">
        <v>50</v>
      </c>
      <c r="F6" s="5">
        <v>0</v>
      </c>
      <c r="G6" s="5">
        <v>0</v>
      </c>
    </row>
    <row r="7" spans="1:8" ht="15" thickBot="1" x14ac:dyDescent="0.4">
      <c r="A7" s="6" t="s">
        <v>52</v>
      </c>
      <c r="B7" s="7">
        <v>1</v>
      </c>
      <c r="C7" s="7">
        <v>1</v>
      </c>
      <c r="E7" s="6" t="s">
        <v>52</v>
      </c>
      <c r="F7" s="7">
        <v>0</v>
      </c>
      <c r="G7" s="7">
        <v>0</v>
      </c>
    </row>
    <row r="8" spans="1:8" ht="15" thickBot="1" x14ac:dyDescent="0.4">
      <c r="A8" s="53" t="s">
        <v>91</v>
      </c>
      <c r="B8" s="54">
        <f>SUM(B4:B7)</f>
        <v>2</v>
      </c>
      <c r="C8" s="55">
        <f>SUM(C4:C7)</f>
        <v>2</v>
      </c>
      <c r="E8" s="53" t="s">
        <v>91</v>
      </c>
      <c r="F8" s="54">
        <f>SUM(F4:F7)</f>
        <v>6</v>
      </c>
      <c r="G8" s="55">
        <f>SUM(G4:G7)</f>
        <v>5</v>
      </c>
    </row>
    <row r="9" spans="1:8" x14ac:dyDescent="0.35">
      <c r="A9" s="8" t="s">
        <v>53</v>
      </c>
      <c r="B9" s="9">
        <v>2</v>
      </c>
      <c r="C9" s="9">
        <v>1</v>
      </c>
      <c r="E9" s="8" t="s">
        <v>53</v>
      </c>
      <c r="F9" s="9">
        <v>3</v>
      </c>
      <c r="G9" s="9">
        <v>3</v>
      </c>
    </row>
    <row r="10" spans="1:8" x14ac:dyDescent="0.35">
      <c r="A10" s="3" t="s">
        <v>54</v>
      </c>
      <c r="B10" s="5">
        <v>1</v>
      </c>
      <c r="C10" s="5">
        <v>1</v>
      </c>
      <c r="E10" s="3" t="s">
        <v>54</v>
      </c>
      <c r="F10" s="5">
        <v>2</v>
      </c>
      <c r="G10" s="5">
        <v>2</v>
      </c>
    </row>
    <row r="11" spans="1:8" x14ac:dyDescent="0.35">
      <c r="A11" s="3" t="s">
        <v>56</v>
      </c>
      <c r="B11" s="5">
        <v>1</v>
      </c>
      <c r="C11" s="5">
        <v>1</v>
      </c>
      <c r="E11" s="3" t="s">
        <v>56</v>
      </c>
      <c r="F11" s="5">
        <v>2</v>
      </c>
      <c r="G11" s="5">
        <v>2</v>
      </c>
    </row>
    <row r="12" spans="1:8" ht="15" thickBot="1" x14ac:dyDescent="0.4">
      <c r="A12" s="6" t="s">
        <v>57</v>
      </c>
      <c r="B12" s="7">
        <v>0</v>
      </c>
      <c r="C12" s="7">
        <v>1</v>
      </c>
      <c r="E12" s="6" t="s">
        <v>57</v>
      </c>
      <c r="F12" s="7">
        <v>1</v>
      </c>
      <c r="G12" s="7">
        <v>1</v>
      </c>
    </row>
    <row r="13" spans="1:8" ht="15" thickBot="1" x14ac:dyDescent="0.4">
      <c r="A13" s="53" t="s">
        <v>92</v>
      </c>
      <c r="B13" s="54">
        <f>SUM(B9:B12)</f>
        <v>4</v>
      </c>
      <c r="C13" s="55">
        <f>SUM(C9:C12)</f>
        <v>4</v>
      </c>
      <c r="E13" s="53" t="s">
        <v>92</v>
      </c>
      <c r="F13" s="54">
        <f>SUM(F9:F12)</f>
        <v>8</v>
      </c>
      <c r="G13" s="55">
        <f>SUM(G9:G12)</f>
        <v>8</v>
      </c>
    </row>
    <row r="14" spans="1:8" x14ac:dyDescent="0.35">
      <c r="A14" s="8" t="s">
        <v>58</v>
      </c>
      <c r="B14" s="9">
        <v>2</v>
      </c>
      <c r="C14" s="9">
        <v>2</v>
      </c>
      <c r="E14" s="8" t="s">
        <v>58</v>
      </c>
      <c r="F14" s="9">
        <v>1</v>
      </c>
      <c r="G14" s="9">
        <v>1</v>
      </c>
    </row>
    <row r="15" spans="1:8" x14ac:dyDescent="0.35">
      <c r="A15" s="3" t="s">
        <v>60</v>
      </c>
      <c r="B15" s="5">
        <v>2</v>
      </c>
      <c r="C15" s="5">
        <v>2</v>
      </c>
      <c r="E15" s="3" t="s">
        <v>60</v>
      </c>
      <c r="F15" s="5">
        <v>1</v>
      </c>
      <c r="G15" s="5">
        <v>1</v>
      </c>
    </row>
    <row r="16" spans="1:8" x14ac:dyDescent="0.35">
      <c r="A16" s="3" t="s">
        <v>61</v>
      </c>
      <c r="B16" s="5">
        <v>1</v>
      </c>
      <c r="C16" s="5">
        <v>1</v>
      </c>
      <c r="E16" s="3" t="s">
        <v>61</v>
      </c>
      <c r="F16" s="5">
        <v>0</v>
      </c>
      <c r="G16" s="5">
        <v>0</v>
      </c>
    </row>
    <row r="17" spans="1:11" ht="15" thickBot="1" x14ac:dyDescent="0.4">
      <c r="A17" s="6" t="s">
        <v>62</v>
      </c>
      <c r="B17" s="7">
        <v>0</v>
      </c>
      <c r="C17" s="7">
        <v>0</v>
      </c>
      <c r="E17" s="6" t="s">
        <v>62</v>
      </c>
      <c r="F17" s="7">
        <v>0</v>
      </c>
      <c r="G17" s="7">
        <v>0</v>
      </c>
    </row>
    <row r="18" spans="1:11" ht="15" thickBot="1" x14ac:dyDescent="0.4">
      <c r="A18" s="53" t="s">
        <v>93</v>
      </c>
      <c r="B18" s="54">
        <f>SUM(B14:B17)</f>
        <v>5</v>
      </c>
      <c r="C18" s="55">
        <f>SUM(C14:C17)</f>
        <v>5</v>
      </c>
      <c r="E18" s="53" t="s">
        <v>93</v>
      </c>
      <c r="F18" s="54">
        <f>SUM(F14:F17)</f>
        <v>2</v>
      </c>
      <c r="G18" s="55">
        <f>SUM(G14:G17)</f>
        <v>2</v>
      </c>
    </row>
    <row r="20" spans="1:11" x14ac:dyDescent="0.35">
      <c r="A20" s="63" t="s">
        <v>101</v>
      </c>
    </row>
    <row r="25" spans="1:11" x14ac:dyDescent="0.35">
      <c r="A25" s="91" t="s">
        <v>102</v>
      </c>
      <c r="B25" s="91"/>
      <c r="C25" s="91"/>
      <c r="D25" s="91"/>
      <c r="E25" s="91"/>
      <c r="F25" s="91"/>
      <c r="G25" s="91"/>
    </row>
    <row r="26" spans="1:11" x14ac:dyDescent="0.35">
      <c r="A26" s="91"/>
      <c r="B26" s="91"/>
      <c r="C26" s="91"/>
      <c r="D26" s="91"/>
      <c r="E26" s="91"/>
      <c r="F26" s="91"/>
      <c r="G26" s="91"/>
    </row>
    <row r="27" spans="1:11" x14ac:dyDescent="0.35">
      <c r="A27" s="91"/>
      <c r="B27" s="91"/>
      <c r="C27" s="91"/>
      <c r="D27" s="91"/>
      <c r="E27" s="91"/>
      <c r="F27" s="91"/>
      <c r="G27" s="91"/>
    </row>
    <row r="28" spans="1:11" x14ac:dyDescent="0.35">
      <c r="A28" s="91"/>
      <c r="B28" s="91"/>
      <c r="C28" s="91"/>
      <c r="D28" s="91"/>
      <c r="E28" s="91"/>
      <c r="F28" s="91"/>
      <c r="G28" s="91"/>
    </row>
    <row r="29" spans="1:11" x14ac:dyDescent="0.35">
      <c r="A29" s="91"/>
      <c r="B29" s="91"/>
      <c r="C29" s="91"/>
      <c r="D29" s="91"/>
      <c r="E29" s="91"/>
      <c r="F29" s="91"/>
      <c r="G29" s="91"/>
    </row>
    <row r="30" spans="1:11" x14ac:dyDescent="0.35">
      <c r="A30" s="91"/>
      <c r="B30" s="91"/>
      <c r="C30" s="91"/>
      <c r="D30" s="91"/>
      <c r="E30" s="91"/>
      <c r="F30" s="91"/>
      <c r="G30" s="91"/>
    </row>
    <row r="32" spans="1:11" x14ac:dyDescent="0.35">
      <c r="C32" s="1"/>
      <c r="K32" s="20"/>
    </row>
    <row r="33" spans="3:7" x14ac:dyDescent="0.35">
      <c r="C33" s="1"/>
    </row>
    <row r="39" spans="3:7" x14ac:dyDescent="0.35">
      <c r="G39" s="62"/>
    </row>
  </sheetData>
  <mergeCells count="4">
    <mergeCell ref="A1:G1"/>
    <mergeCell ref="A2:C2"/>
    <mergeCell ref="E2:G2"/>
    <mergeCell ref="A25:G3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CACE9-6473-4A53-93F3-CAFF4278E1B9}">
  <dimension ref="A1:I5"/>
  <sheetViews>
    <sheetView showGridLines="0" workbookViewId="0"/>
  </sheetViews>
  <sheetFormatPr defaultColWidth="11.453125" defaultRowHeight="14.5" x14ac:dyDescent="0.35"/>
  <cols>
    <col min="1" max="1" width="19" style="10" customWidth="1"/>
    <col min="2" max="2" width="2.453125" style="10" customWidth="1"/>
    <col min="3" max="3" width="12.7265625" style="10" customWidth="1"/>
    <col min="4" max="4" width="14.1796875" style="10" customWidth="1"/>
    <col min="5" max="5" width="12.7265625" style="10" customWidth="1"/>
    <col min="6" max="6" width="1.7265625" style="10" customWidth="1"/>
    <col min="7" max="7" width="17.453125" style="10" customWidth="1"/>
    <col min="8" max="8" width="10.453125" style="10" customWidth="1"/>
    <col min="9" max="9" width="13.7265625" style="10" customWidth="1"/>
    <col min="10" max="10" width="2" style="10" customWidth="1"/>
    <col min="11" max="11" width="13.7265625" style="10" customWidth="1"/>
    <col min="12" max="16384" width="11.453125" style="10"/>
  </cols>
  <sheetData>
    <row r="1" spans="1:9" ht="15" thickBot="1" x14ac:dyDescent="0.4"/>
    <row r="2" spans="1:9" ht="15" thickBot="1" x14ac:dyDescent="0.4">
      <c r="A2" s="22" t="s">
        <v>12</v>
      </c>
      <c r="D2" s="24" t="s">
        <v>64</v>
      </c>
      <c r="G2" s="23" t="s">
        <v>23</v>
      </c>
      <c r="I2" s="22" t="s">
        <v>29</v>
      </c>
    </row>
    <row r="3" spans="1:9" x14ac:dyDescent="0.35">
      <c r="A3" s="11" t="s">
        <v>34</v>
      </c>
      <c r="D3" s="8" t="s">
        <v>65</v>
      </c>
      <c r="G3" s="3" t="s">
        <v>66</v>
      </c>
      <c r="I3" s="12" t="s">
        <v>67</v>
      </c>
    </row>
    <row r="4" spans="1:9" x14ac:dyDescent="0.35">
      <c r="A4" s="13" t="s">
        <v>44</v>
      </c>
      <c r="D4" s="3" t="s">
        <v>68</v>
      </c>
      <c r="G4" s="3" t="s">
        <v>69</v>
      </c>
      <c r="I4" s="3" t="s">
        <v>70</v>
      </c>
    </row>
    <row r="5" spans="1:9" x14ac:dyDescent="0.35">
      <c r="D5" s="3" t="s">
        <v>71</v>
      </c>
      <c r="G5" s="3" t="s">
        <v>72</v>
      </c>
      <c r="I5" s="3" t="s">
        <v>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Estado xmlns="f1020bcf-9500-4749-8c84-b23cf138577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7e143fe6a60b41d1ba0856e32508ab2c">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ce8821b239011f0d493973169f9a5f63"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3BA986-608B-437F-BE1B-D3C483D9B2AA}">
  <ds:schemaRefs>
    <ds:schemaRef ds:uri="http://schemas.microsoft.com/sharepoint/v3/contenttype/forms"/>
  </ds:schemaRefs>
</ds:datastoreItem>
</file>

<file path=customXml/itemProps2.xml><?xml version="1.0" encoding="utf-8"?>
<ds:datastoreItem xmlns:ds="http://schemas.openxmlformats.org/officeDocument/2006/customXml" ds:itemID="{4893984B-9176-40B6-9503-644FEFFABD88}">
  <ds:schemaRefs>
    <ds:schemaRef ds:uri="http://purl.org/dc/terms/"/>
    <ds:schemaRef ds:uri="7a0a35da-276e-4c8e-b365-e7c47df80865"/>
    <ds:schemaRef ds:uri="http://purl.org/dc/dcmityp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f1020bcf-9500-4749-8c84-b23cf1385772"/>
    <ds:schemaRef ds:uri="http://purl.org/dc/elements/1.1/"/>
  </ds:schemaRefs>
</ds:datastoreItem>
</file>

<file path=customXml/itemProps3.xml><?xml version="1.0" encoding="utf-8"?>
<ds:datastoreItem xmlns:ds="http://schemas.openxmlformats.org/officeDocument/2006/customXml" ds:itemID="{E16AB4EF-B6DA-46F1-BA3D-23BB92AF37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Información del documento</vt:lpstr>
      <vt:lpstr>1.-Progama capacitación</vt:lpstr>
      <vt:lpstr>2.-Desglose costos</vt:lpstr>
      <vt:lpstr>3.-Informe trimestral</vt:lpstr>
      <vt:lpstr>3.1.- Informe Cuatrimestral</vt:lpstr>
      <vt:lpstr>Listas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Documentación Innevo</cp:lastModifiedBy>
  <cp:revision/>
  <dcterms:created xsi:type="dcterms:W3CDTF">2019-10-02T22:37:43Z</dcterms:created>
  <dcterms:modified xsi:type="dcterms:W3CDTF">2026-03-02T17:04:43Z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IsMyDocuments">
    <vt:bool>true</vt:bool>
  </property>
  <property fmtid="{D5CDD505-2E9C-101B-9397-08002B2CF9AE}" pid="4" name="Order">
    <vt:r8>1329400</vt:r8>
  </property>
  <property fmtid="{D5CDD505-2E9C-101B-9397-08002B2CF9AE}" pid="5" name="_ExtendedDescription">
    <vt:lpwstr/>
  </property>
  <property fmtid="{D5CDD505-2E9C-101B-9397-08002B2CF9AE}" pid="6" name="TriggerFlowInfo">
    <vt:lpwstr/>
  </property>
  <property fmtid="{D5CDD505-2E9C-101B-9397-08002B2CF9AE}" pid="7" name="ComplianceAssetId">
    <vt:lpwstr/>
  </property>
  <property fmtid="{D5CDD505-2E9C-101B-9397-08002B2CF9AE}" pid="8" name="MediaServiceImageTags">
    <vt:lpwstr/>
  </property>
</Properties>
</file>